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MyGame\Game11\conquer\trunk\ballsprite\docs\数值设计\"/>
    </mc:Choice>
  </mc:AlternateContent>
  <xr:revisionPtr revIDLastSave="0" documentId="13_ncr:1_{E0AFD5CD-5CF0-49F9-B0A3-2057074CCDAA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关卡总览" sheetId="1" r:id="rId1"/>
    <sheet name="路线生命" sheetId="2" r:id="rId2"/>
    <sheet name="波次与结算" sheetId="3" r:id="rId3"/>
    <sheet name="敌兵与开局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4" l="1"/>
  <c r="L13" i="4"/>
  <c r="I13" i="4"/>
  <c r="K13" i="4" s="1"/>
  <c r="H13" i="4"/>
  <c r="J13" i="4" s="1"/>
  <c r="M12" i="4"/>
  <c r="L12" i="4"/>
  <c r="I12" i="4"/>
  <c r="K12" i="4" s="1"/>
  <c r="H12" i="4"/>
  <c r="J12" i="4" s="1"/>
  <c r="M11" i="4"/>
  <c r="L11" i="4"/>
  <c r="I11" i="4"/>
  <c r="K11" i="4" s="1"/>
  <c r="H11" i="4"/>
  <c r="J11" i="4" s="1"/>
  <c r="M10" i="4"/>
  <c r="L10" i="4"/>
  <c r="K10" i="4"/>
  <c r="I10" i="4"/>
  <c r="H10" i="4"/>
  <c r="J10" i="4" s="1"/>
  <c r="M9" i="4"/>
  <c r="L9" i="4"/>
  <c r="I9" i="4"/>
  <c r="K9" i="4" s="1"/>
  <c r="H9" i="4"/>
  <c r="J9" i="4" s="1"/>
  <c r="R65" i="3"/>
  <c r="J65" i="3"/>
  <c r="G65" i="3"/>
  <c r="I65" i="3" s="1"/>
  <c r="F65" i="3"/>
  <c r="E65" i="3"/>
  <c r="H65" i="3" s="1"/>
  <c r="D65" i="3"/>
  <c r="C65" i="3"/>
  <c r="R64" i="3"/>
  <c r="H64" i="3"/>
  <c r="G64" i="3"/>
  <c r="F64" i="3"/>
  <c r="E64" i="3"/>
  <c r="D64" i="3"/>
  <c r="C64" i="3"/>
  <c r="J64" i="3" s="1"/>
  <c r="R63" i="3"/>
  <c r="G63" i="3"/>
  <c r="F63" i="3"/>
  <c r="E63" i="3"/>
  <c r="D63" i="3"/>
  <c r="C63" i="3"/>
  <c r="J63" i="3" s="1"/>
  <c r="R62" i="3"/>
  <c r="G62" i="3"/>
  <c r="F62" i="3"/>
  <c r="E62" i="3"/>
  <c r="D62" i="3"/>
  <c r="C62" i="3"/>
  <c r="H62" i="3" s="1"/>
  <c r="R61" i="3"/>
  <c r="G61" i="3"/>
  <c r="F61" i="3"/>
  <c r="E61" i="3"/>
  <c r="D61" i="3"/>
  <c r="C61" i="3"/>
  <c r="J61" i="3" s="1"/>
  <c r="R60" i="3"/>
  <c r="J60" i="3"/>
  <c r="I60" i="3"/>
  <c r="H60" i="3"/>
  <c r="R59" i="3"/>
  <c r="J59" i="3"/>
  <c r="I59" i="3"/>
  <c r="H59" i="3"/>
  <c r="R58" i="3"/>
  <c r="J58" i="3"/>
  <c r="I58" i="3"/>
  <c r="H58" i="3"/>
  <c r="R57" i="3"/>
  <c r="J57" i="3"/>
  <c r="I57" i="3"/>
  <c r="H57" i="3"/>
  <c r="R56" i="3"/>
  <c r="J56" i="3"/>
  <c r="I56" i="3"/>
  <c r="H56" i="3"/>
  <c r="R55" i="3"/>
  <c r="J55" i="3"/>
  <c r="I55" i="3"/>
  <c r="H55" i="3"/>
  <c r="R54" i="3"/>
  <c r="J54" i="3"/>
  <c r="I54" i="3"/>
  <c r="H54" i="3"/>
  <c r="R53" i="3"/>
  <c r="J53" i="3"/>
  <c r="I53" i="3"/>
  <c r="H53" i="3"/>
  <c r="R52" i="3"/>
  <c r="J52" i="3"/>
  <c r="I52" i="3"/>
  <c r="H52" i="3"/>
  <c r="S51" i="3"/>
  <c r="R51" i="3"/>
  <c r="O51" i="3"/>
  <c r="Q51" i="3" s="1"/>
  <c r="N51" i="3"/>
  <c r="P51" i="3" s="1"/>
  <c r="J51" i="3"/>
  <c r="I51" i="3"/>
  <c r="H51" i="3"/>
  <c r="R49" i="3"/>
  <c r="G49" i="3"/>
  <c r="F49" i="3"/>
  <c r="E49" i="3"/>
  <c r="D49" i="3"/>
  <c r="I49" i="3" s="1"/>
  <c r="C49" i="3"/>
  <c r="H49" i="3" s="1"/>
  <c r="R48" i="3"/>
  <c r="G48" i="3"/>
  <c r="F48" i="3"/>
  <c r="E48" i="3"/>
  <c r="D48" i="3"/>
  <c r="C48" i="3"/>
  <c r="J48" i="3" s="1"/>
  <c r="R47" i="3"/>
  <c r="J47" i="3"/>
  <c r="I47" i="3"/>
  <c r="H47" i="3"/>
  <c r="R46" i="3"/>
  <c r="J46" i="3"/>
  <c r="I46" i="3"/>
  <c r="H46" i="3"/>
  <c r="R45" i="3"/>
  <c r="J45" i="3"/>
  <c r="I45" i="3"/>
  <c r="H45" i="3"/>
  <c r="R44" i="3"/>
  <c r="J44" i="3"/>
  <c r="I44" i="3"/>
  <c r="H44" i="3"/>
  <c r="R43" i="3"/>
  <c r="J43" i="3"/>
  <c r="I43" i="3"/>
  <c r="H43" i="3"/>
  <c r="R42" i="3"/>
  <c r="J42" i="3"/>
  <c r="I42" i="3"/>
  <c r="H42" i="3"/>
  <c r="S41" i="3"/>
  <c r="R41" i="3"/>
  <c r="O41" i="3"/>
  <c r="Q41" i="3" s="1"/>
  <c r="N41" i="3"/>
  <c r="P41" i="3" s="1"/>
  <c r="J41" i="3"/>
  <c r="I41" i="3"/>
  <c r="H41" i="3"/>
  <c r="R39" i="3"/>
  <c r="G39" i="3"/>
  <c r="F39" i="3"/>
  <c r="E39" i="3"/>
  <c r="D39" i="3"/>
  <c r="I39" i="3" s="1"/>
  <c r="C39" i="3"/>
  <c r="H39" i="3" s="1"/>
  <c r="R38" i="3"/>
  <c r="J38" i="3"/>
  <c r="I38" i="3"/>
  <c r="H38" i="3"/>
  <c r="R37" i="3"/>
  <c r="J37" i="3"/>
  <c r="I37" i="3"/>
  <c r="H37" i="3"/>
  <c r="R36" i="3"/>
  <c r="J36" i="3"/>
  <c r="I36" i="3"/>
  <c r="H36" i="3"/>
  <c r="R35" i="3"/>
  <c r="J35" i="3"/>
  <c r="I35" i="3"/>
  <c r="H35" i="3"/>
  <c r="R34" i="3"/>
  <c r="J34" i="3"/>
  <c r="I34" i="3"/>
  <c r="H34" i="3"/>
  <c r="R33" i="3"/>
  <c r="J33" i="3"/>
  <c r="I33" i="3"/>
  <c r="H33" i="3"/>
  <c r="S32" i="3"/>
  <c r="R32" i="3"/>
  <c r="P32" i="3"/>
  <c r="S33" i="3" s="1"/>
  <c r="O32" i="3"/>
  <c r="Q32" i="3" s="1"/>
  <c r="N32" i="3"/>
  <c r="J32" i="3"/>
  <c r="I32" i="3"/>
  <c r="H32" i="3"/>
  <c r="R30" i="3"/>
  <c r="J30" i="3"/>
  <c r="I30" i="3"/>
  <c r="H30" i="3"/>
  <c r="R29" i="3"/>
  <c r="J29" i="3"/>
  <c r="I29" i="3"/>
  <c r="H29" i="3"/>
  <c r="R28" i="3"/>
  <c r="J28" i="3"/>
  <c r="I28" i="3"/>
  <c r="H28" i="3"/>
  <c r="R27" i="3"/>
  <c r="J27" i="3"/>
  <c r="I27" i="3"/>
  <c r="H27" i="3"/>
  <c r="R26" i="3"/>
  <c r="J26" i="3"/>
  <c r="I26" i="3"/>
  <c r="H26" i="3"/>
  <c r="R25" i="3"/>
  <c r="J25" i="3"/>
  <c r="I25" i="3"/>
  <c r="H25" i="3"/>
  <c r="S24" i="3"/>
  <c r="R24" i="3"/>
  <c r="O24" i="3"/>
  <c r="Q24" i="3" s="1"/>
  <c r="N24" i="3"/>
  <c r="P24" i="3" s="1"/>
  <c r="J24" i="3"/>
  <c r="I24" i="3"/>
  <c r="H24" i="3"/>
  <c r="R22" i="3"/>
  <c r="J22" i="3"/>
  <c r="I22" i="3"/>
  <c r="H22" i="3"/>
  <c r="R21" i="3"/>
  <c r="J21" i="3"/>
  <c r="I21" i="3"/>
  <c r="H21" i="3"/>
  <c r="R20" i="3"/>
  <c r="J20" i="3"/>
  <c r="I20" i="3"/>
  <c r="H20" i="3"/>
  <c r="R19" i="3"/>
  <c r="J19" i="3"/>
  <c r="I19" i="3"/>
  <c r="H19" i="3"/>
  <c r="R18" i="3"/>
  <c r="J18" i="3"/>
  <c r="I18" i="3"/>
  <c r="H18" i="3"/>
  <c r="R17" i="3"/>
  <c r="J17" i="3"/>
  <c r="I17" i="3"/>
  <c r="H17" i="3"/>
  <c r="R16" i="3"/>
  <c r="O16" i="3"/>
  <c r="Q16" i="3" s="1"/>
  <c r="N16" i="3"/>
  <c r="P16" i="3" s="1"/>
  <c r="J16" i="3"/>
  <c r="S16" i="3" s="1"/>
  <c r="I16" i="3"/>
  <c r="H16" i="3"/>
  <c r="R14" i="3"/>
  <c r="J14" i="3"/>
  <c r="I14" i="3"/>
  <c r="H14" i="3"/>
  <c r="R13" i="3"/>
  <c r="J13" i="3"/>
  <c r="I13" i="3"/>
  <c r="H13" i="3"/>
  <c r="R12" i="3"/>
  <c r="J12" i="3"/>
  <c r="I12" i="3"/>
  <c r="H12" i="3"/>
  <c r="R11" i="3"/>
  <c r="J11" i="3"/>
  <c r="I11" i="3"/>
  <c r="H11" i="3"/>
  <c r="R10" i="3"/>
  <c r="O10" i="3"/>
  <c r="J10" i="3"/>
  <c r="I10" i="3"/>
  <c r="H10" i="3"/>
  <c r="S9" i="3"/>
  <c r="R9" i="3"/>
  <c r="O9" i="3"/>
  <c r="Q9" i="3" s="1"/>
  <c r="N9" i="3"/>
  <c r="P9" i="3" s="1"/>
  <c r="J9" i="3"/>
  <c r="I9" i="3"/>
  <c r="H9" i="3"/>
  <c r="K22" i="2"/>
  <c r="J22" i="2"/>
  <c r="V22" i="2" s="1"/>
  <c r="V21" i="2"/>
  <c r="J21" i="2"/>
  <c r="K21" i="2" s="1"/>
  <c r="K20" i="2"/>
  <c r="J20" i="2"/>
  <c r="V20" i="2" s="1"/>
  <c r="J19" i="2"/>
  <c r="K19" i="2" s="1"/>
  <c r="J18" i="2"/>
  <c r="K18" i="2" s="1"/>
  <c r="J17" i="2"/>
  <c r="V17" i="2" s="1"/>
  <c r="J16" i="2"/>
  <c r="K16" i="2" s="1"/>
  <c r="V15" i="2"/>
  <c r="J15" i="2"/>
  <c r="K15" i="2" s="1"/>
  <c r="K14" i="2"/>
  <c r="J14" i="2"/>
  <c r="V14" i="2" s="1"/>
  <c r="V13" i="2"/>
  <c r="J13" i="2"/>
  <c r="K13" i="2" s="1"/>
  <c r="K12" i="2"/>
  <c r="J12" i="2"/>
  <c r="V12" i="2" s="1"/>
  <c r="J11" i="2"/>
  <c r="K11" i="2" s="1"/>
  <c r="J10" i="2"/>
  <c r="K10" i="2" s="1"/>
  <c r="J9" i="2"/>
  <c r="V9" i="2" s="1"/>
  <c r="B41" i="1"/>
  <c r="B40" i="1"/>
  <c r="B39" i="1"/>
  <c r="B38" i="1"/>
  <c r="B37" i="1"/>
  <c r="B36" i="1"/>
  <c r="S25" i="3" l="1"/>
  <c r="O25" i="3"/>
  <c r="N25" i="3"/>
  <c r="P25" i="3" s="1"/>
  <c r="S42" i="3"/>
  <c r="O42" i="3"/>
  <c r="N42" i="3"/>
  <c r="P42" i="3" s="1"/>
  <c r="Q33" i="3"/>
  <c r="V11" i="2"/>
  <c r="O52" i="3"/>
  <c r="N52" i="3"/>
  <c r="P52" i="3" s="1"/>
  <c r="S52" i="3"/>
  <c r="S17" i="3"/>
  <c r="O17" i="3"/>
  <c r="Q17" i="3" s="1"/>
  <c r="N17" i="3"/>
  <c r="P17" i="3" s="1"/>
  <c r="Q42" i="3"/>
  <c r="Q10" i="3"/>
  <c r="V19" i="2"/>
  <c r="Q52" i="3"/>
  <c r="Q25" i="3"/>
  <c r="S10" i="3"/>
  <c r="N10" i="3"/>
  <c r="P10" i="3" s="1"/>
  <c r="J39" i="3"/>
  <c r="I62" i="3"/>
  <c r="K9" i="2"/>
  <c r="V16" i="2"/>
  <c r="K17" i="2"/>
  <c r="H61" i="3"/>
  <c r="J62" i="3"/>
  <c r="I61" i="3"/>
  <c r="V10" i="2"/>
  <c r="V18" i="2"/>
  <c r="N33" i="3"/>
  <c r="O33" i="3"/>
  <c r="P33" i="3"/>
  <c r="H48" i="3"/>
  <c r="J49" i="3"/>
  <c r="I48" i="3"/>
  <c r="I64" i="3"/>
  <c r="H63" i="3"/>
  <c r="I63" i="3"/>
  <c r="S18" i="3" l="1"/>
  <c r="O18" i="3"/>
  <c r="N18" i="3"/>
  <c r="P18" i="3" s="1"/>
  <c r="S53" i="3"/>
  <c r="O53" i="3"/>
  <c r="N53" i="3"/>
  <c r="P53" i="3" s="1"/>
  <c r="O11" i="3"/>
  <c r="N11" i="3"/>
  <c r="P11" i="3" s="1"/>
  <c r="S11" i="3"/>
  <c r="S26" i="3"/>
  <c r="O26" i="3"/>
  <c r="Q26" i="3" s="1"/>
  <c r="N26" i="3"/>
  <c r="P26" i="3" s="1"/>
  <c r="O43" i="3"/>
  <c r="N43" i="3"/>
  <c r="P43" i="3" s="1"/>
  <c r="S43" i="3"/>
  <c r="Q18" i="3"/>
  <c r="Q43" i="3"/>
  <c r="N34" i="3"/>
  <c r="S34" i="3"/>
  <c r="P34" i="3"/>
  <c r="O34" i="3"/>
  <c r="Q34" i="3" s="1"/>
  <c r="Q11" i="3"/>
  <c r="Q53" i="3"/>
  <c r="S44" i="3" l="1"/>
  <c r="N44" i="3"/>
  <c r="P44" i="3"/>
  <c r="O44" i="3"/>
  <c r="O27" i="3"/>
  <c r="N27" i="3"/>
  <c r="P27" i="3" s="1"/>
  <c r="S27" i="3"/>
  <c r="Q27" i="3"/>
  <c r="S12" i="3"/>
  <c r="O12" i="3"/>
  <c r="N12" i="3"/>
  <c r="P12" i="3" s="1"/>
  <c r="S54" i="3"/>
  <c r="P54" i="3"/>
  <c r="O54" i="3"/>
  <c r="Q54" i="3" s="1"/>
  <c r="N54" i="3"/>
  <c r="S19" i="3"/>
  <c r="O19" i="3"/>
  <c r="N19" i="3"/>
  <c r="P19" i="3" s="1"/>
  <c r="S35" i="3"/>
  <c r="O35" i="3"/>
  <c r="Q35" i="3" s="1"/>
  <c r="N35" i="3"/>
  <c r="P35" i="3" s="1"/>
  <c r="Q19" i="3"/>
  <c r="Q44" i="3"/>
  <c r="Q12" i="3"/>
  <c r="N13" i="3" l="1"/>
  <c r="S13" i="3"/>
  <c r="P13" i="3"/>
  <c r="O13" i="3"/>
  <c r="S28" i="3"/>
  <c r="O28" i="3"/>
  <c r="Q28" i="3" s="1"/>
  <c r="N28" i="3"/>
  <c r="P28" i="3" s="1"/>
  <c r="S36" i="3"/>
  <c r="P36" i="3"/>
  <c r="O36" i="3"/>
  <c r="N36" i="3"/>
  <c r="Q36" i="3"/>
  <c r="S20" i="3"/>
  <c r="P20" i="3"/>
  <c r="O20" i="3"/>
  <c r="N20" i="3"/>
  <c r="S55" i="3"/>
  <c r="O55" i="3"/>
  <c r="Q55" i="3" s="1"/>
  <c r="N55" i="3"/>
  <c r="P55" i="3" s="1"/>
  <c r="Q20" i="3"/>
  <c r="Q13" i="3"/>
  <c r="O45" i="3"/>
  <c r="Q45" i="3" s="1"/>
  <c r="N45" i="3"/>
  <c r="S45" i="3"/>
  <c r="P45" i="3"/>
  <c r="O29" i="3" l="1"/>
  <c r="N29" i="3"/>
  <c r="P29" i="3" s="1"/>
  <c r="S29" i="3"/>
  <c r="Q46" i="3"/>
  <c r="Q29" i="3"/>
  <c r="S56" i="3"/>
  <c r="O56" i="3"/>
  <c r="N56" i="3"/>
  <c r="P56" i="3" s="1"/>
  <c r="Q56" i="3"/>
  <c r="O21" i="3"/>
  <c r="Q21" i="3" s="1"/>
  <c r="N21" i="3"/>
  <c r="P21" i="3" s="1"/>
  <c r="S21" i="3"/>
  <c r="S46" i="3"/>
  <c r="O46" i="3"/>
  <c r="N46" i="3"/>
  <c r="P46" i="3" s="1"/>
  <c r="O37" i="3"/>
  <c r="Q37" i="3" s="1"/>
  <c r="N37" i="3"/>
  <c r="P37" i="3" s="1"/>
  <c r="S37" i="3"/>
  <c r="S14" i="3"/>
  <c r="O14" i="3"/>
  <c r="Q14" i="3" s="1"/>
  <c r="J9" i="1" s="1"/>
  <c r="N14" i="3"/>
  <c r="P14" i="3" s="1"/>
  <c r="S47" i="3" l="1"/>
  <c r="O47" i="3"/>
  <c r="N47" i="3"/>
  <c r="P47" i="3" s="1"/>
  <c r="S22" i="3"/>
  <c r="O22" i="3"/>
  <c r="N22" i="3"/>
  <c r="P22" i="3" s="1"/>
  <c r="Q22" i="3"/>
  <c r="J10" i="1" s="1"/>
  <c r="C37" i="1" s="1"/>
  <c r="O57" i="3"/>
  <c r="Q57" i="3" s="1"/>
  <c r="N57" i="3"/>
  <c r="P57" i="3" s="1"/>
  <c r="S57" i="3"/>
  <c r="K9" i="1"/>
  <c r="I9" i="1"/>
  <c r="C36" i="1"/>
  <c r="L14" i="2"/>
  <c r="L22" i="2"/>
  <c r="L15" i="2"/>
  <c r="W21" i="2"/>
  <c r="L13" i="2"/>
  <c r="L11" i="2"/>
  <c r="W15" i="2"/>
  <c r="W13" i="2"/>
  <c r="W18" i="2"/>
  <c r="W22" i="2"/>
  <c r="W19" i="2"/>
  <c r="L12" i="2"/>
  <c r="L20" i="2"/>
  <c r="W12" i="2"/>
  <c r="W20" i="2"/>
  <c r="L10" i="2"/>
  <c r="W14" i="2"/>
  <c r="W10" i="2"/>
  <c r="W11" i="2"/>
  <c r="L18" i="2"/>
  <c r="L19" i="2"/>
  <c r="L16" i="2"/>
  <c r="L21" i="2"/>
  <c r="W16" i="2"/>
  <c r="W9" i="2"/>
  <c r="W17" i="2"/>
  <c r="L9" i="2"/>
  <c r="L17" i="2"/>
  <c r="S30" i="3"/>
  <c r="P30" i="3"/>
  <c r="O30" i="3"/>
  <c r="Q30" i="3" s="1"/>
  <c r="J11" i="1" s="1"/>
  <c r="C38" i="1" s="1"/>
  <c r="N30" i="3"/>
  <c r="S38" i="3"/>
  <c r="O38" i="3"/>
  <c r="Q38" i="3" s="1"/>
  <c r="N38" i="3"/>
  <c r="P38" i="3" s="1"/>
  <c r="Q47" i="3"/>
  <c r="S39" i="3" l="1"/>
  <c r="O39" i="3"/>
  <c r="Q39" i="3" s="1"/>
  <c r="J12" i="1" s="1"/>
  <c r="C39" i="1" s="1"/>
  <c r="N39" i="3"/>
  <c r="P39" i="3" s="1"/>
  <c r="S58" i="3"/>
  <c r="O58" i="3"/>
  <c r="N58" i="3"/>
  <c r="P58" i="3" s="1"/>
  <c r="Q58" i="3"/>
  <c r="K10" i="1"/>
  <c r="I10" i="1"/>
  <c r="O48" i="3"/>
  <c r="Q48" i="3" s="1"/>
  <c r="N48" i="3"/>
  <c r="S48" i="3"/>
  <c r="P48" i="3"/>
  <c r="K11" i="1"/>
  <c r="I11" i="1"/>
  <c r="X20" i="2"/>
  <c r="M20" i="2"/>
  <c r="M13" i="2"/>
  <c r="X13" i="2"/>
  <c r="X17" i="2"/>
  <c r="M17" i="2"/>
  <c r="M11" i="2"/>
  <c r="X11" i="2"/>
  <c r="M21" i="2"/>
  <c r="X21" i="2"/>
  <c r="M19" i="2"/>
  <c r="X19" i="2"/>
  <c r="X15" i="2"/>
  <c r="M15" i="2"/>
  <c r="M22" i="2"/>
  <c r="X22" i="2"/>
  <c r="X12" i="2"/>
  <c r="M12" i="2"/>
  <c r="M14" i="2"/>
  <c r="X14" i="2"/>
  <c r="X9" i="2"/>
  <c r="M9" i="2"/>
  <c r="M16" i="2"/>
  <c r="X16" i="2"/>
  <c r="M18" i="2"/>
  <c r="X18" i="2"/>
  <c r="M10" i="2"/>
  <c r="X10" i="2"/>
  <c r="O59" i="3" l="1"/>
  <c r="N59" i="3"/>
  <c r="P59" i="3" s="1"/>
  <c r="S59" i="3"/>
  <c r="I12" i="1"/>
  <c r="K12" i="1"/>
  <c r="O49" i="3"/>
  <c r="Q49" i="3" s="1"/>
  <c r="J13" i="1" s="1"/>
  <c r="C40" i="1" s="1"/>
  <c r="N49" i="3"/>
  <c r="P49" i="3" s="1"/>
  <c r="S49" i="3"/>
  <c r="Y14" i="2"/>
  <c r="N14" i="2"/>
  <c r="N16" i="2"/>
  <c r="Y16" i="2"/>
  <c r="N11" i="2"/>
  <c r="Y11" i="2"/>
  <c r="Y17" i="2"/>
  <c r="N17" i="2"/>
  <c r="N15" i="2"/>
  <c r="Y15" i="2"/>
  <c r="N13" i="2"/>
  <c r="Y13" i="2"/>
  <c r="Y9" i="2"/>
  <c r="N9" i="2"/>
  <c r="N10" i="2"/>
  <c r="Y10" i="2"/>
  <c r="N19" i="2"/>
  <c r="Y19" i="2"/>
  <c r="Y20" i="2"/>
  <c r="N20" i="2"/>
  <c r="Q59" i="3"/>
  <c r="Y22" i="2"/>
  <c r="N22" i="2"/>
  <c r="Y12" i="2"/>
  <c r="N12" i="2"/>
  <c r="N18" i="2"/>
  <c r="Y18" i="2"/>
  <c r="N21" i="2"/>
  <c r="Y21" i="2"/>
  <c r="K13" i="1" l="1"/>
  <c r="I13" i="1"/>
  <c r="S60" i="3"/>
  <c r="O60" i="3"/>
  <c r="N60" i="3"/>
  <c r="P60" i="3" s="1"/>
  <c r="O14" i="2"/>
  <c r="Z14" i="2"/>
  <c r="Q60" i="3"/>
  <c r="O13" i="2"/>
  <c r="Z13" i="2"/>
  <c r="O19" i="2"/>
  <c r="Z19" i="2"/>
  <c r="O22" i="2"/>
  <c r="Z22" i="2"/>
  <c r="Z20" i="2"/>
  <c r="O20" i="2"/>
  <c r="O11" i="2"/>
  <c r="Z11" i="2"/>
  <c r="O9" i="2"/>
  <c r="Z9" i="2"/>
  <c r="O17" i="2"/>
  <c r="Z17" i="2"/>
  <c r="Z10" i="2"/>
  <c r="O10" i="2"/>
  <c r="O21" i="2"/>
  <c r="Z21" i="2"/>
  <c r="Z18" i="2"/>
  <c r="O18" i="2"/>
  <c r="Z15" i="2"/>
  <c r="O15" i="2"/>
  <c r="Z12" i="2"/>
  <c r="O12" i="2"/>
  <c r="O16" i="2"/>
  <c r="Z16" i="2"/>
  <c r="S61" i="3" l="1"/>
  <c r="O61" i="3"/>
  <c r="N61" i="3"/>
  <c r="P61" i="3" s="1"/>
  <c r="AA17" i="2"/>
  <c r="P17" i="2"/>
  <c r="P9" i="2"/>
  <c r="AA9" i="2"/>
  <c r="Q61" i="3"/>
  <c r="P10" i="2"/>
  <c r="AA10" i="2"/>
  <c r="P11" i="2"/>
  <c r="AA11" i="2"/>
  <c r="P22" i="2"/>
  <c r="AA22" i="2"/>
  <c r="P19" i="2"/>
  <c r="AA19" i="2"/>
  <c r="P14" i="2"/>
  <c r="AA14" i="2"/>
  <c r="P16" i="2"/>
  <c r="AA16" i="2"/>
  <c r="P13" i="2"/>
  <c r="AA13" i="2"/>
  <c r="AA15" i="2"/>
  <c r="P15" i="2"/>
  <c r="P18" i="2"/>
  <c r="AA18" i="2"/>
  <c r="AA12" i="2"/>
  <c r="P12" i="2"/>
  <c r="P21" i="2"/>
  <c r="AA21" i="2"/>
  <c r="AA20" i="2"/>
  <c r="P20" i="2"/>
  <c r="S62" i="3" l="1"/>
  <c r="O62" i="3"/>
  <c r="N62" i="3"/>
  <c r="P62" i="3" s="1"/>
  <c r="AB21" i="2"/>
  <c r="Q21" i="2"/>
  <c r="AB10" i="2"/>
  <c r="Q10" i="2"/>
  <c r="Q12" i="2"/>
  <c r="AB12" i="2"/>
  <c r="Q62" i="3"/>
  <c r="Q9" i="2"/>
  <c r="AB9" i="2"/>
  <c r="Q22" i="2"/>
  <c r="AB22" i="2"/>
  <c r="AB15" i="2"/>
  <c r="Q15" i="2"/>
  <c r="AB13" i="2"/>
  <c r="Q13" i="2"/>
  <c r="Q14" i="2"/>
  <c r="AB14" i="2"/>
  <c r="Q19" i="2"/>
  <c r="AB19" i="2"/>
  <c r="Q11" i="2"/>
  <c r="AB11" i="2"/>
  <c r="AB18" i="2"/>
  <c r="Q18" i="2"/>
  <c r="Q17" i="2"/>
  <c r="AB17" i="2"/>
  <c r="Q16" i="2"/>
  <c r="AB16" i="2"/>
  <c r="Q20" i="2"/>
  <c r="AB20" i="2"/>
  <c r="S63" i="3" l="1"/>
  <c r="O63" i="3"/>
  <c r="N63" i="3"/>
  <c r="P63" i="3" s="1"/>
  <c r="R9" i="2"/>
  <c r="AC9" i="2"/>
  <c r="R17" i="2"/>
  <c r="AC17" i="2"/>
  <c r="AC11" i="2"/>
  <c r="R11" i="2"/>
  <c r="R16" i="2"/>
  <c r="AC16" i="2"/>
  <c r="AC12" i="2"/>
  <c r="R12" i="2"/>
  <c r="R22" i="2"/>
  <c r="AC22" i="2"/>
  <c r="AC18" i="2"/>
  <c r="R18" i="2"/>
  <c r="AC21" i="2"/>
  <c r="R21" i="2"/>
  <c r="R13" i="2"/>
  <c r="AC13" i="2"/>
  <c r="AC20" i="2"/>
  <c r="R20" i="2"/>
  <c r="Q63" i="3"/>
  <c r="AC10" i="2"/>
  <c r="R10" i="2"/>
  <c r="R19" i="2"/>
  <c r="AC19" i="2"/>
  <c r="R14" i="2"/>
  <c r="AC14" i="2"/>
  <c r="AC15" i="2"/>
  <c r="R15" i="2"/>
  <c r="O64" i="3" l="1"/>
  <c r="N64" i="3"/>
  <c r="S64" i="3"/>
  <c r="P64" i="3"/>
  <c r="S14" i="2"/>
  <c r="AD14" i="2"/>
  <c r="S22" i="2"/>
  <c r="AD22" i="2"/>
  <c r="S19" i="2"/>
  <c r="AD19" i="2"/>
  <c r="AD16" i="2"/>
  <c r="S16" i="2"/>
  <c r="S20" i="2"/>
  <c r="AD20" i="2"/>
  <c r="S12" i="2"/>
  <c r="AD12" i="2"/>
  <c r="Q64" i="3"/>
  <c r="S17" i="2"/>
  <c r="AD17" i="2"/>
  <c r="S9" i="2"/>
  <c r="AD9" i="2"/>
  <c r="AD10" i="2"/>
  <c r="S10" i="2"/>
  <c r="S11" i="2"/>
  <c r="AD11" i="2"/>
  <c r="AD13" i="2"/>
  <c r="S13" i="2"/>
  <c r="AD21" i="2"/>
  <c r="S21" i="2"/>
  <c r="AD18" i="2"/>
  <c r="S18" i="2"/>
  <c r="S15" i="2"/>
  <c r="AD15" i="2"/>
  <c r="T13" i="2" l="1"/>
  <c r="T14" i="2"/>
  <c r="AE14" i="2"/>
  <c r="AE21" i="2"/>
  <c r="T21" i="2"/>
  <c r="T11" i="2"/>
  <c r="AE11" i="2"/>
  <c r="AE10" i="2"/>
  <c r="T10" i="2"/>
  <c r="O65" i="3"/>
  <c r="N65" i="3"/>
  <c r="P65" i="3" s="1"/>
  <c r="S65" i="3"/>
  <c r="T19" i="2"/>
  <c r="AE19" i="2"/>
  <c r="T22" i="2"/>
  <c r="AE22" i="2"/>
  <c r="T9" i="2"/>
  <c r="AE9" i="2"/>
  <c r="T17" i="2"/>
  <c r="AE17" i="2"/>
  <c r="AE16" i="2"/>
  <c r="T16" i="2"/>
  <c r="Q65" i="3"/>
  <c r="J14" i="1" s="1"/>
  <c r="C41" i="1" s="1"/>
  <c r="K14" i="1" l="1"/>
  <c r="I14" i="1"/>
  <c r="AE18" i="2"/>
  <c r="AE13" i="2"/>
  <c r="T15" i="2"/>
  <c r="AE20" i="2"/>
  <c r="AE15" i="2"/>
  <c r="T20" i="2"/>
  <c r="T18" i="2"/>
  <c r="AE12" i="2"/>
  <c r="T12" i="2"/>
  <c r="E19" i="2" l="1"/>
  <c r="G17" i="2"/>
  <c r="G19" i="2"/>
  <c r="D19" i="2"/>
  <c r="F14" i="2"/>
  <c r="G22" i="2"/>
  <c r="D14" i="2"/>
  <c r="E14" i="2"/>
  <c r="E16" i="2"/>
  <c r="F11" i="2"/>
  <c r="E12" i="2"/>
  <c r="D17" i="2"/>
  <c r="H12" i="2"/>
  <c r="H20" i="2"/>
  <c r="H10" i="2"/>
  <c r="G14" i="2"/>
  <c r="D13" i="2"/>
  <c r="H19" i="2"/>
  <c r="G10" i="2"/>
  <c r="F10" i="2"/>
  <c r="E22" i="2"/>
  <c r="E13" i="2"/>
  <c r="G12" i="2"/>
  <c r="H22" i="2"/>
  <c r="H18" i="2"/>
  <c r="G13" i="2"/>
  <c r="F12" i="2"/>
  <c r="D22" i="2"/>
  <c r="F17" i="2"/>
  <c r="D12" i="2"/>
  <c r="F19" i="2"/>
  <c r="F22" i="2"/>
  <c r="G11" i="2"/>
  <c r="H16" i="2"/>
  <c r="D16" i="2"/>
  <c r="D20" i="2"/>
  <c r="G16" i="2"/>
  <c r="H14" i="2"/>
  <c r="H17" i="2"/>
  <c r="H11" i="2"/>
  <c r="G18" i="2"/>
  <c r="E10" i="2"/>
  <c r="H13" i="2"/>
  <c r="F16" i="2"/>
  <c r="F13" i="2"/>
  <c r="E11" i="2"/>
  <c r="D11" i="2"/>
  <c r="D10" i="2"/>
  <c r="E17" i="2"/>
  <c r="E20" i="2"/>
  <c r="F15" i="2"/>
  <c r="E18" i="2"/>
  <c r="H21" i="2"/>
  <c r="F18" i="2"/>
  <c r="G9" i="2"/>
  <c r="D15" i="2"/>
  <c r="D18" i="2"/>
  <c r="F9" i="2"/>
  <c r="G20" i="2"/>
  <c r="G21" i="2"/>
  <c r="F20" i="2"/>
  <c r="E15" i="2"/>
  <c r="H9" i="2"/>
  <c r="F21" i="2"/>
  <c r="E9" i="2"/>
  <c r="H15" i="2"/>
  <c r="D21" i="2"/>
  <c r="E21" i="2"/>
  <c r="D9" i="2"/>
  <c r="G15" i="2"/>
  <c r="C23" i="1" l="1"/>
  <c r="C22" i="1"/>
  <c r="C21" i="1"/>
  <c r="C20" i="1"/>
</calcChain>
</file>

<file path=xl/sharedStrings.xml><?xml version="1.0" encoding="utf-8"?>
<sst xmlns="http://schemas.openxmlformats.org/spreadsheetml/2006/main" count="799" uniqueCount="190">
  <si>
    <t>翠绿原野 · 第一章关卡参考</t>
  </si>
  <si>
    <t>CH1-v0.1 / 2026-10-09。黄色可调、白色公式、灰色当前资源。参考脚本不是实测，修改表格不会修改游戏。</t>
  </si>
  <si>
    <t>统一采用当前起始牌组；不计地形、天气、站位收益，不依赖药水或新增强力卡。</t>
  </si>
  <si>
    <t>编号</t>
  </si>
  <si>
    <t>关卡</t>
  </si>
  <si>
    <t>适用层</t>
  </si>
  <si>
    <t>据点生命</t>
  </si>
  <si>
    <t>首轮能量</t>
  </si>
  <si>
    <t>成长/轮</t>
  </si>
  <si>
    <t>能量上限</t>
  </si>
  <si>
    <t>抽牌/轮</t>
  </si>
  <si>
    <t>参考轮数</t>
  </si>
  <si>
    <t>参考战损</t>
  </si>
  <si>
    <t>脚本状态</t>
  </si>
  <si>
    <t>轮数目标</t>
  </si>
  <si>
    <t>战损目标</t>
  </si>
  <si>
    <t>A</t>
  </si>
  <si>
    <t>原野初遇</t>
  </si>
  <si>
    <t>第2层</t>
  </si>
  <si>
    <t>4–6</t>
  </si>
  <si>
    <t>0–8</t>
  </si>
  <si>
    <t>B</t>
  </si>
  <si>
    <t>边境混编</t>
  </si>
  <si>
    <t>第4层战斗</t>
  </si>
  <si>
    <t>5–7</t>
  </si>
  <si>
    <t>6–14</t>
  </si>
  <si>
    <t>C</t>
  </si>
  <si>
    <t>补给线阻击</t>
  </si>
  <si>
    <t>第5层战斗</t>
  </si>
  <si>
    <t>6–8</t>
  </si>
  <si>
    <t>8–16</t>
  </si>
  <si>
    <t>D</t>
  </si>
  <si>
    <t>原野守军</t>
  </si>
  <si>
    <t>第7层战斗</t>
  </si>
  <si>
    <t>8–18</t>
  </si>
  <si>
    <t>E</t>
  </si>
  <si>
    <t>督军前哨</t>
  </si>
  <si>
    <t>第8层战斗</t>
  </si>
  <si>
    <t>7–9</t>
  </si>
  <si>
    <t>10–22</t>
  </si>
  <si>
    <t>F</t>
  </si>
  <si>
    <t>原野督军</t>
  </si>
  <si>
    <t>第10层Boss</t>
  </si>
  <si>
    <t>8–11</t>
  </si>
  <si>
    <t>16–34</t>
  </si>
  <si>
    <t>据点生命控制需要赢几轮；敌兵属性与编成控制某一轮是否能赢。两者分开调整。</t>
  </si>
  <si>
    <t>路线预算（取回血选项；不使用药水）</t>
  </si>
  <si>
    <t>Boss最低入场生命</t>
  </si>
  <si>
    <t>Boss最高入场生命</t>
  </si>
  <si>
    <t>章末最低生命</t>
  </si>
  <si>
    <t>章末最高生命</t>
  </si>
  <si>
    <t>先测A、E、F，再跑整章。每档至少10次，记录轮数、基地战损、剩余能量、征召当前费用；药水另列。</t>
  </si>
  <si>
    <t>若交锋本身合适但拖长，普通据点生命减4，Boss减6。若某一轮普遍全灭，先改编成或攻击，不先加回血。</t>
  </si>
  <si>
    <t>层</t>
  </si>
  <si>
    <t>实际战斗节点</t>
  </si>
  <si>
    <t>配置</t>
  </si>
  <si>
    <t>节点简写省略floor_。第3层全是事件；04_01、06_01是事件；09_02是休息。按实际type绑定。</t>
  </si>
  <si>
    <t>02_01 / 02_02 / 02_03</t>
  </si>
  <si>
    <t>04_03</t>
  </si>
  <si>
    <t>05_02</t>
  </si>
  <si>
    <t>07_02 / 07_03</t>
  </si>
  <si>
    <t>源：当前章节JSON、BattleLevelConfig及战斗/卡牌脚本。完整字段、源文件和填表步骤见同目录初版文档。</t>
  </si>
  <si>
    <t>08_01 / 08_03</t>
  </si>
  <si>
    <t>10_01</t>
  </si>
  <si>
    <t>14条实际路线的生命预算</t>
  </si>
  <si>
    <t>按真实节点类型，取回血选项，满血溢出不计回复。战损倍率只放大预算，不模拟另一组交锋；死亡后生命保持0。</t>
  </si>
  <si>
    <t>开局生命</t>
  </si>
  <si>
    <t>生命上限</t>
  </si>
  <si>
    <t>战损倍率</t>
  </si>
  <si>
    <t>可将F5改为1.5观察压力预算。若某套据点未扣完，路线结果显示待补脚本。右侧保留逐层生命与实际回复。</t>
  </si>
  <si>
    <t>路径</t>
  </si>
  <si>
    <t>节点序列（省略floor_）</t>
  </si>
  <si>
    <t>普通场数</t>
  </si>
  <si>
    <t>战损预算</t>
  </si>
  <si>
    <t>实际回复</t>
  </si>
  <si>
    <t>Boss入场</t>
  </si>
  <si>
    <t>章末生命</t>
  </si>
  <si>
    <t>出发</t>
  </si>
  <si>
    <t>层1后</t>
  </si>
  <si>
    <t>层2后</t>
  </si>
  <si>
    <t>层3后</t>
  </si>
  <si>
    <t>层4后</t>
  </si>
  <si>
    <t>层5后</t>
  </si>
  <si>
    <t>层6后</t>
  </si>
  <si>
    <t>层7后</t>
  </si>
  <si>
    <t>层8后</t>
  </si>
  <si>
    <t>层9后</t>
  </si>
  <si>
    <t>层10后</t>
  </si>
  <si>
    <t>层1回复</t>
  </si>
  <si>
    <t>层2回复</t>
  </si>
  <si>
    <t>层3回复</t>
  </si>
  <si>
    <t>层4回复</t>
  </si>
  <si>
    <t>层5回复</t>
  </si>
  <si>
    <t>层6回复</t>
  </si>
  <si>
    <t>层7回复</t>
  </si>
  <si>
    <t>层8回复</t>
  </si>
  <si>
    <t>层9回复</t>
  </si>
  <si>
    <t>层10回复</t>
  </si>
  <si>
    <t>02_02 → 03_02 → 04_01 → 05_01 → 06_01 → 07_01 → 08_01 → 09_01</t>
  </si>
  <si>
    <t>02_02 → 03_02 → 04_01 → 05_01 → 06_01 → 07_02 → 08_01 → 09_01</t>
  </si>
  <si>
    <t>02_02 → 03_03 → 04_02 → 05_03 → 06_03 → 07_03 → 08_02 → 09_02</t>
  </si>
  <si>
    <t>02_02 → 03_03 → 04_02 → 05_03 → 06_03 → 07_03 → 08_03 → 09_02</t>
  </si>
  <si>
    <t>02_02 → 03_03 → 04_02 → 05_03 → 06_02 → 07_03 → 08_02 → 09_02</t>
  </si>
  <si>
    <t>02_02 → 03_03 → 04_02 → 05_03 → 06_02 → 07_03 → 08_03 → 09_02</t>
  </si>
  <si>
    <t>02_02 → 03_03 → 04_02 → 05_02 → 06_01 → 07_01 → 08_01 → 09_01</t>
  </si>
  <si>
    <t>02_02 → 03_03 → 04_02 → 05_02 → 06_01 → 07_02 → 08_01 → 09_01</t>
  </si>
  <si>
    <t>02_03 → 03_04 → 04_03 → 05_03 → 06_03 → 07_03 → 08_02 → 09_02</t>
  </si>
  <si>
    <t>02_03 → 03_04 → 04_03 → 05_03 → 06_03 → 07_03 → 08_03 → 09_02</t>
  </si>
  <si>
    <t>02_03 → 03_04 → 04_03 → 05_03 → 06_02 → 07_03 → 08_02 → 09_02</t>
  </si>
  <si>
    <t>02_03 → 03_04 → 04_03 → 05_03 → 06_02 → 07_03 → 08_03 → 09_02</t>
  </si>
  <si>
    <t>02_01 → 03_01 → 04_01 → 05_01 → 06_01 → 07_01 → 08_01 → 09_01</t>
  </si>
  <si>
    <t>02_01 → 03_01 → 04_01 → 05_01 → 06_01 → 07_02 → 08_01 → 09_01</t>
  </si>
  <si>
    <t>路线上共2–4场普通战斗、1场Boss、1–3次20点休息；全部共14条路径。入场生命模型没有加入药水收益、购物支出或尚未获得的新征召牌。</t>
  </si>
  <si>
    <t>源：data/levels/第一章 ·  翠绿原野.json。当前有5个节点标题与type不一致；本表保留type，不将事件误算为战斗。数值预算依赖波次表的假设结算，不代表实测平均值。</t>
  </si>
  <si>
    <t>波次编成与参考结算</t>
  </si>
  <si>
    <t>胜负为设计假设：1=我方胜、0=我方败、2=全灭平局；空白=未设参考。兵种属性改变不会自动预测胜负。</t>
  </si>
  <si>
    <t>空波仍占一个回合。非循环耗尽后复用末个非空波；F循环6–10波，无成长。重复编成用公式链接原始波次。</t>
  </si>
  <si>
    <t>回合</t>
  </si>
  <si>
    <t>S</t>
  </si>
  <si>
    <t>R</t>
  </si>
  <si>
    <t>O</t>
  </si>
  <si>
    <t>T</t>
  </si>
  <si>
    <t>敌单位生命和</t>
  </si>
  <si>
    <t>敌人数</t>
  </si>
  <si>
    <t>幸存扣血池</t>
  </si>
  <si>
    <t>胜负假设</t>
  </si>
  <si>
    <t>我幸存扣血</t>
  </si>
  <si>
    <t>敌幸存扣血</t>
  </si>
  <si>
    <t>打敌据点</t>
  </si>
  <si>
    <t>玩家战损</t>
  </si>
  <si>
    <t>敌余生命</t>
  </si>
  <si>
    <t>累计战损</t>
  </si>
  <si>
    <t>基础能量</t>
  </si>
  <si>
    <t>状态 / 说明</t>
  </si>
  <si>
    <t>下一套配置</t>
  </si>
  <si>
    <t>以下为Boss：第11轮后循环6–10，无成长。</t>
  </si>
  <si>
    <t>敌兵副本与当前开局</t>
  </si>
  <si>
    <t>敌兵属性仅用于本章副本。技能保留；T首版闪避设0。属性检查只计算普通攻击，不自动预测交锋胜负。</t>
  </si>
  <si>
    <t>代号</t>
  </si>
  <si>
    <t>敌兵</t>
  </si>
  <si>
    <t>草案生命</t>
  </si>
  <si>
    <t>草案攻击</t>
  </si>
  <si>
    <t>草案防御</t>
  </si>
  <si>
    <t>幸存扣血</t>
  </si>
  <si>
    <t>闪避</t>
  </si>
  <si>
    <t>士兵每击</t>
  </si>
  <si>
    <t>强化每击</t>
  </si>
  <si>
    <t>普通击杀次数</t>
  </si>
  <si>
    <t>强化击杀次数</t>
  </si>
  <si>
    <t>敌打士兵</t>
  </si>
  <si>
    <t>加固后受击</t>
  </si>
  <si>
    <t>源资源ID</t>
  </si>
  <si>
    <t>当前生命</t>
  </si>
  <si>
    <t>当前攻击</t>
  </si>
  <si>
    <t>当前防御</t>
  </si>
  <si>
    <t>当前扣血</t>
  </si>
  <si>
    <t>当前闪避</t>
  </si>
  <si>
    <t>骷髅兵</t>
  </si>
  <si>
    <t>skeleton</t>
  </si>
  <si>
    <t>骷髅弓手</t>
  </si>
  <si>
    <t>skeleton_archer</t>
  </si>
  <si>
    <t>哥布林</t>
  </si>
  <si>
    <t>orc</t>
  </si>
  <si>
    <t>武装哥布林</t>
  </si>
  <si>
    <t>armored_orc</t>
  </si>
  <si>
    <t>elite_orc</t>
  </si>
  <si>
    <t>角色</t>
  </si>
  <si>
    <t>单位</t>
  </si>
  <si>
    <t>生命</t>
  </si>
  <si>
    <t>攻击</t>
  </si>
  <si>
    <t>防御</t>
  </si>
  <si>
    <t>初费</t>
  </si>
  <si>
    <t>玩家</t>
  </si>
  <si>
    <t>士兵</t>
  </si>
  <si>
    <t>弓箭手</t>
  </si>
  <si>
    <t>强化参数</t>
  </si>
  <si>
    <t>力量强化+攻击</t>
  </si>
  <si>
    <t>护甲加固+防御</t>
  </si>
  <si>
    <t>源：data/units/unit_data.gd及各单位.tres。当前列包含源码默认值；开局为3士兵+2弓手+2护甲+3攻击强化。玩家数值供属性比较，不自动改变路线开局生命。</t>
  </si>
  <si>
    <t>B沿用精英哥布林技能：旋转0.8倍率/4次命中/8秒冷却；强击2倍率/10秒。每段单独减防御，不能只按攻击13估价。</t>
  </si>
  <si>
    <t>攻击、防御、生命改变后，请重新试玩并更新波次表的胜负与幸存扣血值；本表不会用一个战力分数替你预测胜负。</t>
  </si>
  <si>
    <t>敌兵属性仅用于本章副本。技能保留；T首版闪避设0。属性检查只计算普通攻击，不自动预测交锋胜负。</t>
    <phoneticPr fontId="6" type="noConversion"/>
  </si>
  <si>
    <t>敌兵副本与当前开局</t>
    <phoneticPr fontId="6" type="noConversion"/>
  </si>
  <si>
    <t>流派</t>
    <phoneticPr fontId="6" type="noConversion"/>
  </si>
  <si>
    <t>毒</t>
    <phoneticPr fontId="6" type="noConversion"/>
  </si>
  <si>
    <t>单人</t>
    <phoneticPr fontId="6" type="noConversion"/>
  </si>
  <si>
    <t>人海</t>
    <phoneticPr fontId="6" type="noConversion"/>
  </si>
  <si>
    <t>吸血</t>
    <phoneticPr fontId="6" type="noConversion"/>
  </si>
  <si>
    <t>抽卡</t>
    <phoneticPr fontId="6" type="noConversion"/>
  </si>
  <si>
    <t>弃牌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</si>
</sst>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\x"/>
    <numFmt numFmtId="177" formatCode="0.0"/>
  </numFmts>
  <fonts count="7">
    <font>
      <sz val="11"/>
      <name val="Carlito"/>
    </font>
    <font>
      <sz val="10"/>
      <color rgb="FF253C35"/>
      <name val="Microsoft YaHei"/>
      <family val="2"/>
      <charset val="134"/>
    </font>
    <font>
      <b/>
      <sz val="16"/>
      <color rgb="FF244E43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805816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44E43"/>
      </patternFill>
    </fill>
    <fill>
      <patternFill patternType="solid">
        <fgColor rgb="FFFFF0C5"/>
      </patternFill>
    </fill>
    <fill>
      <patternFill patternType="solid">
        <fgColor rgb="FFECF0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1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 wrapText="1"/>
    </xf>
    <xf numFmtId="1" fontId="2" fillId="0" borderId="0" xfId="1" applyNumberFormat="1" applyFont="1" applyAlignment="1">
      <alignment vertical="center" wrapText="1"/>
    </xf>
    <xf numFmtId="1" fontId="3" fillId="2" borderId="0" xfId="1" applyNumberFormat="1" applyFont="1" applyFill="1" applyAlignment="1">
      <alignment vertical="center"/>
    </xf>
    <xf numFmtId="1" fontId="3" fillId="2" borderId="0" xfId="1" applyNumberFormat="1" applyFont="1" applyFill="1" applyAlignment="1">
      <alignment horizontal="center" vertical="center" wrapText="1"/>
    </xf>
    <xf numFmtId="1" fontId="4" fillId="3" borderId="0" xfId="1" applyNumberFormat="1" applyFont="1" applyFill="1" applyAlignment="1">
      <alignment vertical="center"/>
    </xf>
    <xf numFmtId="1" fontId="1" fillId="4" borderId="0" xfId="1" applyNumberFormat="1" applyFont="1" applyFill="1" applyAlignment="1">
      <alignment vertical="center"/>
    </xf>
    <xf numFmtId="9" fontId="4" fillId="3" borderId="0" xfId="1" applyNumberFormat="1" applyFont="1" applyFill="1" applyAlignment="1">
      <alignment vertical="center"/>
    </xf>
    <xf numFmtId="9" fontId="1" fillId="4" borderId="0" xfId="1" applyNumberFormat="1" applyFont="1" applyFill="1" applyAlignment="1">
      <alignment vertical="center"/>
    </xf>
    <xf numFmtId="1" fontId="1" fillId="4" borderId="0" xfId="1" applyNumberFormat="1" applyFont="1" applyFill="1" applyAlignment="1">
      <alignment vertical="center" wrapText="1"/>
    </xf>
    <xf numFmtId="176" fontId="4" fillId="3" borderId="0" xfId="1" applyNumberFormat="1" applyFont="1" applyFill="1" applyAlignment="1">
      <alignment vertical="center"/>
    </xf>
    <xf numFmtId="177" fontId="1" fillId="0" borderId="0" xfId="1" applyNumberFormat="1" applyFont="1" applyAlignment="1">
      <alignment vertical="center"/>
    </xf>
    <xf numFmtId="1" fontId="2" fillId="0" borderId="0" xfId="1" applyNumberFormat="1" applyFont="1" applyAlignment="1">
      <alignment vertical="center" wrapText="1"/>
    </xf>
    <xf numFmtId="1" fontId="1" fillId="0" borderId="0" xfId="1" applyNumberFormat="1" applyFont="1" applyAlignment="1">
      <alignment vertical="center" wrapText="1"/>
    </xf>
    <xf numFmtId="1" fontId="1" fillId="0" borderId="0" xfId="1" applyNumberFormat="1" applyFont="1" applyAlignment="1">
      <alignment vertical="center"/>
    </xf>
    <xf numFmtId="1" fontId="1" fillId="4" borderId="0" xfId="1" applyNumberFormat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2">
    <dxf>
      <font>
        <color rgb="FF9E4828"/>
      </font>
      <fill>
        <patternFill patternType="solid">
          <bgColor rgb="FFF8DED2"/>
        </patternFill>
      </fill>
    </dxf>
    <dxf>
      <font>
        <color rgb="FF9E4828"/>
      </font>
      <fill>
        <patternFill patternType="solid">
          <bgColor rgb="FFF8DE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75">
                <a:latin typeface="Microsoft YaHei"/>
                <a:ea typeface="Microsoft YaHei"/>
                <a:cs typeface="Microsoft YaHei"/>
              </a:rPr>
              <a:t>据点生命与参考战损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据点生命</c:v>
          </c:tx>
          <c:spPr>
            <a:ln w="19050">
              <a:solidFill>
                <a:srgbClr val="397761"/>
              </a:solidFill>
              <a:prstDash val="solid"/>
            </a:ln>
          </c:spPr>
          <c:marker>
            <c:symbol val="none"/>
          </c:marker>
          <c:cat>
            <c:strRef>
              <c:f>关卡总览!$A$36:$A$41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关卡总览!$B$36:$B$41</c:f>
              <c:numCache>
                <c:formatCode>0</c:formatCode>
                <c:ptCount val="6"/>
                <c:pt idx="0">
                  <c:v>22</c:v>
                </c:pt>
                <c:pt idx="1">
                  <c:v>30</c:v>
                </c:pt>
                <c:pt idx="2">
                  <c:v>34</c:v>
                </c:pt>
                <c:pt idx="3">
                  <c:v>38</c:v>
                </c:pt>
                <c:pt idx="4">
                  <c:v>42</c:v>
                </c:pt>
                <c:pt idx="5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6-416E-AB7A-1F72621D7C99}"/>
            </c:ext>
          </c:extLst>
        </c:ser>
        <c:ser>
          <c:idx val="1"/>
          <c:order val="1"/>
          <c:tx>
            <c:v>参考战损</c:v>
          </c:tx>
          <c:spPr>
            <a:ln w="19050">
              <a:solidFill>
                <a:srgbClr val="D19C43"/>
              </a:solidFill>
              <a:prstDash val="solid"/>
            </a:ln>
          </c:spPr>
          <c:marker>
            <c:symbol val="none"/>
          </c:marker>
          <c:cat>
            <c:strRef>
              <c:f>关卡总览!$A$36:$A$41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关卡总览!$C$36:$C$41</c:f>
              <c:numCache>
                <c:formatCode>0</c:formatCode>
                <c:ptCount val="6"/>
                <c:pt idx="0">
                  <c:v>4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16</c:v>
                </c:pt>
                <c:pt idx="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6-416E-AB7A-1F72621D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E43"/>
  </sheetPr>
  <dimension ref="A1:M52"/>
  <sheetViews>
    <sheetView showGridLines="0" tabSelected="1" zoomScale="85" zoomScaleNormal="85" workbookViewId="0">
      <pane ySplit="8" topLeftCell="A9" activePane="bottomLeft" state="frozen"/>
      <selection pane="bottomLeft" activeCell="A29" sqref="A29:E31"/>
    </sheetView>
  </sheetViews>
  <sheetFormatPr defaultRowHeight="14"/>
  <cols>
    <col min="1" max="1" width="7" customWidth="1"/>
    <col min="2" max="2" width="26" customWidth="1"/>
    <col min="3" max="3" width="18" customWidth="1"/>
    <col min="4" max="4" width="12" customWidth="1"/>
    <col min="5" max="8" width="10" customWidth="1"/>
    <col min="9" max="13" width="13" customWidth="1"/>
  </cols>
  <sheetData>
    <row r="1" spans="1:13" ht="2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>
      <c r="A2" s="13" t="s">
        <v>0</v>
      </c>
      <c r="B2" s="13" t="s">
        <v>0</v>
      </c>
      <c r="C2" s="13" t="s">
        <v>0</v>
      </c>
      <c r="D2" s="13" t="s">
        <v>0</v>
      </c>
      <c r="E2" s="13" t="s">
        <v>0</v>
      </c>
      <c r="F2" s="13" t="s">
        <v>0</v>
      </c>
      <c r="G2" s="13" t="s">
        <v>0</v>
      </c>
      <c r="H2" s="13" t="s">
        <v>0</v>
      </c>
      <c r="I2" s="13" t="s">
        <v>0</v>
      </c>
      <c r="J2" s="13" t="s">
        <v>0</v>
      </c>
      <c r="K2" s="13" t="s">
        <v>0</v>
      </c>
      <c r="L2" s="13" t="s">
        <v>0</v>
      </c>
      <c r="M2" s="13" t="s">
        <v>0</v>
      </c>
    </row>
    <row r="3" spans="1:13" ht="2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6" customHeight="1">
      <c r="A4" s="14" t="s">
        <v>1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  <c r="I4" s="14" t="s">
        <v>1</v>
      </c>
      <c r="J4" s="14" t="s">
        <v>1</v>
      </c>
      <c r="K4" s="14" t="s">
        <v>1</v>
      </c>
      <c r="L4" s="14" t="s">
        <v>1</v>
      </c>
      <c r="M4" s="14" t="s">
        <v>1</v>
      </c>
    </row>
    <row r="5" spans="1:13" ht="26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6" customHeight="1">
      <c r="A6" s="14" t="s">
        <v>2</v>
      </c>
      <c r="B6" s="14" t="s">
        <v>2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  <c r="I6" s="14" t="s">
        <v>2</v>
      </c>
      <c r="J6" s="14" t="s">
        <v>2</v>
      </c>
      <c r="K6" s="14" t="s">
        <v>2</v>
      </c>
      <c r="L6" s="14" t="s">
        <v>2</v>
      </c>
      <c r="M6" s="14" t="s">
        <v>2</v>
      </c>
    </row>
    <row r="7" spans="1:13" ht="26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40" customHeight="1">
      <c r="A8" s="5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12</v>
      </c>
      <c r="K8" s="5" t="s">
        <v>13</v>
      </c>
      <c r="L8" s="5" t="s">
        <v>14</v>
      </c>
      <c r="M8" s="5" t="s">
        <v>15</v>
      </c>
    </row>
    <row r="9" spans="1:13" ht="26" customHeight="1">
      <c r="A9" s="1" t="s">
        <v>16</v>
      </c>
      <c r="B9" s="1" t="s">
        <v>17</v>
      </c>
      <c r="C9" s="1" t="s">
        <v>18</v>
      </c>
      <c r="D9" s="6">
        <v>22</v>
      </c>
      <c r="E9" s="6">
        <v>3</v>
      </c>
      <c r="F9" s="6">
        <v>1</v>
      </c>
      <c r="G9" s="6">
        <v>10</v>
      </c>
      <c r="H9" s="6">
        <v>5</v>
      </c>
      <c r="I9" s="1">
        <f>IF(波次与结算!P14&gt;0,"待继续",COUNTIF(波次与结算!P9:P14,"&gt;0")+1)</f>
        <v>5</v>
      </c>
      <c r="J9" s="1">
        <f>波次与结算!Q14</f>
        <v>4</v>
      </c>
      <c r="K9" s="1" t="str">
        <f>IF(波次与结算!P14&gt;0,"未扣完","已扣完")</f>
        <v>已扣完</v>
      </c>
      <c r="L9" s="1" t="s">
        <v>19</v>
      </c>
      <c r="M9" s="1" t="s">
        <v>20</v>
      </c>
    </row>
    <row r="10" spans="1:13" ht="26" customHeight="1">
      <c r="A10" s="1" t="s">
        <v>21</v>
      </c>
      <c r="B10" s="1" t="s">
        <v>22</v>
      </c>
      <c r="C10" s="1" t="s">
        <v>23</v>
      </c>
      <c r="D10" s="6">
        <v>30</v>
      </c>
      <c r="E10" s="6">
        <v>3</v>
      </c>
      <c r="F10" s="6">
        <v>1</v>
      </c>
      <c r="G10" s="6">
        <v>10</v>
      </c>
      <c r="H10" s="6">
        <v>5</v>
      </c>
      <c r="I10" s="1">
        <f>IF(波次与结算!P22&gt;0,"待继续",COUNTIF(波次与结算!P16:P22,"&gt;0")+1)</f>
        <v>7</v>
      </c>
      <c r="J10" s="1">
        <f>波次与结算!Q22</f>
        <v>12</v>
      </c>
      <c r="K10" s="1" t="str">
        <f>IF(波次与结算!P22&gt;0,"未扣完","已扣完")</f>
        <v>已扣完</v>
      </c>
      <c r="L10" s="1" t="s">
        <v>24</v>
      </c>
      <c r="M10" s="1" t="s">
        <v>25</v>
      </c>
    </row>
    <row r="11" spans="1:13" ht="26" customHeight="1">
      <c r="A11" s="1" t="s">
        <v>26</v>
      </c>
      <c r="B11" s="1" t="s">
        <v>27</v>
      </c>
      <c r="C11" s="1" t="s">
        <v>28</v>
      </c>
      <c r="D11" s="6">
        <v>34</v>
      </c>
      <c r="E11" s="6">
        <v>3</v>
      </c>
      <c r="F11" s="6">
        <v>1</v>
      </c>
      <c r="G11" s="6">
        <v>10</v>
      </c>
      <c r="H11" s="6">
        <v>5</v>
      </c>
      <c r="I11" s="1">
        <f>IF(波次与结算!P30&gt;0,"待继续",COUNTIF(波次与结算!P24:P30,"&gt;0")+1)</f>
        <v>7</v>
      </c>
      <c r="J11" s="1">
        <f>波次与结算!Q30</f>
        <v>12</v>
      </c>
      <c r="K11" s="1" t="str">
        <f>IF(波次与结算!P30&gt;0,"未扣完","已扣完")</f>
        <v>已扣完</v>
      </c>
      <c r="L11" s="1" t="s">
        <v>29</v>
      </c>
      <c r="M11" s="1" t="s">
        <v>30</v>
      </c>
    </row>
    <row r="12" spans="1:13" ht="26" customHeight="1">
      <c r="A12" s="1" t="s">
        <v>31</v>
      </c>
      <c r="B12" s="1" t="s">
        <v>32</v>
      </c>
      <c r="C12" s="1" t="s">
        <v>33</v>
      </c>
      <c r="D12" s="6">
        <v>38</v>
      </c>
      <c r="E12" s="6">
        <v>3</v>
      </c>
      <c r="F12" s="6">
        <v>1</v>
      </c>
      <c r="G12" s="6">
        <v>10</v>
      </c>
      <c r="H12" s="6">
        <v>5</v>
      </c>
      <c r="I12" s="1">
        <f>IF(波次与结算!P39&gt;0,"待继续",COUNTIF(波次与结算!P32:P39,"&gt;0")+1)</f>
        <v>8</v>
      </c>
      <c r="J12" s="1">
        <f>波次与结算!Q39</f>
        <v>12</v>
      </c>
      <c r="K12" s="1" t="str">
        <f>IF(波次与结算!P39&gt;0,"未扣完","已扣完")</f>
        <v>已扣完</v>
      </c>
      <c r="L12" s="1" t="s">
        <v>29</v>
      </c>
      <c r="M12" s="1" t="s">
        <v>34</v>
      </c>
    </row>
    <row r="13" spans="1:13" ht="26" customHeight="1">
      <c r="A13" s="1" t="s">
        <v>35</v>
      </c>
      <c r="B13" s="1" t="s">
        <v>36</v>
      </c>
      <c r="C13" s="1" t="s">
        <v>37</v>
      </c>
      <c r="D13" s="6">
        <v>42</v>
      </c>
      <c r="E13" s="6">
        <v>3</v>
      </c>
      <c r="F13" s="6">
        <v>1</v>
      </c>
      <c r="G13" s="6">
        <v>10</v>
      </c>
      <c r="H13" s="6">
        <v>5</v>
      </c>
      <c r="I13" s="1">
        <f>IF(波次与结算!P49&gt;0,"待继续",COUNTIF(波次与结算!P41:P49,"&gt;0")+1)</f>
        <v>9</v>
      </c>
      <c r="J13" s="1">
        <f>波次与结算!Q49</f>
        <v>16</v>
      </c>
      <c r="K13" s="1" t="str">
        <f>IF(波次与结算!P49&gt;0,"未扣完","已扣完")</f>
        <v>已扣完</v>
      </c>
      <c r="L13" s="1" t="s">
        <v>38</v>
      </c>
      <c r="M13" s="1" t="s">
        <v>39</v>
      </c>
    </row>
    <row r="14" spans="1:13" ht="26" customHeight="1">
      <c r="A14" s="1" t="s">
        <v>40</v>
      </c>
      <c r="B14" s="1" t="s">
        <v>41</v>
      </c>
      <c r="C14" s="1" t="s">
        <v>42</v>
      </c>
      <c r="D14" s="6">
        <v>52</v>
      </c>
      <c r="E14" s="6">
        <v>3</v>
      </c>
      <c r="F14" s="6">
        <v>1</v>
      </c>
      <c r="G14" s="6">
        <v>10</v>
      </c>
      <c r="H14" s="6">
        <v>5</v>
      </c>
      <c r="I14" s="1">
        <f>IF(波次与结算!P65&gt;0,"待继续",COUNTIF(波次与结算!P51:P65,"&gt;0")+1)</f>
        <v>10</v>
      </c>
      <c r="J14" s="1">
        <f>波次与结算!Q65</f>
        <v>22</v>
      </c>
      <c r="K14" s="1" t="str">
        <f>IF(波次与结算!P65&gt;0,"未扣完","已扣完")</f>
        <v>已扣完</v>
      </c>
      <c r="L14" s="1" t="s">
        <v>43</v>
      </c>
      <c r="M14" s="1" t="s">
        <v>44</v>
      </c>
    </row>
    <row r="15" spans="1:13" ht="26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6" customHeight="1">
      <c r="A16" s="14" t="s">
        <v>45</v>
      </c>
      <c r="B16" s="14" t="s">
        <v>45</v>
      </c>
      <c r="C16" s="14" t="s">
        <v>45</v>
      </c>
      <c r="D16" s="14" t="s">
        <v>45</v>
      </c>
      <c r="E16" s="14" t="s">
        <v>45</v>
      </c>
      <c r="F16" s="14" t="s">
        <v>45</v>
      </c>
      <c r="G16" s="14" t="s">
        <v>45</v>
      </c>
      <c r="H16" s="14" t="s">
        <v>45</v>
      </c>
      <c r="I16" s="14" t="s">
        <v>45</v>
      </c>
      <c r="J16" s="14" t="s">
        <v>45</v>
      </c>
      <c r="K16" s="14" t="s">
        <v>45</v>
      </c>
      <c r="L16" s="14" t="s">
        <v>45</v>
      </c>
      <c r="M16" s="14" t="s">
        <v>45</v>
      </c>
    </row>
    <row r="17" spans="1:13" ht="26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6" customHeight="1">
      <c r="A18" s="14" t="s">
        <v>46</v>
      </c>
      <c r="B18" s="14" t="s">
        <v>46</v>
      </c>
      <c r="C18" s="14" t="s">
        <v>46</v>
      </c>
      <c r="D18" s="14" t="s">
        <v>46</v>
      </c>
      <c r="E18" s="14" t="s">
        <v>46</v>
      </c>
      <c r="F18" s="1"/>
      <c r="G18" s="1"/>
      <c r="H18" s="1"/>
      <c r="I18" s="1"/>
      <c r="J18" s="1"/>
      <c r="K18" s="1"/>
      <c r="L18" s="1"/>
      <c r="M18" s="1"/>
    </row>
    <row r="19" spans="1:13" ht="26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6" customHeight="1">
      <c r="A20" s="15" t="s">
        <v>47</v>
      </c>
      <c r="B20" s="15"/>
      <c r="C20" s="1">
        <f>IF(COUNT(路线生命!F9:F22)=14,MIN(路线生命!F9:F22),"待补脚本")</f>
        <v>76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6" customHeight="1">
      <c r="A21" s="15" t="s">
        <v>48</v>
      </c>
      <c r="B21" s="15"/>
      <c r="C21" s="1">
        <f>IF(COUNT(路线生命!F9:F22)=14,MAX(路线生命!F9:F22),"待补脚本")</f>
        <v>100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6" customHeight="1">
      <c r="A22" s="15" t="s">
        <v>49</v>
      </c>
      <c r="B22" s="15"/>
      <c r="C22" s="1">
        <f>IF(COUNT(路线生命!G9:G22)=14,MIN(路线生命!G9:G22),"待补脚本")</f>
        <v>54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6" customHeight="1">
      <c r="A23" s="15" t="s">
        <v>50</v>
      </c>
      <c r="B23" s="15"/>
      <c r="C23" s="1">
        <f>IF(COUNT(路线生命!G9:G22)=14,MAX(路线生命!G9:G22),"待补脚本")</f>
        <v>78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6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6" customHeight="1">
      <c r="A26" s="14" t="s">
        <v>51</v>
      </c>
      <c r="B26" s="14" t="s">
        <v>51</v>
      </c>
      <c r="C26" s="14" t="s">
        <v>51</v>
      </c>
      <c r="D26" s="14" t="s">
        <v>51</v>
      </c>
      <c r="E26" s="14" t="s">
        <v>51</v>
      </c>
      <c r="F26" s="1"/>
      <c r="G26" s="1"/>
      <c r="H26" s="1"/>
      <c r="I26" s="1"/>
      <c r="J26" s="1"/>
      <c r="K26" s="1"/>
      <c r="L26" s="1"/>
      <c r="M26" s="1"/>
    </row>
    <row r="27" spans="1:13" ht="26" customHeight="1">
      <c r="A27" s="14" t="s">
        <v>51</v>
      </c>
      <c r="B27" s="14" t="s">
        <v>51</v>
      </c>
      <c r="C27" s="14" t="s">
        <v>51</v>
      </c>
      <c r="D27" s="14" t="s">
        <v>51</v>
      </c>
      <c r="E27" s="14" t="s">
        <v>51</v>
      </c>
      <c r="F27" s="1"/>
      <c r="G27" s="1"/>
      <c r="H27" s="1"/>
      <c r="I27" s="1"/>
      <c r="J27" s="1"/>
      <c r="K27" s="1"/>
      <c r="L27" s="1"/>
      <c r="M27" s="1"/>
    </row>
    <row r="28" spans="1:13" ht="2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6" customHeight="1">
      <c r="A29" s="14" t="s">
        <v>52</v>
      </c>
      <c r="B29" s="14" t="s">
        <v>52</v>
      </c>
      <c r="C29" s="14" t="s">
        <v>52</v>
      </c>
      <c r="D29" s="14" t="s">
        <v>52</v>
      </c>
      <c r="E29" s="14" t="s">
        <v>52</v>
      </c>
      <c r="F29" s="1"/>
      <c r="G29" s="1"/>
      <c r="H29" s="1"/>
      <c r="I29" s="1"/>
      <c r="J29" s="1"/>
      <c r="K29" s="1"/>
      <c r="L29" s="1"/>
      <c r="M29" s="1"/>
    </row>
    <row r="30" spans="1:13" ht="26" customHeight="1">
      <c r="A30" s="14" t="s">
        <v>52</v>
      </c>
      <c r="B30" s="14" t="s">
        <v>52</v>
      </c>
      <c r="C30" s="14" t="s">
        <v>52</v>
      </c>
      <c r="D30" s="14" t="s">
        <v>52</v>
      </c>
      <c r="E30" s="14" t="s">
        <v>52</v>
      </c>
      <c r="F30" s="1"/>
      <c r="G30" s="1"/>
      <c r="H30" s="1"/>
      <c r="I30" s="1"/>
      <c r="J30" s="1"/>
      <c r="K30" s="1"/>
      <c r="L30" s="1"/>
      <c r="M30" s="1"/>
    </row>
    <row r="31" spans="1:13" ht="26" customHeight="1">
      <c r="A31" s="14" t="s">
        <v>52</v>
      </c>
      <c r="B31" s="14" t="s">
        <v>52</v>
      </c>
      <c r="C31" s="14" t="s">
        <v>52</v>
      </c>
      <c r="D31" s="14" t="s">
        <v>52</v>
      </c>
      <c r="E31" s="14" t="s">
        <v>52</v>
      </c>
      <c r="F31" s="1"/>
      <c r="G31" s="1"/>
      <c r="H31" s="1"/>
      <c r="I31" s="1"/>
      <c r="J31" s="1"/>
      <c r="K31" s="1"/>
      <c r="L31" s="1"/>
      <c r="M31" s="1"/>
    </row>
    <row r="32" spans="1:13" ht="2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6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6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40" customHeight="1">
      <c r="A35" s="5" t="s">
        <v>3</v>
      </c>
      <c r="B35" s="5" t="s">
        <v>6</v>
      </c>
      <c r="C35" s="5" t="s">
        <v>12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6" customHeight="1">
      <c r="A36" s="1" t="s">
        <v>16</v>
      </c>
      <c r="B36" s="1">
        <f t="shared" ref="B36:B41" si="0">D9</f>
        <v>22</v>
      </c>
      <c r="C36" s="1">
        <f t="shared" ref="C36:C41" si="1">J9</f>
        <v>4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6" customHeight="1">
      <c r="A37" s="1" t="s">
        <v>21</v>
      </c>
      <c r="B37" s="1">
        <f t="shared" si="0"/>
        <v>30</v>
      </c>
      <c r="C37" s="1">
        <f t="shared" si="1"/>
        <v>12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6" customHeight="1">
      <c r="A38" s="1" t="s">
        <v>26</v>
      </c>
      <c r="B38" s="1">
        <f t="shared" si="0"/>
        <v>34</v>
      </c>
      <c r="C38" s="1">
        <f t="shared" si="1"/>
        <v>12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6" customHeight="1">
      <c r="A39" s="1" t="s">
        <v>31</v>
      </c>
      <c r="B39" s="1">
        <f t="shared" si="0"/>
        <v>38</v>
      </c>
      <c r="C39" s="1">
        <f t="shared" si="1"/>
        <v>12</v>
      </c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6" customHeight="1">
      <c r="A40" s="1" t="s">
        <v>35</v>
      </c>
      <c r="B40" s="1">
        <f t="shared" si="0"/>
        <v>42</v>
      </c>
      <c r="C40" s="1">
        <f t="shared" si="1"/>
        <v>16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6" customHeight="1">
      <c r="A41" s="1" t="s">
        <v>40</v>
      </c>
      <c r="B41" s="1">
        <f t="shared" si="0"/>
        <v>52</v>
      </c>
      <c r="C41" s="1">
        <f t="shared" si="1"/>
        <v>22</v>
      </c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6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6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40" customHeight="1">
      <c r="A44" s="5" t="s">
        <v>53</v>
      </c>
      <c r="B44" s="5" t="s">
        <v>54</v>
      </c>
      <c r="C44" s="5" t="s">
        <v>55</v>
      </c>
      <c r="D44" s="1"/>
      <c r="E44" s="14" t="s">
        <v>56</v>
      </c>
      <c r="F44" s="14" t="s">
        <v>56</v>
      </c>
      <c r="G44" s="14" t="s">
        <v>56</v>
      </c>
      <c r="H44" s="14" t="s">
        <v>56</v>
      </c>
      <c r="I44" s="14" t="s">
        <v>56</v>
      </c>
      <c r="J44" s="14" t="s">
        <v>56</v>
      </c>
      <c r="K44" s="14" t="s">
        <v>56</v>
      </c>
      <c r="L44" s="14" t="s">
        <v>56</v>
      </c>
      <c r="M44" s="14" t="s">
        <v>56</v>
      </c>
    </row>
    <row r="45" spans="1:13" ht="26" customHeight="1">
      <c r="A45" s="1">
        <v>2</v>
      </c>
      <c r="B45" s="1" t="s">
        <v>57</v>
      </c>
      <c r="C45" s="1" t="s">
        <v>16</v>
      </c>
      <c r="D45" s="1"/>
      <c r="E45" s="14" t="s">
        <v>56</v>
      </c>
      <c r="F45" s="14" t="s">
        <v>56</v>
      </c>
      <c r="G45" s="14" t="s">
        <v>56</v>
      </c>
      <c r="H45" s="14" t="s">
        <v>56</v>
      </c>
      <c r="I45" s="14" t="s">
        <v>56</v>
      </c>
      <c r="J45" s="14" t="s">
        <v>56</v>
      </c>
      <c r="K45" s="14" t="s">
        <v>56</v>
      </c>
      <c r="L45" s="14" t="s">
        <v>56</v>
      </c>
      <c r="M45" s="14" t="s">
        <v>56</v>
      </c>
    </row>
    <row r="46" spans="1:13" ht="26" customHeight="1">
      <c r="A46" s="1">
        <v>4</v>
      </c>
      <c r="B46" s="1" t="s">
        <v>58</v>
      </c>
      <c r="C46" s="1" t="s">
        <v>21</v>
      </c>
      <c r="D46" s="1"/>
      <c r="E46" s="14" t="s">
        <v>56</v>
      </c>
      <c r="F46" s="14" t="s">
        <v>56</v>
      </c>
      <c r="G46" s="14" t="s">
        <v>56</v>
      </c>
      <c r="H46" s="14" t="s">
        <v>56</v>
      </c>
      <c r="I46" s="14" t="s">
        <v>56</v>
      </c>
      <c r="J46" s="14" t="s">
        <v>56</v>
      </c>
      <c r="K46" s="14" t="s">
        <v>56</v>
      </c>
      <c r="L46" s="14" t="s">
        <v>56</v>
      </c>
      <c r="M46" s="14" t="s">
        <v>56</v>
      </c>
    </row>
    <row r="47" spans="1:13" ht="26" customHeight="1">
      <c r="A47" s="1">
        <v>5</v>
      </c>
      <c r="B47" s="1" t="s">
        <v>59</v>
      </c>
      <c r="C47" s="1" t="s">
        <v>26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26" customHeight="1">
      <c r="A48" s="1">
        <v>7</v>
      </c>
      <c r="B48" s="1" t="s">
        <v>60</v>
      </c>
      <c r="C48" s="1" t="s">
        <v>31</v>
      </c>
      <c r="D48" s="1"/>
      <c r="E48" s="14" t="s">
        <v>61</v>
      </c>
      <c r="F48" s="14" t="s">
        <v>61</v>
      </c>
      <c r="G48" s="14" t="s">
        <v>61</v>
      </c>
      <c r="H48" s="14" t="s">
        <v>61</v>
      </c>
      <c r="I48" s="14" t="s">
        <v>61</v>
      </c>
      <c r="J48" s="14" t="s">
        <v>61</v>
      </c>
      <c r="K48" s="14" t="s">
        <v>61</v>
      </c>
      <c r="L48" s="14" t="s">
        <v>61</v>
      </c>
      <c r="M48" s="14" t="s">
        <v>61</v>
      </c>
    </row>
    <row r="49" spans="1:13" ht="26" customHeight="1">
      <c r="A49" s="1">
        <v>8</v>
      </c>
      <c r="B49" s="1" t="s">
        <v>62</v>
      </c>
      <c r="C49" s="1" t="s">
        <v>35</v>
      </c>
      <c r="D49" s="1"/>
      <c r="E49" s="14" t="s">
        <v>61</v>
      </c>
      <c r="F49" s="14" t="s">
        <v>61</v>
      </c>
      <c r="G49" s="14" t="s">
        <v>61</v>
      </c>
      <c r="H49" s="14" t="s">
        <v>61</v>
      </c>
      <c r="I49" s="14" t="s">
        <v>61</v>
      </c>
      <c r="J49" s="14" t="s">
        <v>61</v>
      </c>
      <c r="K49" s="14" t="s">
        <v>61</v>
      </c>
      <c r="L49" s="14" t="s">
        <v>61</v>
      </c>
      <c r="M49" s="14" t="s">
        <v>61</v>
      </c>
    </row>
    <row r="50" spans="1:13" ht="26" customHeight="1">
      <c r="A50" s="1">
        <v>10</v>
      </c>
      <c r="B50" s="1" t="s">
        <v>63</v>
      </c>
      <c r="C50" s="1" t="s">
        <v>40</v>
      </c>
      <c r="D50" s="1"/>
      <c r="E50" s="14" t="s">
        <v>61</v>
      </c>
      <c r="F50" s="14" t="s">
        <v>61</v>
      </c>
      <c r="G50" s="14" t="s">
        <v>61</v>
      </c>
      <c r="H50" s="14" t="s">
        <v>61</v>
      </c>
      <c r="I50" s="14" t="s">
        <v>61</v>
      </c>
      <c r="J50" s="14" t="s">
        <v>61</v>
      </c>
      <c r="K50" s="14" t="s">
        <v>61</v>
      </c>
      <c r="L50" s="14" t="s">
        <v>61</v>
      </c>
      <c r="M50" s="14" t="s">
        <v>61</v>
      </c>
    </row>
    <row r="51" spans="1:13" ht="26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26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</sheetData>
  <mergeCells count="13">
    <mergeCell ref="A29:E31"/>
    <mergeCell ref="E44:M46"/>
    <mergeCell ref="E48:M50"/>
    <mergeCell ref="A20:B20"/>
    <mergeCell ref="A21:B21"/>
    <mergeCell ref="A22:B22"/>
    <mergeCell ref="A23:B23"/>
    <mergeCell ref="A26:E27"/>
    <mergeCell ref="A2:M2"/>
    <mergeCell ref="A4:M4"/>
    <mergeCell ref="A6:M6"/>
    <mergeCell ref="A16:M16"/>
    <mergeCell ref="A18:E18"/>
  </mergeCells>
  <phoneticPr fontId="6" type="noConversion"/>
  <dataValidations count="3">
    <dataValidation type="whole" sqref="D9:D14" xr:uid="{00000000-0002-0000-0000-000000000000}">
      <formula1>1</formula1>
      <formula2>9999</formula2>
    </dataValidation>
    <dataValidation type="whole" sqref="E9:G14" xr:uid="{00000000-0002-0000-0000-000001000000}">
      <formula1>0</formula1>
      <formula2>100</formula2>
    </dataValidation>
    <dataValidation type="whole" sqref="H9:H14" xr:uid="{00000000-0002-0000-0000-000002000000}">
      <formula1>0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4E43"/>
  </sheetPr>
  <dimension ref="A1:AE32"/>
  <sheetViews>
    <sheetView showGridLines="0" workbookViewId="0">
      <pane ySplit="8" topLeftCell="A18" activePane="bottomLeft" state="frozen"/>
      <selection pane="bottomLeft"/>
    </sheetView>
  </sheetViews>
  <sheetFormatPr defaultRowHeight="14"/>
  <cols>
    <col min="1" max="1" width="8" customWidth="1"/>
    <col min="2" max="2" width="65" customWidth="1"/>
    <col min="3" max="7" width="12" customWidth="1"/>
    <col min="8" max="8" width="16" customWidth="1"/>
    <col min="9" max="9" width="3" customWidth="1"/>
    <col min="10" max="31" width="12" customWidth="1"/>
  </cols>
  <sheetData>
    <row r="1" spans="1:31" ht="2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6" customHeight="1">
      <c r="A2" s="13" t="s">
        <v>64</v>
      </c>
      <c r="B2" s="13" t="s">
        <v>64</v>
      </c>
      <c r="C2" s="13" t="s">
        <v>64</v>
      </c>
      <c r="D2" s="13" t="s">
        <v>64</v>
      </c>
      <c r="E2" s="13" t="s">
        <v>64</v>
      </c>
      <c r="F2" s="13" t="s">
        <v>64</v>
      </c>
      <c r="G2" s="13" t="s">
        <v>64</v>
      </c>
      <c r="H2" s="1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</row>
    <row r="3" spans="1:31" ht="2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36" customHeight="1">
      <c r="A4" s="14" t="s">
        <v>65</v>
      </c>
      <c r="B4" s="14" t="s">
        <v>65</v>
      </c>
      <c r="C4" s="14" t="s">
        <v>65</v>
      </c>
      <c r="D4" s="14" t="s">
        <v>65</v>
      </c>
      <c r="E4" s="14" t="s">
        <v>65</v>
      </c>
      <c r="F4" s="14" t="s">
        <v>65</v>
      </c>
      <c r="G4" s="14" t="s">
        <v>65</v>
      </c>
      <c r="H4" s="14" t="s">
        <v>65</v>
      </c>
      <c r="I4" s="2" t="s">
        <v>65</v>
      </c>
      <c r="J4" s="2" t="s">
        <v>65</v>
      </c>
      <c r="K4" s="2" t="s">
        <v>65</v>
      </c>
      <c r="L4" s="2" t="s">
        <v>65</v>
      </c>
      <c r="M4" s="2" t="s">
        <v>65</v>
      </c>
      <c r="N4" s="2" t="s">
        <v>65</v>
      </c>
      <c r="O4" s="2" t="s">
        <v>65</v>
      </c>
      <c r="P4" s="2" t="s">
        <v>65</v>
      </c>
      <c r="Q4" s="2" t="s">
        <v>65</v>
      </c>
      <c r="R4" s="2" t="s">
        <v>65</v>
      </c>
      <c r="S4" s="2" t="s">
        <v>65</v>
      </c>
      <c r="T4" s="2" t="s">
        <v>65</v>
      </c>
      <c r="U4" s="2" t="s">
        <v>65</v>
      </c>
      <c r="V4" s="2" t="s">
        <v>65</v>
      </c>
      <c r="W4" s="2" t="s">
        <v>65</v>
      </c>
      <c r="X4" s="2" t="s">
        <v>65</v>
      </c>
      <c r="Y4" s="2" t="s">
        <v>65</v>
      </c>
      <c r="Z4" s="2" t="s">
        <v>65</v>
      </c>
      <c r="AA4" s="2" t="s">
        <v>65</v>
      </c>
      <c r="AB4" s="2" t="s">
        <v>65</v>
      </c>
      <c r="AC4" s="2" t="s">
        <v>65</v>
      </c>
      <c r="AD4" s="2" t="s">
        <v>65</v>
      </c>
      <c r="AE4" s="2" t="s">
        <v>65</v>
      </c>
    </row>
    <row r="5" spans="1:31" ht="26" customHeight="1">
      <c r="A5" s="1" t="s">
        <v>66</v>
      </c>
      <c r="B5" s="6">
        <v>100</v>
      </c>
      <c r="C5" s="1" t="s">
        <v>67</v>
      </c>
      <c r="D5" s="6">
        <v>100</v>
      </c>
      <c r="E5" s="1" t="s">
        <v>68</v>
      </c>
      <c r="F5" s="11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6" customHeight="1">
      <c r="A6" s="14" t="s">
        <v>69</v>
      </c>
      <c r="B6" s="14" t="s">
        <v>69</v>
      </c>
      <c r="C6" s="14" t="s">
        <v>69</v>
      </c>
      <c r="D6" s="14" t="s">
        <v>69</v>
      </c>
      <c r="E6" s="14" t="s">
        <v>69</v>
      </c>
      <c r="F6" s="14" t="s">
        <v>69</v>
      </c>
      <c r="G6" s="14" t="s">
        <v>69</v>
      </c>
      <c r="H6" s="14" t="s">
        <v>69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6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40" customHeight="1">
      <c r="A8" s="5" t="s">
        <v>70</v>
      </c>
      <c r="B8" s="5" t="s">
        <v>71</v>
      </c>
      <c r="C8" s="5" t="s">
        <v>72</v>
      </c>
      <c r="D8" s="5" t="s">
        <v>73</v>
      </c>
      <c r="E8" s="5" t="s">
        <v>74</v>
      </c>
      <c r="F8" s="5" t="s">
        <v>75</v>
      </c>
      <c r="G8" s="5" t="s">
        <v>76</v>
      </c>
      <c r="H8" s="5" t="s">
        <v>13</v>
      </c>
      <c r="I8" s="1"/>
      <c r="J8" s="4" t="s">
        <v>77</v>
      </c>
      <c r="K8" s="4" t="s">
        <v>78</v>
      </c>
      <c r="L8" s="4" t="s">
        <v>79</v>
      </c>
      <c r="M8" s="4" t="s">
        <v>80</v>
      </c>
      <c r="N8" s="4" t="s">
        <v>81</v>
      </c>
      <c r="O8" s="4" t="s">
        <v>82</v>
      </c>
      <c r="P8" s="4" t="s">
        <v>83</v>
      </c>
      <c r="Q8" s="4" t="s">
        <v>84</v>
      </c>
      <c r="R8" s="4" t="s">
        <v>85</v>
      </c>
      <c r="S8" s="4" t="s">
        <v>86</v>
      </c>
      <c r="T8" s="4" t="s">
        <v>87</v>
      </c>
      <c r="U8" s="1"/>
      <c r="V8" s="4" t="s">
        <v>88</v>
      </c>
      <c r="W8" s="4" t="s">
        <v>89</v>
      </c>
      <c r="X8" s="4" t="s">
        <v>90</v>
      </c>
      <c r="Y8" s="4" t="s">
        <v>91</v>
      </c>
      <c r="Z8" s="4" t="s">
        <v>92</v>
      </c>
      <c r="AA8" s="4" t="s">
        <v>93</v>
      </c>
      <c r="AB8" s="4" t="s">
        <v>94</v>
      </c>
      <c r="AC8" s="4" t="s">
        <v>95</v>
      </c>
      <c r="AD8" s="4" t="s">
        <v>96</v>
      </c>
      <c r="AE8" s="4" t="s">
        <v>97</v>
      </c>
    </row>
    <row r="9" spans="1:31" ht="40" customHeight="1">
      <c r="A9" s="7">
        <v>1</v>
      </c>
      <c r="B9" s="10" t="s">
        <v>98</v>
      </c>
      <c r="C9" s="7">
        <v>2</v>
      </c>
      <c r="D9" s="12">
        <f>IF(OR(关卡总览!$K$9&lt;&gt;"已扣完",关卡总览!$K$13&lt;&gt;"已扣完",关卡总览!$K$14&lt;&gt;"已扣完"),"待补脚本",关卡总览!$J$9*$F$5+关卡总览!$J$13*$F$5+关卡总览!$J$14*$F$5)</f>
        <v>42</v>
      </c>
      <c r="E9" s="12">
        <f>IF(OR(关卡总览!$K$9&lt;&gt;"已扣完",关卡总览!$K$13&lt;&gt;"已扣完",关卡总览!$K$14&lt;&gt;"已扣完"),"待补脚本",SUM(V9:AE9))</f>
        <v>20</v>
      </c>
      <c r="F9" s="12">
        <f>IF(OR(关卡总览!$K$9&lt;&gt;"已扣完",关卡总览!$K$13&lt;&gt;"已扣完",关卡总览!$K$14&lt;&gt;"已扣完"),"待补脚本",S9)</f>
        <v>100</v>
      </c>
      <c r="G9" s="12">
        <f>IF(OR(关卡总览!$K$9&lt;&gt;"已扣完",关卡总览!$K$13&lt;&gt;"已扣完",关卡总览!$K$14&lt;&gt;"已扣完"),"待补脚本",T9)</f>
        <v>78</v>
      </c>
      <c r="H9" s="1" t="str">
        <f>IF(OR(关卡总览!$K$9&lt;&gt;"已扣完",关卡总览!$K$13&lt;&gt;"已扣完",关卡总览!$K$14&lt;&gt;"已扣完"),"待补脚本",IF(T9&lt;=0,"预算耗尽","有余量"))</f>
        <v>有余量</v>
      </c>
      <c r="I9" s="1"/>
      <c r="J9" s="12">
        <f t="shared" ref="J9:J22" si="0">$B$5</f>
        <v>100</v>
      </c>
      <c r="K9" s="12">
        <f t="shared" ref="K9:K22" si="1">IF(OR(J9&lt;=0,J9-0&lt;=0),0,MIN($D$5,J9-0+0))</f>
        <v>100</v>
      </c>
      <c r="L9" s="12">
        <f>IF(OR(K9&lt;=0,K9-关卡总览!$J$9*$F$5&lt;=0),0,MIN($D$5,K9-关卡总览!$J$9*$F$5+0))</f>
        <v>96</v>
      </c>
      <c r="M9" s="12">
        <f>IF(OR(L9&lt;=0,L9-0&lt;=0),0,MIN($D$5,L9-0+0))</f>
        <v>96</v>
      </c>
      <c r="N9" s="12">
        <f>IF(OR(M9&lt;=0,M9-0&lt;=0),0,MIN($D$5,M9-0+0))</f>
        <v>96</v>
      </c>
      <c r="O9" s="12">
        <f>IF(OR(N9&lt;=0,N9-0&lt;=0),0,MIN($D$5,N9-0+0))</f>
        <v>96</v>
      </c>
      <c r="P9" s="12">
        <f>IF(OR(O9&lt;=0,O9-0&lt;=0),0,MIN($D$5,O9-0+0))</f>
        <v>96</v>
      </c>
      <c r="Q9" s="12">
        <f>IF(OR(P9&lt;=0,P9-0&lt;=0),0,MIN($D$5,P9-0+0))</f>
        <v>96</v>
      </c>
      <c r="R9" s="12">
        <f>IF(OR(Q9&lt;=0,Q9-关卡总览!$J$13*$F$5&lt;=0),0,MIN($D$5,Q9-关卡总览!$J$13*$F$5+0))</f>
        <v>80</v>
      </c>
      <c r="S9" s="12">
        <f t="shared" ref="S9:S22" si="2">IF(OR(R9&lt;=0,R9-0&lt;=0),0,MIN($D$5,R9-0+20))</f>
        <v>100</v>
      </c>
      <c r="T9" s="12">
        <f>IF(OR(S9&lt;=0,S9-关卡总览!$J$14*$F$5&lt;=0),0,MIN($D$5,S9-关卡总览!$J$14*$F$5+0))</f>
        <v>78</v>
      </c>
      <c r="U9" s="12"/>
      <c r="V9" s="12">
        <f t="shared" ref="V9:V22" si="3">IF(J9&gt;0,MIN(MAX(0,$D$5-(J9-0)),0),0)</f>
        <v>0</v>
      </c>
      <c r="W9" s="12">
        <f>IF(K9&gt;关卡总览!$J$9*$F$5,MIN(MAX(0,$D$5-(K9-关卡总览!$J$9*$F$5)),0),0)</f>
        <v>0</v>
      </c>
      <c r="X9" s="12">
        <f>IF(L9&gt;0,MIN(MAX(0,$D$5-(L9-0)),0),0)</f>
        <v>0</v>
      </c>
      <c r="Y9" s="12">
        <f>IF(M9&gt;0,MIN(MAX(0,$D$5-(M9-0)),0),0)</f>
        <v>0</v>
      </c>
      <c r="Z9" s="12">
        <f>IF(N9&gt;0,MIN(MAX(0,$D$5-(N9-0)),0),0)</f>
        <v>0</v>
      </c>
      <c r="AA9" s="12">
        <f>IF(O9&gt;0,MIN(MAX(0,$D$5-(O9-0)),0),0)</f>
        <v>0</v>
      </c>
      <c r="AB9" s="12">
        <f>IF(P9&gt;0,MIN(MAX(0,$D$5-(P9-0)),0),0)</f>
        <v>0</v>
      </c>
      <c r="AC9" s="12">
        <f>IF(Q9&gt;关卡总览!$J$13*$F$5,MIN(MAX(0,$D$5-(Q9-关卡总览!$J$13*$F$5)),0),0)</f>
        <v>0</v>
      </c>
      <c r="AD9" s="12">
        <f t="shared" ref="AD9:AD22" si="4">IF(R9&gt;0,MIN(MAX(0,$D$5-(R9-0)),20),0)</f>
        <v>20</v>
      </c>
      <c r="AE9" s="12">
        <f>IF(S9&gt;关卡总览!$J$14*$F$5,MIN(MAX(0,$D$5-(S9-关卡总览!$J$14*$F$5)),0),0)</f>
        <v>0</v>
      </c>
    </row>
    <row r="10" spans="1:31" ht="40" customHeight="1">
      <c r="A10" s="7">
        <v>2</v>
      </c>
      <c r="B10" s="10" t="s">
        <v>99</v>
      </c>
      <c r="C10" s="7">
        <v>3</v>
      </c>
      <c r="D10" s="12">
        <f>IF(OR(关卡总览!$K$9&lt;&gt;"已扣完",关卡总览!$K$12&lt;&gt;"已扣完",关卡总览!$K$13&lt;&gt;"已扣完",关卡总览!$K$14&lt;&gt;"已扣完"),"待补脚本",关卡总览!$J$9*$F$5+关卡总览!$J$12*$F$5+关卡总览!$J$13*$F$5+关卡总览!$J$14*$F$5)</f>
        <v>54</v>
      </c>
      <c r="E10" s="12">
        <f>IF(OR(关卡总览!$K$9&lt;&gt;"已扣完",关卡总览!$K$12&lt;&gt;"已扣完",关卡总览!$K$13&lt;&gt;"已扣完",关卡总览!$K$14&lt;&gt;"已扣完"),"待补脚本",SUM(V10:AE10))</f>
        <v>20</v>
      </c>
      <c r="F10" s="12">
        <f>IF(OR(关卡总览!$K$9&lt;&gt;"已扣完",关卡总览!$K$12&lt;&gt;"已扣完",关卡总览!$K$13&lt;&gt;"已扣完",关卡总览!$K$14&lt;&gt;"已扣完"),"待补脚本",S10)</f>
        <v>88</v>
      </c>
      <c r="G10" s="12">
        <f>IF(OR(关卡总览!$K$9&lt;&gt;"已扣完",关卡总览!$K$12&lt;&gt;"已扣完",关卡总览!$K$13&lt;&gt;"已扣完",关卡总览!$K$14&lt;&gt;"已扣完"),"待补脚本",T10)</f>
        <v>66</v>
      </c>
      <c r="H10" s="1" t="str">
        <f>IF(OR(关卡总览!$K$9&lt;&gt;"已扣完",关卡总览!$K$12&lt;&gt;"已扣完",关卡总览!$K$13&lt;&gt;"已扣完",关卡总览!$K$14&lt;&gt;"已扣完"),"待补脚本",IF(T10&lt;=0,"预算耗尽","有余量"))</f>
        <v>有余量</v>
      </c>
      <c r="I10" s="1"/>
      <c r="J10" s="12">
        <f t="shared" si="0"/>
        <v>100</v>
      </c>
      <c r="K10" s="12">
        <f t="shared" si="1"/>
        <v>100</v>
      </c>
      <c r="L10" s="12">
        <f>IF(OR(K10&lt;=0,K10-关卡总览!$J$9*$F$5&lt;=0),0,MIN($D$5,K10-关卡总览!$J$9*$F$5+0))</f>
        <v>96</v>
      </c>
      <c r="M10" s="12">
        <f>IF(OR(L10&lt;=0,L10-0&lt;=0),0,MIN($D$5,L10-0+0))</f>
        <v>96</v>
      </c>
      <c r="N10" s="12">
        <f>IF(OR(M10&lt;=0,M10-0&lt;=0),0,MIN($D$5,M10-0+0))</f>
        <v>96</v>
      </c>
      <c r="O10" s="12">
        <f>IF(OR(N10&lt;=0,N10-0&lt;=0),0,MIN($D$5,N10-0+0))</f>
        <v>96</v>
      </c>
      <c r="P10" s="12">
        <f>IF(OR(O10&lt;=0,O10-0&lt;=0),0,MIN($D$5,O10-0+0))</f>
        <v>96</v>
      </c>
      <c r="Q10" s="12">
        <f>IF(OR(P10&lt;=0,P10-关卡总览!$J$12*$F$5&lt;=0),0,MIN($D$5,P10-关卡总览!$J$12*$F$5+0))</f>
        <v>84</v>
      </c>
      <c r="R10" s="12">
        <f>IF(OR(Q10&lt;=0,Q10-关卡总览!$J$13*$F$5&lt;=0),0,MIN($D$5,Q10-关卡总览!$J$13*$F$5+0))</f>
        <v>68</v>
      </c>
      <c r="S10" s="12">
        <f t="shared" si="2"/>
        <v>88</v>
      </c>
      <c r="T10" s="12">
        <f>IF(OR(S10&lt;=0,S10-关卡总览!$J$14*$F$5&lt;=0),0,MIN($D$5,S10-关卡总览!$J$14*$F$5+0))</f>
        <v>66</v>
      </c>
      <c r="U10" s="12"/>
      <c r="V10" s="12">
        <f t="shared" si="3"/>
        <v>0</v>
      </c>
      <c r="W10" s="12">
        <f>IF(K10&gt;关卡总览!$J$9*$F$5,MIN(MAX(0,$D$5-(K10-关卡总览!$J$9*$F$5)),0),0)</f>
        <v>0</v>
      </c>
      <c r="X10" s="12">
        <f>IF(L10&gt;0,MIN(MAX(0,$D$5-(L10-0)),0),0)</f>
        <v>0</v>
      </c>
      <c r="Y10" s="12">
        <f>IF(M10&gt;0,MIN(MAX(0,$D$5-(M10-0)),0),0)</f>
        <v>0</v>
      </c>
      <c r="Z10" s="12">
        <f>IF(N10&gt;0,MIN(MAX(0,$D$5-(N10-0)),0),0)</f>
        <v>0</v>
      </c>
      <c r="AA10" s="12">
        <f>IF(O10&gt;0,MIN(MAX(0,$D$5-(O10-0)),0),0)</f>
        <v>0</v>
      </c>
      <c r="AB10" s="12">
        <f>IF(P10&gt;关卡总览!$J$12*$F$5,MIN(MAX(0,$D$5-(P10-关卡总览!$J$12*$F$5)),0),0)</f>
        <v>0</v>
      </c>
      <c r="AC10" s="12">
        <f>IF(Q10&gt;关卡总览!$J$13*$F$5,MIN(MAX(0,$D$5-(Q10-关卡总览!$J$13*$F$5)),0),0)</f>
        <v>0</v>
      </c>
      <c r="AD10" s="12">
        <f t="shared" si="4"/>
        <v>20</v>
      </c>
      <c r="AE10" s="12">
        <f>IF(S10&gt;关卡总览!$J$14*$F$5,MIN(MAX(0,$D$5-(S10-关卡总览!$J$14*$F$5)),0),0)</f>
        <v>0</v>
      </c>
    </row>
    <row r="11" spans="1:31" ht="40" customHeight="1">
      <c r="A11" s="7">
        <v>3</v>
      </c>
      <c r="B11" s="10" t="s">
        <v>100</v>
      </c>
      <c r="C11" s="7">
        <v>2</v>
      </c>
      <c r="D11" s="12">
        <f>IF(OR(关卡总览!$K$9&lt;&gt;"已扣完",关卡总览!$K$12&lt;&gt;"已扣完",关卡总览!$K$14&lt;&gt;"已扣完"),"待补脚本",关卡总览!$J$9*$F$5+关卡总览!$J$12*$F$5+关卡总览!$J$14*$F$5)</f>
        <v>38</v>
      </c>
      <c r="E11" s="12">
        <f>IF(OR(关卡总览!$K$9&lt;&gt;"已扣完",关卡总览!$K$12&lt;&gt;"已扣完",关卡总览!$K$14&lt;&gt;"已扣完"),"待补脚本",SUM(V11:AE11))</f>
        <v>16</v>
      </c>
      <c r="F11" s="12">
        <f>IF(OR(关卡总览!$K$9&lt;&gt;"已扣完",关卡总览!$K$12&lt;&gt;"已扣完",关卡总览!$K$14&lt;&gt;"已扣完"),"待补脚本",S11)</f>
        <v>100</v>
      </c>
      <c r="G11" s="12">
        <f>IF(OR(关卡总览!$K$9&lt;&gt;"已扣完",关卡总览!$K$12&lt;&gt;"已扣完",关卡总览!$K$14&lt;&gt;"已扣完"),"待补脚本",T11)</f>
        <v>78</v>
      </c>
      <c r="H11" s="1" t="str">
        <f>IF(OR(关卡总览!$K$9&lt;&gt;"已扣完",关卡总览!$K$12&lt;&gt;"已扣完",关卡总览!$K$14&lt;&gt;"已扣完"),"待补脚本",IF(T11&lt;=0,"预算耗尽","有余量"))</f>
        <v>有余量</v>
      </c>
      <c r="I11" s="1"/>
      <c r="J11" s="12">
        <f t="shared" si="0"/>
        <v>100</v>
      </c>
      <c r="K11" s="12">
        <f t="shared" si="1"/>
        <v>100</v>
      </c>
      <c r="L11" s="12">
        <f>IF(OR(K11&lt;=0,K11-关卡总览!$J$9*$F$5&lt;=0),0,MIN($D$5,K11-关卡总览!$J$9*$F$5+0))</f>
        <v>96</v>
      </c>
      <c r="M11" s="12">
        <f t="shared" ref="M11:M22" si="5">IF(OR(L11&lt;=0,L11-0&lt;=0),0,MIN($D$5,L11-0+0))</f>
        <v>96</v>
      </c>
      <c r="N11" s="12">
        <f t="shared" ref="N11:N16" si="6">IF(OR(M11&lt;=0,M11-0&lt;=0),0,MIN($D$5,M11-0+20))</f>
        <v>100</v>
      </c>
      <c r="O11" s="12">
        <f>IF(OR(N11&lt;=0,N11-0&lt;=0),0,MIN($D$5,N11-0+0))</f>
        <v>100</v>
      </c>
      <c r="P11" s="12">
        <f>IF(OR(O11&lt;=0,O11-0&lt;=0),0,MIN($D$5,O11-0+0))</f>
        <v>100</v>
      </c>
      <c r="Q11" s="12">
        <f>IF(OR(P11&lt;=0,P11-关卡总览!$J$12*$F$5&lt;=0),0,MIN($D$5,P11-关卡总览!$J$12*$F$5+0))</f>
        <v>88</v>
      </c>
      <c r="R11" s="12">
        <f>IF(OR(Q11&lt;=0,Q11-0&lt;=0),0,MIN($D$5,Q11-0+0))</f>
        <v>88</v>
      </c>
      <c r="S11" s="12">
        <f t="shared" si="2"/>
        <v>100</v>
      </c>
      <c r="T11" s="12">
        <f>IF(OR(S11&lt;=0,S11-关卡总览!$J$14*$F$5&lt;=0),0,MIN($D$5,S11-关卡总览!$J$14*$F$5+0))</f>
        <v>78</v>
      </c>
      <c r="U11" s="12"/>
      <c r="V11" s="12">
        <f t="shared" si="3"/>
        <v>0</v>
      </c>
      <c r="W11" s="12">
        <f>IF(K11&gt;关卡总览!$J$9*$F$5,MIN(MAX(0,$D$5-(K11-关卡总览!$J$9*$F$5)),0),0)</f>
        <v>0</v>
      </c>
      <c r="X11" s="12">
        <f t="shared" ref="X11:X22" si="7">IF(L11&gt;0,MIN(MAX(0,$D$5-(L11-0)),0),0)</f>
        <v>0</v>
      </c>
      <c r="Y11" s="12">
        <f t="shared" ref="Y11:Y16" si="8">IF(M11&gt;0,MIN(MAX(0,$D$5-(M11-0)),20),0)</f>
        <v>4</v>
      </c>
      <c r="Z11" s="12">
        <f>IF(N11&gt;0,MIN(MAX(0,$D$5-(N11-0)),0),0)</f>
        <v>0</v>
      </c>
      <c r="AA11" s="12">
        <f>IF(O11&gt;0,MIN(MAX(0,$D$5-(O11-0)),0),0)</f>
        <v>0</v>
      </c>
      <c r="AB11" s="12">
        <f>IF(P11&gt;关卡总览!$J$12*$F$5,MIN(MAX(0,$D$5-(P11-关卡总览!$J$12*$F$5)),0),0)</f>
        <v>0</v>
      </c>
      <c r="AC11" s="12">
        <f>IF(Q11&gt;0,MIN(MAX(0,$D$5-(Q11-0)),0),0)</f>
        <v>0</v>
      </c>
      <c r="AD11" s="12">
        <f t="shared" si="4"/>
        <v>12</v>
      </c>
      <c r="AE11" s="12">
        <f>IF(S11&gt;关卡总览!$J$14*$F$5,MIN(MAX(0,$D$5-(S11-关卡总览!$J$14*$F$5)),0),0)</f>
        <v>0</v>
      </c>
    </row>
    <row r="12" spans="1:31" ht="40" customHeight="1">
      <c r="A12" s="7">
        <v>4</v>
      </c>
      <c r="B12" s="10" t="s">
        <v>101</v>
      </c>
      <c r="C12" s="7">
        <v>3</v>
      </c>
      <c r="D12" s="12">
        <f>IF(OR(关卡总览!$K$9&lt;&gt;"已扣完",关卡总览!$K$12&lt;&gt;"已扣完",关卡总览!$K$13&lt;&gt;"已扣完",关卡总览!$K$14&lt;&gt;"已扣完"),"待补脚本",关卡总览!$J$9*$F$5+关卡总览!$J$12*$F$5+关卡总览!$J$13*$F$5+关卡总览!$J$14*$F$5)</f>
        <v>54</v>
      </c>
      <c r="E12" s="12">
        <f>IF(OR(关卡总览!$K$9&lt;&gt;"已扣完",关卡总览!$K$12&lt;&gt;"已扣完",关卡总览!$K$13&lt;&gt;"已扣完",关卡总览!$K$14&lt;&gt;"已扣完"),"待补脚本",SUM(V12:AE12))</f>
        <v>24</v>
      </c>
      <c r="F12" s="12">
        <f>IF(OR(关卡总览!$K$9&lt;&gt;"已扣完",关卡总览!$K$12&lt;&gt;"已扣完",关卡总览!$K$13&lt;&gt;"已扣完",关卡总览!$K$14&lt;&gt;"已扣完"),"待补脚本",S12)</f>
        <v>92</v>
      </c>
      <c r="G12" s="12">
        <f>IF(OR(关卡总览!$K$9&lt;&gt;"已扣完",关卡总览!$K$12&lt;&gt;"已扣完",关卡总览!$K$13&lt;&gt;"已扣完",关卡总览!$K$14&lt;&gt;"已扣完"),"待补脚本",T12)</f>
        <v>70</v>
      </c>
      <c r="H12" s="1" t="str">
        <f>IF(OR(关卡总览!$K$9&lt;&gt;"已扣完",关卡总览!$K$12&lt;&gt;"已扣完",关卡总览!$K$13&lt;&gt;"已扣完",关卡总览!$K$14&lt;&gt;"已扣完"),"待补脚本",IF(T12&lt;=0,"预算耗尽","有余量"))</f>
        <v>有余量</v>
      </c>
      <c r="I12" s="1"/>
      <c r="J12" s="12">
        <f t="shared" si="0"/>
        <v>100</v>
      </c>
      <c r="K12" s="12">
        <f t="shared" si="1"/>
        <v>100</v>
      </c>
      <c r="L12" s="12">
        <f>IF(OR(K12&lt;=0,K12-关卡总览!$J$9*$F$5&lt;=0),0,MIN($D$5,K12-关卡总览!$J$9*$F$5+0))</f>
        <v>96</v>
      </c>
      <c r="M12" s="12">
        <f t="shared" si="5"/>
        <v>96</v>
      </c>
      <c r="N12" s="12">
        <f t="shared" si="6"/>
        <v>100</v>
      </c>
      <c r="O12" s="12">
        <f>IF(OR(N12&lt;=0,N12-0&lt;=0),0,MIN($D$5,N12-0+0))</f>
        <v>100</v>
      </c>
      <c r="P12" s="12">
        <f>IF(OR(O12&lt;=0,O12-0&lt;=0),0,MIN($D$5,O12-0+0))</f>
        <v>100</v>
      </c>
      <c r="Q12" s="12">
        <f>IF(OR(P12&lt;=0,P12-关卡总览!$J$12*$F$5&lt;=0),0,MIN($D$5,P12-关卡总览!$J$12*$F$5+0))</f>
        <v>88</v>
      </c>
      <c r="R12" s="12">
        <f>IF(OR(Q12&lt;=0,Q12-关卡总览!$J$13*$F$5&lt;=0),0,MIN($D$5,Q12-关卡总览!$J$13*$F$5+0))</f>
        <v>72</v>
      </c>
      <c r="S12" s="12">
        <f t="shared" si="2"/>
        <v>92</v>
      </c>
      <c r="T12" s="12">
        <f>IF(OR(S12&lt;=0,S12-关卡总览!$J$14*$F$5&lt;=0),0,MIN($D$5,S12-关卡总览!$J$14*$F$5+0))</f>
        <v>70</v>
      </c>
      <c r="U12" s="12"/>
      <c r="V12" s="12">
        <f t="shared" si="3"/>
        <v>0</v>
      </c>
      <c r="W12" s="12">
        <f>IF(K12&gt;关卡总览!$J$9*$F$5,MIN(MAX(0,$D$5-(K12-关卡总览!$J$9*$F$5)),0),0)</f>
        <v>0</v>
      </c>
      <c r="X12" s="12">
        <f t="shared" si="7"/>
        <v>0</v>
      </c>
      <c r="Y12" s="12">
        <f t="shared" si="8"/>
        <v>4</v>
      </c>
      <c r="Z12" s="12">
        <f>IF(N12&gt;0,MIN(MAX(0,$D$5-(N12-0)),0),0)</f>
        <v>0</v>
      </c>
      <c r="AA12" s="12">
        <f>IF(O12&gt;0,MIN(MAX(0,$D$5-(O12-0)),0),0)</f>
        <v>0</v>
      </c>
      <c r="AB12" s="12">
        <f>IF(P12&gt;关卡总览!$J$12*$F$5,MIN(MAX(0,$D$5-(P12-关卡总览!$J$12*$F$5)),0),0)</f>
        <v>0</v>
      </c>
      <c r="AC12" s="12">
        <f>IF(Q12&gt;关卡总览!$J$13*$F$5,MIN(MAX(0,$D$5-(Q12-关卡总览!$J$13*$F$5)),0),0)</f>
        <v>0</v>
      </c>
      <c r="AD12" s="12">
        <f t="shared" si="4"/>
        <v>20</v>
      </c>
      <c r="AE12" s="12">
        <f>IF(S12&gt;关卡总览!$J$14*$F$5,MIN(MAX(0,$D$5-(S12-关卡总览!$J$14*$F$5)),0),0)</f>
        <v>0</v>
      </c>
    </row>
    <row r="13" spans="1:31" ht="40" customHeight="1">
      <c r="A13" s="7">
        <v>5</v>
      </c>
      <c r="B13" s="10" t="s">
        <v>102</v>
      </c>
      <c r="C13" s="7">
        <v>2</v>
      </c>
      <c r="D13" s="12">
        <f>IF(OR(关卡总览!$K$9&lt;&gt;"已扣完",关卡总览!$K$12&lt;&gt;"已扣完",关卡总览!$K$14&lt;&gt;"已扣完"),"待补脚本",关卡总览!$J$9*$F$5+关卡总览!$J$12*$F$5+关卡总览!$J$14*$F$5)</f>
        <v>38</v>
      </c>
      <c r="E13" s="12">
        <f>IF(OR(关卡总览!$K$9&lt;&gt;"已扣完",关卡总览!$K$12&lt;&gt;"已扣完",关卡总览!$K$14&lt;&gt;"已扣完"),"待补脚本",SUM(V13:AE13))</f>
        <v>16</v>
      </c>
      <c r="F13" s="12">
        <f>IF(OR(关卡总览!$K$9&lt;&gt;"已扣完",关卡总览!$K$12&lt;&gt;"已扣完",关卡总览!$K$14&lt;&gt;"已扣完"),"待补脚本",S13)</f>
        <v>100</v>
      </c>
      <c r="G13" s="12">
        <f>IF(OR(关卡总览!$K$9&lt;&gt;"已扣完",关卡总览!$K$12&lt;&gt;"已扣完",关卡总览!$K$14&lt;&gt;"已扣完"),"待补脚本",T13)</f>
        <v>78</v>
      </c>
      <c r="H13" s="1" t="str">
        <f>IF(OR(关卡总览!$K$9&lt;&gt;"已扣完",关卡总览!$K$12&lt;&gt;"已扣完",关卡总览!$K$14&lt;&gt;"已扣完"),"待补脚本",IF(T13&lt;=0,"预算耗尽","有余量"))</f>
        <v>有余量</v>
      </c>
      <c r="I13" s="1"/>
      <c r="J13" s="12">
        <f t="shared" si="0"/>
        <v>100</v>
      </c>
      <c r="K13" s="12">
        <f t="shared" si="1"/>
        <v>100</v>
      </c>
      <c r="L13" s="12">
        <f>IF(OR(K13&lt;=0,K13-关卡总览!$J$9*$F$5&lt;=0),0,MIN($D$5,K13-关卡总览!$J$9*$F$5+0))</f>
        <v>96</v>
      </c>
      <c r="M13" s="12">
        <f t="shared" si="5"/>
        <v>96</v>
      </c>
      <c r="N13" s="12">
        <f t="shared" si="6"/>
        <v>100</v>
      </c>
      <c r="O13" s="12">
        <f>IF(OR(N13&lt;=0,N13-0&lt;=0),0,MIN($D$5,N13-0+0))</f>
        <v>100</v>
      </c>
      <c r="P13" s="12">
        <f>IF(OR(O13&lt;=0,O13-0&lt;=0),0,MIN($D$5,O13-0+20))</f>
        <v>100</v>
      </c>
      <c r="Q13" s="12">
        <f>IF(OR(P13&lt;=0,P13-关卡总览!$J$12*$F$5&lt;=0),0,MIN($D$5,P13-关卡总览!$J$12*$F$5+0))</f>
        <v>88</v>
      </c>
      <c r="R13" s="12">
        <f>IF(OR(Q13&lt;=0,Q13-0&lt;=0),0,MIN($D$5,Q13-0+0))</f>
        <v>88</v>
      </c>
      <c r="S13" s="12">
        <f t="shared" si="2"/>
        <v>100</v>
      </c>
      <c r="T13" s="12">
        <f>IF(OR(S13&lt;=0,S13-关卡总览!$J$14*$F$5&lt;=0),0,MIN($D$5,S13-关卡总览!$J$14*$F$5+0))</f>
        <v>78</v>
      </c>
      <c r="U13" s="12"/>
      <c r="V13" s="12">
        <f t="shared" si="3"/>
        <v>0</v>
      </c>
      <c r="W13" s="12">
        <f>IF(K13&gt;关卡总览!$J$9*$F$5,MIN(MAX(0,$D$5-(K13-关卡总览!$J$9*$F$5)),0),0)</f>
        <v>0</v>
      </c>
      <c r="X13" s="12">
        <f t="shared" si="7"/>
        <v>0</v>
      </c>
      <c r="Y13" s="12">
        <f t="shared" si="8"/>
        <v>4</v>
      </c>
      <c r="Z13" s="12">
        <f>IF(N13&gt;0,MIN(MAX(0,$D$5-(N13-0)),0),0)</f>
        <v>0</v>
      </c>
      <c r="AA13" s="12">
        <f>IF(O13&gt;0,MIN(MAX(0,$D$5-(O13-0)),20),0)</f>
        <v>0</v>
      </c>
      <c r="AB13" s="12">
        <f>IF(P13&gt;关卡总览!$J$12*$F$5,MIN(MAX(0,$D$5-(P13-关卡总览!$J$12*$F$5)),0),0)</f>
        <v>0</v>
      </c>
      <c r="AC13" s="12">
        <f>IF(Q13&gt;0,MIN(MAX(0,$D$5-(Q13-0)),0),0)</f>
        <v>0</v>
      </c>
      <c r="AD13" s="12">
        <f t="shared" si="4"/>
        <v>12</v>
      </c>
      <c r="AE13" s="12">
        <f>IF(S13&gt;关卡总览!$J$14*$F$5,MIN(MAX(0,$D$5-(S13-关卡总览!$J$14*$F$5)),0),0)</f>
        <v>0</v>
      </c>
    </row>
    <row r="14" spans="1:31" ht="40" customHeight="1">
      <c r="A14" s="7">
        <v>6</v>
      </c>
      <c r="B14" s="10" t="s">
        <v>103</v>
      </c>
      <c r="C14" s="7">
        <v>3</v>
      </c>
      <c r="D14" s="12">
        <f>IF(OR(关卡总览!$K$9&lt;&gt;"已扣完",关卡总览!$K$12&lt;&gt;"已扣完",关卡总览!$K$13&lt;&gt;"已扣完",关卡总览!$K$14&lt;&gt;"已扣完"),"待补脚本",关卡总览!$J$9*$F$5+关卡总览!$J$12*$F$5+关卡总览!$J$13*$F$5+关卡总览!$J$14*$F$5)</f>
        <v>54</v>
      </c>
      <c r="E14" s="12">
        <f>IF(OR(关卡总览!$K$9&lt;&gt;"已扣完",关卡总览!$K$12&lt;&gt;"已扣完",关卡总览!$K$13&lt;&gt;"已扣完",关卡总览!$K$14&lt;&gt;"已扣完"),"待补脚本",SUM(V14:AE14))</f>
        <v>24</v>
      </c>
      <c r="F14" s="12">
        <f>IF(OR(关卡总览!$K$9&lt;&gt;"已扣完",关卡总览!$K$12&lt;&gt;"已扣完",关卡总览!$K$13&lt;&gt;"已扣完",关卡总览!$K$14&lt;&gt;"已扣完"),"待补脚本",S14)</f>
        <v>92</v>
      </c>
      <c r="G14" s="12">
        <f>IF(OR(关卡总览!$K$9&lt;&gt;"已扣完",关卡总览!$K$12&lt;&gt;"已扣完",关卡总览!$K$13&lt;&gt;"已扣完",关卡总览!$K$14&lt;&gt;"已扣完"),"待补脚本",T14)</f>
        <v>70</v>
      </c>
      <c r="H14" s="1" t="str">
        <f>IF(OR(关卡总览!$K$9&lt;&gt;"已扣完",关卡总览!$K$12&lt;&gt;"已扣完",关卡总览!$K$13&lt;&gt;"已扣完",关卡总览!$K$14&lt;&gt;"已扣完"),"待补脚本",IF(T14&lt;=0,"预算耗尽","有余量"))</f>
        <v>有余量</v>
      </c>
      <c r="I14" s="1"/>
      <c r="J14" s="12">
        <f t="shared" si="0"/>
        <v>100</v>
      </c>
      <c r="K14" s="12">
        <f t="shared" si="1"/>
        <v>100</v>
      </c>
      <c r="L14" s="12">
        <f>IF(OR(K14&lt;=0,K14-关卡总览!$J$9*$F$5&lt;=0),0,MIN($D$5,K14-关卡总览!$J$9*$F$5+0))</f>
        <v>96</v>
      </c>
      <c r="M14" s="12">
        <f t="shared" si="5"/>
        <v>96</v>
      </c>
      <c r="N14" s="12">
        <f t="shared" si="6"/>
        <v>100</v>
      </c>
      <c r="O14" s="12">
        <f>IF(OR(N14&lt;=0,N14-0&lt;=0),0,MIN($D$5,N14-0+0))</f>
        <v>100</v>
      </c>
      <c r="P14" s="12">
        <f>IF(OR(O14&lt;=0,O14-0&lt;=0),0,MIN($D$5,O14-0+20))</f>
        <v>100</v>
      </c>
      <c r="Q14" s="12">
        <f>IF(OR(P14&lt;=0,P14-关卡总览!$J$12*$F$5&lt;=0),0,MIN($D$5,P14-关卡总览!$J$12*$F$5+0))</f>
        <v>88</v>
      </c>
      <c r="R14" s="12">
        <f>IF(OR(Q14&lt;=0,Q14-关卡总览!$J$13*$F$5&lt;=0),0,MIN($D$5,Q14-关卡总览!$J$13*$F$5+0))</f>
        <v>72</v>
      </c>
      <c r="S14" s="12">
        <f t="shared" si="2"/>
        <v>92</v>
      </c>
      <c r="T14" s="12">
        <f>IF(OR(S14&lt;=0,S14-关卡总览!$J$14*$F$5&lt;=0),0,MIN($D$5,S14-关卡总览!$J$14*$F$5+0))</f>
        <v>70</v>
      </c>
      <c r="U14" s="12"/>
      <c r="V14" s="12">
        <f t="shared" si="3"/>
        <v>0</v>
      </c>
      <c r="W14" s="12">
        <f>IF(K14&gt;关卡总览!$J$9*$F$5,MIN(MAX(0,$D$5-(K14-关卡总览!$J$9*$F$5)),0),0)</f>
        <v>0</v>
      </c>
      <c r="X14" s="12">
        <f t="shared" si="7"/>
        <v>0</v>
      </c>
      <c r="Y14" s="12">
        <f t="shared" si="8"/>
        <v>4</v>
      </c>
      <c r="Z14" s="12">
        <f>IF(N14&gt;0,MIN(MAX(0,$D$5-(N14-0)),0),0)</f>
        <v>0</v>
      </c>
      <c r="AA14" s="12">
        <f>IF(O14&gt;0,MIN(MAX(0,$D$5-(O14-0)),20),0)</f>
        <v>0</v>
      </c>
      <c r="AB14" s="12">
        <f>IF(P14&gt;关卡总览!$J$12*$F$5,MIN(MAX(0,$D$5-(P14-关卡总览!$J$12*$F$5)),0),0)</f>
        <v>0</v>
      </c>
      <c r="AC14" s="12">
        <f>IF(Q14&gt;关卡总览!$J$13*$F$5,MIN(MAX(0,$D$5-(Q14-关卡总览!$J$13*$F$5)),0),0)</f>
        <v>0</v>
      </c>
      <c r="AD14" s="12">
        <f t="shared" si="4"/>
        <v>20</v>
      </c>
      <c r="AE14" s="12">
        <f>IF(S14&gt;关卡总览!$J$14*$F$5,MIN(MAX(0,$D$5-(S14-关卡总览!$J$14*$F$5)),0),0)</f>
        <v>0</v>
      </c>
    </row>
    <row r="15" spans="1:31" ht="40" customHeight="1">
      <c r="A15" s="7">
        <v>7</v>
      </c>
      <c r="B15" s="10" t="s">
        <v>104</v>
      </c>
      <c r="C15" s="7">
        <v>3</v>
      </c>
      <c r="D15" s="12">
        <f>IF(OR(关卡总览!$K$9&lt;&gt;"已扣完",关卡总览!$K$11&lt;&gt;"已扣完",关卡总览!$K$13&lt;&gt;"已扣完",关卡总览!$K$14&lt;&gt;"已扣完"),"待补脚本",关卡总览!$J$9*$F$5+关卡总览!$J$11*$F$5+关卡总览!$J$13*$F$5+关卡总览!$J$14*$F$5)</f>
        <v>54</v>
      </c>
      <c r="E15" s="12">
        <f>IF(OR(关卡总览!$K$9&lt;&gt;"已扣完",关卡总览!$K$11&lt;&gt;"已扣完",关卡总览!$K$13&lt;&gt;"已扣完",关卡总览!$K$14&lt;&gt;"已扣完"),"待补脚本",SUM(V15:AE15))</f>
        <v>24</v>
      </c>
      <c r="F15" s="12">
        <f>IF(OR(关卡总览!$K$9&lt;&gt;"已扣完",关卡总览!$K$11&lt;&gt;"已扣完",关卡总览!$K$13&lt;&gt;"已扣完",关卡总览!$K$14&lt;&gt;"已扣完"),"待补脚本",S15)</f>
        <v>92</v>
      </c>
      <c r="G15" s="12">
        <f>IF(OR(关卡总览!$K$9&lt;&gt;"已扣完",关卡总览!$K$11&lt;&gt;"已扣完",关卡总览!$K$13&lt;&gt;"已扣完",关卡总览!$K$14&lt;&gt;"已扣完"),"待补脚本",T15)</f>
        <v>70</v>
      </c>
      <c r="H15" s="1" t="str">
        <f>IF(OR(关卡总览!$K$9&lt;&gt;"已扣完",关卡总览!$K$11&lt;&gt;"已扣完",关卡总览!$K$13&lt;&gt;"已扣完",关卡总览!$K$14&lt;&gt;"已扣完"),"待补脚本",IF(T15&lt;=0,"预算耗尽","有余量"))</f>
        <v>有余量</v>
      </c>
      <c r="I15" s="1"/>
      <c r="J15" s="12">
        <f t="shared" si="0"/>
        <v>100</v>
      </c>
      <c r="K15" s="12">
        <f t="shared" si="1"/>
        <v>100</v>
      </c>
      <c r="L15" s="12">
        <f>IF(OR(K15&lt;=0,K15-关卡总览!$J$9*$F$5&lt;=0),0,MIN($D$5,K15-关卡总览!$J$9*$F$5+0))</f>
        <v>96</v>
      </c>
      <c r="M15" s="12">
        <f t="shared" si="5"/>
        <v>96</v>
      </c>
      <c r="N15" s="12">
        <f t="shared" si="6"/>
        <v>100</v>
      </c>
      <c r="O15" s="12">
        <f>IF(OR(N15&lt;=0,N15-关卡总览!$J$11*$F$5&lt;=0),0,MIN($D$5,N15-关卡总览!$J$11*$F$5+0))</f>
        <v>88</v>
      </c>
      <c r="P15" s="12">
        <f>IF(OR(O15&lt;=0,O15-0&lt;=0),0,MIN($D$5,O15-0+0))</f>
        <v>88</v>
      </c>
      <c r="Q15" s="12">
        <f>IF(OR(P15&lt;=0,P15-0&lt;=0),0,MIN($D$5,P15-0+0))</f>
        <v>88</v>
      </c>
      <c r="R15" s="12">
        <f>IF(OR(Q15&lt;=0,Q15-关卡总览!$J$13*$F$5&lt;=0),0,MIN($D$5,Q15-关卡总览!$J$13*$F$5+0))</f>
        <v>72</v>
      </c>
      <c r="S15" s="12">
        <f t="shared" si="2"/>
        <v>92</v>
      </c>
      <c r="T15" s="12">
        <f>IF(OR(S15&lt;=0,S15-关卡总览!$J$14*$F$5&lt;=0),0,MIN($D$5,S15-关卡总览!$J$14*$F$5+0))</f>
        <v>70</v>
      </c>
      <c r="U15" s="12"/>
      <c r="V15" s="12">
        <f t="shared" si="3"/>
        <v>0</v>
      </c>
      <c r="W15" s="12">
        <f>IF(K15&gt;关卡总览!$J$9*$F$5,MIN(MAX(0,$D$5-(K15-关卡总览!$J$9*$F$5)),0),0)</f>
        <v>0</v>
      </c>
      <c r="X15" s="12">
        <f t="shared" si="7"/>
        <v>0</v>
      </c>
      <c r="Y15" s="12">
        <f t="shared" si="8"/>
        <v>4</v>
      </c>
      <c r="Z15" s="12">
        <f>IF(N15&gt;关卡总览!$J$11*$F$5,MIN(MAX(0,$D$5-(N15-关卡总览!$J$11*$F$5)),0),0)</f>
        <v>0</v>
      </c>
      <c r="AA15" s="12">
        <f>IF(O15&gt;0,MIN(MAX(0,$D$5-(O15-0)),0),0)</f>
        <v>0</v>
      </c>
      <c r="AB15" s="12">
        <f>IF(P15&gt;0,MIN(MAX(0,$D$5-(P15-0)),0),0)</f>
        <v>0</v>
      </c>
      <c r="AC15" s="12">
        <f>IF(Q15&gt;关卡总览!$J$13*$F$5,MIN(MAX(0,$D$5-(Q15-关卡总览!$J$13*$F$5)),0),0)</f>
        <v>0</v>
      </c>
      <c r="AD15" s="12">
        <f t="shared" si="4"/>
        <v>20</v>
      </c>
      <c r="AE15" s="12">
        <f>IF(S15&gt;关卡总览!$J$14*$F$5,MIN(MAX(0,$D$5-(S15-关卡总览!$J$14*$F$5)),0),0)</f>
        <v>0</v>
      </c>
    </row>
    <row r="16" spans="1:31" ht="40" customHeight="1">
      <c r="A16" s="7">
        <v>8</v>
      </c>
      <c r="B16" s="10" t="s">
        <v>105</v>
      </c>
      <c r="C16" s="7">
        <v>4</v>
      </c>
      <c r="D16" s="12">
        <f>IF(OR(关卡总览!$K$9&lt;&gt;"已扣完",关卡总览!$K$11&lt;&gt;"已扣完",关卡总览!$K$12&lt;&gt;"已扣完",关卡总览!$K$13&lt;&gt;"已扣完",关卡总览!$K$14&lt;&gt;"已扣完"),"待补脚本",关卡总览!$J$9*$F$5+关卡总览!$J$11*$F$5+关卡总览!$J$12*$F$5+关卡总览!$J$13*$F$5+关卡总览!$J$14*$F$5)</f>
        <v>66</v>
      </c>
      <c r="E16" s="12">
        <f>IF(OR(关卡总览!$K$9&lt;&gt;"已扣完",关卡总览!$K$11&lt;&gt;"已扣完",关卡总览!$K$12&lt;&gt;"已扣完",关卡总览!$K$13&lt;&gt;"已扣完",关卡总览!$K$14&lt;&gt;"已扣完"),"待补脚本",SUM(V16:AE16))</f>
        <v>24</v>
      </c>
      <c r="F16" s="12">
        <f>IF(OR(关卡总览!$K$9&lt;&gt;"已扣完",关卡总览!$K$11&lt;&gt;"已扣完",关卡总览!$K$12&lt;&gt;"已扣完",关卡总览!$K$13&lt;&gt;"已扣完",关卡总览!$K$14&lt;&gt;"已扣完"),"待补脚本",S16)</f>
        <v>80</v>
      </c>
      <c r="G16" s="12">
        <f>IF(OR(关卡总览!$K$9&lt;&gt;"已扣完",关卡总览!$K$11&lt;&gt;"已扣完",关卡总览!$K$12&lt;&gt;"已扣完",关卡总览!$K$13&lt;&gt;"已扣完",关卡总览!$K$14&lt;&gt;"已扣完"),"待补脚本",T16)</f>
        <v>58</v>
      </c>
      <c r="H16" s="1" t="str">
        <f>IF(OR(关卡总览!$K$9&lt;&gt;"已扣完",关卡总览!$K$11&lt;&gt;"已扣完",关卡总览!$K$12&lt;&gt;"已扣完",关卡总览!$K$13&lt;&gt;"已扣完",关卡总览!$K$14&lt;&gt;"已扣完"),"待补脚本",IF(T16&lt;=0,"预算耗尽","有余量"))</f>
        <v>有余量</v>
      </c>
      <c r="I16" s="1"/>
      <c r="J16" s="12">
        <f t="shared" si="0"/>
        <v>100</v>
      </c>
      <c r="K16" s="12">
        <f t="shared" si="1"/>
        <v>100</v>
      </c>
      <c r="L16" s="12">
        <f>IF(OR(K16&lt;=0,K16-关卡总览!$J$9*$F$5&lt;=0),0,MIN($D$5,K16-关卡总览!$J$9*$F$5+0))</f>
        <v>96</v>
      </c>
      <c r="M16" s="12">
        <f t="shared" si="5"/>
        <v>96</v>
      </c>
      <c r="N16" s="12">
        <f t="shared" si="6"/>
        <v>100</v>
      </c>
      <c r="O16" s="12">
        <f>IF(OR(N16&lt;=0,N16-关卡总览!$J$11*$F$5&lt;=0),0,MIN($D$5,N16-关卡总览!$J$11*$F$5+0))</f>
        <v>88</v>
      </c>
      <c r="P16" s="12">
        <f>IF(OR(O16&lt;=0,O16-0&lt;=0),0,MIN($D$5,O16-0+0))</f>
        <v>88</v>
      </c>
      <c r="Q16" s="12">
        <f>IF(OR(P16&lt;=0,P16-关卡总览!$J$12*$F$5&lt;=0),0,MIN($D$5,P16-关卡总览!$J$12*$F$5+0))</f>
        <v>76</v>
      </c>
      <c r="R16" s="12">
        <f>IF(OR(Q16&lt;=0,Q16-关卡总览!$J$13*$F$5&lt;=0),0,MIN($D$5,Q16-关卡总览!$J$13*$F$5+0))</f>
        <v>60</v>
      </c>
      <c r="S16" s="12">
        <f t="shared" si="2"/>
        <v>80</v>
      </c>
      <c r="T16" s="12">
        <f>IF(OR(S16&lt;=0,S16-关卡总览!$J$14*$F$5&lt;=0),0,MIN($D$5,S16-关卡总览!$J$14*$F$5+0))</f>
        <v>58</v>
      </c>
      <c r="U16" s="12"/>
      <c r="V16" s="12">
        <f t="shared" si="3"/>
        <v>0</v>
      </c>
      <c r="W16" s="12">
        <f>IF(K16&gt;关卡总览!$J$9*$F$5,MIN(MAX(0,$D$5-(K16-关卡总览!$J$9*$F$5)),0),0)</f>
        <v>0</v>
      </c>
      <c r="X16" s="12">
        <f t="shared" si="7"/>
        <v>0</v>
      </c>
      <c r="Y16" s="12">
        <f t="shared" si="8"/>
        <v>4</v>
      </c>
      <c r="Z16" s="12">
        <f>IF(N16&gt;关卡总览!$J$11*$F$5,MIN(MAX(0,$D$5-(N16-关卡总览!$J$11*$F$5)),0),0)</f>
        <v>0</v>
      </c>
      <c r="AA16" s="12">
        <f>IF(O16&gt;0,MIN(MAX(0,$D$5-(O16-0)),0),0)</f>
        <v>0</v>
      </c>
      <c r="AB16" s="12">
        <f>IF(P16&gt;关卡总览!$J$12*$F$5,MIN(MAX(0,$D$5-(P16-关卡总览!$J$12*$F$5)),0),0)</f>
        <v>0</v>
      </c>
      <c r="AC16" s="12">
        <f>IF(Q16&gt;关卡总览!$J$13*$F$5,MIN(MAX(0,$D$5-(Q16-关卡总览!$J$13*$F$5)),0),0)</f>
        <v>0</v>
      </c>
      <c r="AD16" s="12">
        <f t="shared" si="4"/>
        <v>20</v>
      </c>
      <c r="AE16" s="12">
        <f>IF(S16&gt;关卡总览!$J$14*$F$5,MIN(MAX(0,$D$5-(S16-关卡总览!$J$14*$F$5)),0),0)</f>
        <v>0</v>
      </c>
    </row>
    <row r="17" spans="1:31" ht="40" customHeight="1">
      <c r="A17" s="7">
        <v>9</v>
      </c>
      <c r="B17" s="10" t="s">
        <v>106</v>
      </c>
      <c r="C17" s="7">
        <v>3</v>
      </c>
      <c r="D17" s="12">
        <f>IF(OR(关卡总览!$K$9&lt;&gt;"已扣完",关卡总览!$K$10&lt;&gt;"已扣完",关卡总览!$K$12&lt;&gt;"已扣完",关卡总览!$K$14&lt;&gt;"已扣完"),"待补脚本",关卡总览!$J$9*$F$5+关卡总览!$J$10*$F$5+关卡总览!$J$12*$F$5+关卡总览!$J$14*$F$5)</f>
        <v>50</v>
      </c>
      <c r="E17" s="12">
        <f>IF(OR(关卡总览!$K$9&lt;&gt;"已扣完",关卡总览!$K$10&lt;&gt;"已扣完",关卡总览!$K$12&lt;&gt;"已扣完",关卡总览!$K$14&lt;&gt;"已扣完"),"待补脚本",SUM(V17:AE17))</f>
        <v>20</v>
      </c>
      <c r="F17" s="12">
        <f>IF(OR(关卡总览!$K$9&lt;&gt;"已扣完",关卡总览!$K$10&lt;&gt;"已扣完",关卡总览!$K$12&lt;&gt;"已扣完",关卡总览!$K$14&lt;&gt;"已扣完"),"待补脚本",S17)</f>
        <v>92</v>
      </c>
      <c r="G17" s="12">
        <f>IF(OR(关卡总览!$K$9&lt;&gt;"已扣完",关卡总览!$K$10&lt;&gt;"已扣完",关卡总览!$K$12&lt;&gt;"已扣完",关卡总览!$K$14&lt;&gt;"已扣完"),"待补脚本",T17)</f>
        <v>70</v>
      </c>
      <c r="H17" s="1" t="str">
        <f>IF(OR(关卡总览!$K$9&lt;&gt;"已扣完",关卡总览!$K$10&lt;&gt;"已扣完",关卡总览!$K$12&lt;&gt;"已扣完",关卡总览!$K$14&lt;&gt;"已扣完"),"待补脚本",IF(T17&lt;=0,"预算耗尽","有余量"))</f>
        <v>有余量</v>
      </c>
      <c r="I17" s="1"/>
      <c r="J17" s="12">
        <f t="shared" si="0"/>
        <v>100</v>
      </c>
      <c r="K17" s="12">
        <f t="shared" si="1"/>
        <v>100</v>
      </c>
      <c r="L17" s="12">
        <f>IF(OR(K17&lt;=0,K17-关卡总览!$J$9*$F$5&lt;=0),0,MIN($D$5,K17-关卡总览!$J$9*$F$5+0))</f>
        <v>96</v>
      </c>
      <c r="M17" s="12">
        <f t="shared" si="5"/>
        <v>96</v>
      </c>
      <c r="N17" s="12">
        <f>IF(OR(M17&lt;=0,M17-关卡总览!$J$10*$F$5&lt;=0),0,MIN($D$5,M17-关卡总览!$J$10*$F$5+0))</f>
        <v>84</v>
      </c>
      <c r="O17" s="12">
        <f t="shared" ref="O17:O22" si="9">IF(OR(N17&lt;=0,N17-0&lt;=0),0,MIN($D$5,N17-0+0))</f>
        <v>84</v>
      </c>
      <c r="P17" s="12">
        <f>IF(OR(O17&lt;=0,O17-0&lt;=0),0,MIN($D$5,O17-0+0))</f>
        <v>84</v>
      </c>
      <c r="Q17" s="12">
        <f>IF(OR(P17&lt;=0,P17-关卡总览!$J$12*$F$5&lt;=0),0,MIN($D$5,P17-关卡总览!$J$12*$F$5+0))</f>
        <v>72</v>
      </c>
      <c r="R17" s="12">
        <f>IF(OR(Q17&lt;=0,Q17-0&lt;=0),0,MIN($D$5,Q17-0+0))</f>
        <v>72</v>
      </c>
      <c r="S17" s="12">
        <f t="shared" si="2"/>
        <v>92</v>
      </c>
      <c r="T17" s="12">
        <f>IF(OR(S17&lt;=0,S17-关卡总览!$J$14*$F$5&lt;=0),0,MIN($D$5,S17-关卡总览!$J$14*$F$5+0))</f>
        <v>70</v>
      </c>
      <c r="U17" s="12"/>
      <c r="V17" s="12">
        <f t="shared" si="3"/>
        <v>0</v>
      </c>
      <c r="W17" s="12">
        <f>IF(K17&gt;关卡总览!$J$9*$F$5,MIN(MAX(0,$D$5-(K17-关卡总览!$J$9*$F$5)),0),0)</f>
        <v>0</v>
      </c>
      <c r="X17" s="12">
        <f t="shared" si="7"/>
        <v>0</v>
      </c>
      <c r="Y17" s="12">
        <f>IF(M17&gt;关卡总览!$J$10*$F$5,MIN(MAX(0,$D$5-(M17-关卡总览!$J$10*$F$5)),0),0)</f>
        <v>0</v>
      </c>
      <c r="Z17" s="12">
        <f t="shared" ref="Z17:Z22" si="10">IF(N17&gt;0,MIN(MAX(0,$D$5-(N17-0)),0),0)</f>
        <v>0</v>
      </c>
      <c r="AA17" s="12">
        <f>IF(O17&gt;0,MIN(MAX(0,$D$5-(O17-0)),0),0)</f>
        <v>0</v>
      </c>
      <c r="AB17" s="12">
        <f>IF(P17&gt;关卡总览!$J$12*$F$5,MIN(MAX(0,$D$5-(P17-关卡总览!$J$12*$F$5)),0),0)</f>
        <v>0</v>
      </c>
      <c r="AC17" s="12">
        <f>IF(Q17&gt;0,MIN(MAX(0,$D$5-(Q17-0)),0),0)</f>
        <v>0</v>
      </c>
      <c r="AD17" s="12">
        <f t="shared" si="4"/>
        <v>20</v>
      </c>
      <c r="AE17" s="12">
        <f>IF(S17&gt;关卡总览!$J$14*$F$5,MIN(MAX(0,$D$5-(S17-关卡总览!$J$14*$F$5)),0),0)</f>
        <v>0</v>
      </c>
    </row>
    <row r="18" spans="1:31" ht="40" customHeight="1">
      <c r="A18" s="7">
        <v>10</v>
      </c>
      <c r="B18" s="10" t="s">
        <v>107</v>
      </c>
      <c r="C18" s="7">
        <v>4</v>
      </c>
      <c r="D18" s="12">
        <f>IF(OR(关卡总览!$K$9&lt;&gt;"已扣完",关卡总览!$K$10&lt;&gt;"已扣完",关卡总览!$K$12&lt;&gt;"已扣完",关卡总览!$K$13&lt;&gt;"已扣完",关卡总览!$K$14&lt;&gt;"已扣完"),"待补脚本",关卡总览!$J$9*$F$5+关卡总览!$J$10*$F$5+关卡总览!$J$12*$F$5+关卡总览!$J$13*$F$5+关卡总览!$J$14*$F$5)</f>
        <v>66</v>
      </c>
      <c r="E18" s="12">
        <f>IF(OR(关卡总览!$K$9&lt;&gt;"已扣完",关卡总览!$K$10&lt;&gt;"已扣完",关卡总览!$K$12&lt;&gt;"已扣完",关卡总览!$K$13&lt;&gt;"已扣完",关卡总览!$K$14&lt;&gt;"已扣完"),"待补脚本",SUM(V18:AE18))</f>
        <v>20</v>
      </c>
      <c r="F18" s="12">
        <f>IF(OR(关卡总览!$K$9&lt;&gt;"已扣完",关卡总览!$K$10&lt;&gt;"已扣完",关卡总览!$K$12&lt;&gt;"已扣完",关卡总览!$K$13&lt;&gt;"已扣完",关卡总览!$K$14&lt;&gt;"已扣完"),"待补脚本",S18)</f>
        <v>76</v>
      </c>
      <c r="G18" s="12">
        <f>IF(OR(关卡总览!$K$9&lt;&gt;"已扣完",关卡总览!$K$10&lt;&gt;"已扣完",关卡总览!$K$12&lt;&gt;"已扣完",关卡总览!$K$13&lt;&gt;"已扣完",关卡总览!$K$14&lt;&gt;"已扣完"),"待补脚本",T18)</f>
        <v>54</v>
      </c>
      <c r="H18" s="1" t="str">
        <f>IF(OR(关卡总览!$K$9&lt;&gt;"已扣完",关卡总览!$K$10&lt;&gt;"已扣完",关卡总览!$K$12&lt;&gt;"已扣完",关卡总览!$K$13&lt;&gt;"已扣完",关卡总览!$K$14&lt;&gt;"已扣完"),"待补脚本",IF(T18&lt;=0,"预算耗尽","有余量"))</f>
        <v>有余量</v>
      </c>
      <c r="I18" s="1"/>
      <c r="J18" s="12">
        <f t="shared" si="0"/>
        <v>100</v>
      </c>
      <c r="K18" s="12">
        <f t="shared" si="1"/>
        <v>100</v>
      </c>
      <c r="L18" s="12">
        <f>IF(OR(K18&lt;=0,K18-关卡总览!$J$9*$F$5&lt;=0),0,MIN($D$5,K18-关卡总览!$J$9*$F$5+0))</f>
        <v>96</v>
      </c>
      <c r="M18" s="12">
        <f t="shared" si="5"/>
        <v>96</v>
      </c>
      <c r="N18" s="12">
        <f>IF(OR(M18&lt;=0,M18-关卡总览!$J$10*$F$5&lt;=0),0,MIN($D$5,M18-关卡总览!$J$10*$F$5+0))</f>
        <v>84</v>
      </c>
      <c r="O18" s="12">
        <f t="shared" si="9"/>
        <v>84</v>
      </c>
      <c r="P18" s="12">
        <f>IF(OR(O18&lt;=0,O18-0&lt;=0),0,MIN($D$5,O18-0+0))</f>
        <v>84</v>
      </c>
      <c r="Q18" s="12">
        <f>IF(OR(P18&lt;=0,P18-关卡总览!$J$12*$F$5&lt;=0),0,MIN($D$5,P18-关卡总览!$J$12*$F$5+0))</f>
        <v>72</v>
      </c>
      <c r="R18" s="12">
        <f>IF(OR(Q18&lt;=0,Q18-关卡总览!$J$13*$F$5&lt;=0),0,MIN($D$5,Q18-关卡总览!$J$13*$F$5+0))</f>
        <v>56</v>
      </c>
      <c r="S18" s="12">
        <f t="shared" si="2"/>
        <v>76</v>
      </c>
      <c r="T18" s="12">
        <f>IF(OR(S18&lt;=0,S18-关卡总览!$J$14*$F$5&lt;=0),0,MIN($D$5,S18-关卡总览!$J$14*$F$5+0))</f>
        <v>54</v>
      </c>
      <c r="U18" s="12"/>
      <c r="V18" s="12">
        <f t="shared" si="3"/>
        <v>0</v>
      </c>
      <c r="W18" s="12">
        <f>IF(K18&gt;关卡总览!$J$9*$F$5,MIN(MAX(0,$D$5-(K18-关卡总览!$J$9*$F$5)),0),0)</f>
        <v>0</v>
      </c>
      <c r="X18" s="12">
        <f t="shared" si="7"/>
        <v>0</v>
      </c>
      <c r="Y18" s="12">
        <f>IF(M18&gt;关卡总览!$J$10*$F$5,MIN(MAX(0,$D$5-(M18-关卡总览!$J$10*$F$5)),0),0)</f>
        <v>0</v>
      </c>
      <c r="Z18" s="12">
        <f t="shared" si="10"/>
        <v>0</v>
      </c>
      <c r="AA18" s="12">
        <f>IF(O18&gt;0,MIN(MAX(0,$D$5-(O18-0)),0),0)</f>
        <v>0</v>
      </c>
      <c r="AB18" s="12">
        <f>IF(P18&gt;关卡总览!$J$12*$F$5,MIN(MAX(0,$D$5-(P18-关卡总览!$J$12*$F$5)),0),0)</f>
        <v>0</v>
      </c>
      <c r="AC18" s="12">
        <f>IF(Q18&gt;关卡总览!$J$13*$F$5,MIN(MAX(0,$D$5-(Q18-关卡总览!$J$13*$F$5)),0),0)</f>
        <v>0</v>
      </c>
      <c r="AD18" s="12">
        <f t="shared" si="4"/>
        <v>20</v>
      </c>
      <c r="AE18" s="12">
        <f>IF(S18&gt;关卡总览!$J$14*$F$5,MIN(MAX(0,$D$5-(S18-关卡总览!$J$14*$F$5)),0),0)</f>
        <v>0</v>
      </c>
    </row>
    <row r="19" spans="1:31" ht="40" customHeight="1">
      <c r="A19" s="7">
        <v>11</v>
      </c>
      <c r="B19" s="10" t="s">
        <v>108</v>
      </c>
      <c r="C19" s="7">
        <v>3</v>
      </c>
      <c r="D19" s="12">
        <f>IF(OR(关卡总览!$K$9&lt;&gt;"已扣完",关卡总览!$K$10&lt;&gt;"已扣完",关卡总览!$K$12&lt;&gt;"已扣完",关卡总览!$K$14&lt;&gt;"已扣完"),"待补脚本",关卡总览!$J$9*$F$5+关卡总览!$J$10*$F$5+关卡总览!$J$12*$F$5+关卡总览!$J$14*$F$5)</f>
        <v>50</v>
      </c>
      <c r="E19" s="12">
        <f>IF(OR(关卡总览!$K$9&lt;&gt;"已扣完",关卡总览!$K$10&lt;&gt;"已扣完",关卡总览!$K$12&lt;&gt;"已扣完",关卡总览!$K$14&lt;&gt;"已扣完"),"待补脚本",SUM(V19:AE19))</f>
        <v>28</v>
      </c>
      <c r="F19" s="12">
        <f>IF(OR(关卡总览!$K$9&lt;&gt;"已扣完",关卡总览!$K$10&lt;&gt;"已扣完",关卡总览!$K$12&lt;&gt;"已扣完",关卡总览!$K$14&lt;&gt;"已扣完"),"待补脚本",S19)</f>
        <v>100</v>
      </c>
      <c r="G19" s="12">
        <f>IF(OR(关卡总览!$K$9&lt;&gt;"已扣完",关卡总览!$K$10&lt;&gt;"已扣完",关卡总览!$K$12&lt;&gt;"已扣完",关卡总览!$K$14&lt;&gt;"已扣完"),"待补脚本",T19)</f>
        <v>78</v>
      </c>
      <c r="H19" s="1" t="str">
        <f>IF(OR(关卡总览!$K$9&lt;&gt;"已扣完",关卡总览!$K$10&lt;&gt;"已扣完",关卡总览!$K$12&lt;&gt;"已扣完",关卡总览!$K$14&lt;&gt;"已扣完"),"待补脚本",IF(T19&lt;=0,"预算耗尽","有余量"))</f>
        <v>有余量</v>
      </c>
      <c r="I19" s="1"/>
      <c r="J19" s="12">
        <f t="shared" si="0"/>
        <v>100</v>
      </c>
      <c r="K19" s="12">
        <f t="shared" si="1"/>
        <v>100</v>
      </c>
      <c r="L19" s="12">
        <f>IF(OR(K19&lt;=0,K19-关卡总览!$J$9*$F$5&lt;=0),0,MIN($D$5,K19-关卡总览!$J$9*$F$5+0))</f>
        <v>96</v>
      </c>
      <c r="M19" s="12">
        <f t="shared" si="5"/>
        <v>96</v>
      </c>
      <c r="N19" s="12">
        <f>IF(OR(M19&lt;=0,M19-关卡总览!$J$10*$F$5&lt;=0),0,MIN($D$5,M19-关卡总览!$J$10*$F$5+0))</f>
        <v>84</v>
      </c>
      <c r="O19" s="12">
        <f t="shared" si="9"/>
        <v>84</v>
      </c>
      <c r="P19" s="12">
        <f>IF(OR(O19&lt;=0,O19-0&lt;=0),0,MIN($D$5,O19-0+20))</f>
        <v>100</v>
      </c>
      <c r="Q19" s="12">
        <f>IF(OR(P19&lt;=0,P19-关卡总览!$J$12*$F$5&lt;=0),0,MIN($D$5,P19-关卡总览!$J$12*$F$5+0))</f>
        <v>88</v>
      </c>
      <c r="R19" s="12">
        <f>IF(OR(Q19&lt;=0,Q19-0&lt;=0),0,MIN($D$5,Q19-0+0))</f>
        <v>88</v>
      </c>
      <c r="S19" s="12">
        <f t="shared" si="2"/>
        <v>100</v>
      </c>
      <c r="T19" s="12">
        <f>IF(OR(S19&lt;=0,S19-关卡总览!$J$14*$F$5&lt;=0),0,MIN($D$5,S19-关卡总览!$J$14*$F$5+0))</f>
        <v>78</v>
      </c>
      <c r="U19" s="12"/>
      <c r="V19" s="12">
        <f t="shared" si="3"/>
        <v>0</v>
      </c>
      <c r="W19" s="12">
        <f>IF(K19&gt;关卡总览!$J$9*$F$5,MIN(MAX(0,$D$5-(K19-关卡总览!$J$9*$F$5)),0),0)</f>
        <v>0</v>
      </c>
      <c r="X19" s="12">
        <f t="shared" si="7"/>
        <v>0</v>
      </c>
      <c r="Y19" s="12">
        <f>IF(M19&gt;关卡总览!$J$10*$F$5,MIN(MAX(0,$D$5-(M19-关卡总览!$J$10*$F$5)),0),0)</f>
        <v>0</v>
      </c>
      <c r="Z19" s="12">
        <f t="shared" si="10"/>
        <v>0</v>
      </c>
      <c r="AA19" s="12">
        <f>IF(O19&gt;0,MIN(MAX(0,$D$5-(O19-0)),20),0)</f>
        <v>16</v>
      </c>
      <c r="AB19" s="12">
        <f>IF(P19&gt;关卡总览!$J$12*$F$5,MIN(MAX(0,$D$5-(P19-关卡总览!$J$12*$F$5)),0),0)</f>
        <v>0</v>
      </c>
      <c r="AC19" s="12">
        <f>IF(Q19&gt;0,MIN(MAX(0,$D$5-(Q19-0)),0),0)</f>
        <v>0</v>
      </c>
      <c r="AD19" s="12">
        <f t="shared" si="4"/>
        <v>12</v>
      </c>
      <c r="AE19" s="12">
        <f>IF(S19&gt;关卡总览!$J$14*$F$5,MIN(MAX(0,$D$5-(S19-关卡总览!$J$14*$F$5)),0),0)</f>
        <v>0</v>
      </c>
    </row>
    <row r="20" spans="1:31" ht="40" customHeight="1">
      <c r="A20" s="7">
        <v>12</v>
      </c>
      <c r="B20" s="10" t="s">
        <v>109</v>
      </c>
      <c r="C20" s="7">
        <v>4</v>
      </c>
      <c r="D20" s="12">
        <f>IF(OR(关卡总览!$K$9&lt;&gt;"已扣完",关卡总览!$K$10&lt;&gt;"已扣完",关卡总览!$K$12&lt;&gt;"已扣完",关卡总览!$K$13&lt;&gt;"已扣完",关卡总览!$K$14&lt;&gt;"已扣完"),"待补脚本",关卡总览!$J$9*$F$5+关卡总览!$J$10*$F$5+关卡总览!$J$12*$F$5+关卡总览!$J$13*$F$5+关卡总览!$J$14*$F$5)</f>
        <v>66</v>
      </c>
      <c r="E20" s="12">
        <f>IF(OR(关卡总览!$K$9&lt;&gt;"已扣完",关卡总览!$K$10&lt;&gt;"已扣完",关卡总览!$K$12&lt;&gt;"已扣完",关卡总览!$K$13&lt;&gt;"已扣完",关卡总览!$K$14&lt;&gt;"已扣完"),"待补脚本",SUM(V20:AE20))</f>
        <v>36</v>
      </c>
      <c r="F20" s="12">
        <f>IF(OR(关卡总览!$K$9&lt;&gt;"已扣完",关卡总览!$K$10&lt;&gt;"已扣完",关卡总览!$K$12&lt;&gt;"已扣完",关卡总览!$K$13&lt;&gt;"已扣完",关卡总览!$K$14&lt;&gt;"已扣完"),"待补脚本",S20)</f>
        <v>92</v>
      </c>
      <c r="G20" s="12">
        <f>IF(OR(关卡总览!$K$9&lt;&gt;"已扣完",关卡总览!$K$10&lt;&gt;"已扣完",关卡总览!$K$12&lt;&gt;"已扣完",关卡总览!$K$13&lt;&gt;"已扣完",关卡总览!$K$14&lt;&gt;"已扣完"),"待补脚本",T20)</f>
        <v>70</v>
      </c>
      <c r="H20" s="1" t="str">
        <f>IF(OR(关卡总览!$K$9&lt;&gt;"已扣完",关卡总览!$K$10&lt;&gt;"已扣完",关卡总览!$K$12&lt;&gt;"已扣完",关卡总览!$K$13&lt;&gt;"已扣完",关卡总览!$K$14&lt;&gt;"已扣完"),"待补脚本",IF(T20&lt;=0,"预算耗尽","有余量"))</f>
        <v>有余量</v>
      </c>
      <c r="I20" s="1"/>
      <c r="J20" s="12">
        <f t="shared" si="0"/>
        <v>100</v>
      </c>
      <c r="K20" s="12">
        <f t="shared" si="1"/>
        <v>100</v>
      </c>
      <c r="L20" s="12">
        <f>IF(OR(K20&lt;=0,K20-关卡总览!$J$9*$F$5&lt;=0),0,MIN($D$5,K20-关卡总览!$J$9*$F$5+0))</f>
        <v>96</v>
      </c>
      <c r="M20" s="12">
        <f t="shared" si="5"/>
        <v>96</v>
      </c>
      <c r="N20" s="12">
        <f>IF(OR(M20&lt;=0,M20-关卡总览!$J$10*$F$5&lt;=0),0,MIN($D$5,M20-关卡总览!$J$10*$F$5+0))</f>
        <v>84</v>
      </c>
      <c r="O20" s="12">
        <f t="shared" si="9"/>
        <v>84</v>
      </c>
      <c r="P20" s="12">
        <f>IF(OR(O20&lt;=0,O20-0&lt;=0),0,MIN($D$5,O20-0+20))</f>
        <v>100</v>
      </c>
      <c r="Q20" s="12">
        <f>IF(OR(P20&lt;=0,P20-关卡总览!$J$12*$F$5&lt;=0),0,MIN($D$5,P20-关卡总览!$J$12*$F$5+0))</f>
        <v>88</v>
      </c>
      <c r="R20" s="12">
        <f>IF(OR(Q20&lt;=0,Q20-关卡总览!$J$13*$F$5&lt;=0),0,MIN($D$5,Q20-关卡总览!$J$13*$F$5+0))</f>
        <v>72</v>
      </c>
      <c r="S20" s="12">
        <f t="shared" si="2"/>
        <v>92</v>
      </c>
      <c r="T20" s="12">
        <f>IF(OR(S20&lt;=0,S20-关卡总览!$J$14*$F$5&lt;=0),0,MIN($D$5,S20-关卡总览!$J$14*$F$5+0))</f>
        <v>70</v>
      </c>
      <c r="U20" s="12"/>
      <c r="V20" s="12">
        <f t="shared" si="3"/>
        <v>0</v>
      </c>
      <c r="W20" s="12">
        <f>IF(K20&gt;关卡总览!$J$9*$F$5,MIN(MAX(0,$D$5-(K20-关卡总览!$J$9*$F$5)),0),0)</f>
        <v>0</v>
      </c>
      <c r="X20" s="12">
        <f t="shared" si="7"/>
        <v>0</v>
      </c>
      <c r="Y20" s="12">
        <f>IF(M20&gt;关卡总览!$J$10*$F$5,MIN(MAX(0,$D$5-(M20-关卡总览!$J$10*$F$5)),0),0)</f>
        <v>0</v>
      </c>
      <c r="Z20" s="12">
        <f t="shared" si="10"/>
        <v>0</v>
      </c>
      <c r="AA20" s="12">
        <f>IF(O20&gt;0,MIN(MAX(0,$D$5-(O20-0)),20),0)</f>
        <v>16</v>
      </c>
      <c r="AB20" s="12">
        <f>IF(P20&gt;关卡总览!$J$12*$F$5,MIN(MAX(0,$D$5-(P20-关卡总览!$J$12*$F$5)),0),0)</f>
        <v>0</v>
      </c>
      <c r="AC20" s="12">
        <f>IF(Q20&gt;关卡总览!$J$13*$F$5,MIN(MAX(0,$D$5-(Q20-关卡总览!$J$13*$F$5)),0),0)</f>
        <v>0</v>
      </c>
      <c r="AD20" s="12">
        <f t="shared" si="4"/>
        <v>20</v>
      </c>
      <c r="AE20" s="12">
        <f>IF(S20&gt;关卡总览!$J$14*$F$5,MIN(MAX(0,$D$5-(S20-关卡总览!$J$14*$F$5)),0),0)</f>
        <v>0</v>
      </c>
    </row>
    <row r="21" spans="1:31" ht="40" customHeight="1">
      <c r="A21" s="7">
        <v>13</v>
      </c>
      <c r="B21" s="10" t="s">
        <v>110</v>
      </c>
      <c r="C21" s="7">
        <v>2</v>
      </c>
      <c r="D21" s="12">
        <f>IF(OR(关卡总览!$K$9&lt;&gt;"已扣完",关卡总览!$K$13&lt;&gt;"已扣完",关卡总览!$K$14&lt;&gt;"已扣完"),"待补脚本",关卡总览!$J$9*$F$5+关卡总览!$J$13*$F$5+关卡总览!$J$14*$F$5)</f>
        <v>42</v>
      </c>
      <c r="E21" s="12">
        <f>IF(OR(关卡总览!$K$9&lt;&gt;"已扣完",关卡总览!$K$13&lt;&gt;"已扣完",关卡总览!$K$14&lt;&gt;"已扣完"),"待补脚本",SUM(V21:AE21))</f>
        <v>20</v>
      </c>
      <c r="F21" s="12">
        <f>IF(OR(关卡总览!$K$9&lt;&gt;"已扣完",关卡总览!$K$13&lt;&gt;"已扣完",关卡总览!$K$14&lt;&gt;"已扣完"),"待补脚本",S21)</f>
        <v>100</v>
      </c>
      <c r="G21" s="12">
        <f>IF(OR(关卡总览!$K$9&lt;&gt;"已扣完",关卡总览!$K$13&lt;&gt;"已扣完",关卡总览!$K$14&lt;&gt;"已扣完"),"待补脚本",T21)</f>
        <v>78</v>
      </c>
      <c r="H21" s="1" t="str">
        <f>IF(OR(关卡总览!$K$9&lt;&gt;"已扣完",关卡总览!$K$13&lt;&gt;"已扣完",关卡总览!$K$14&lt;&gt;"已扣完"),"待补脚本",IF(T21&lt;=0,"预算耗尽","有余量"))</f>
        <v>有余量</v>
      </c>
      <c r="I21" s="1"/>
      <c r="J21" s="12">
        <f t="shared" si="0"/>
        <v>100</v>
      </c>
      <c r="K21" s="12">
        <f t="shared" si="1"/>
        <v>100</v>
      </c>
      <c r="L21" s="12">
        <f>IF(OR(K21&lt;=0,K21-关卡总览!$J$9*$F$5&lt;=0),0,MIN($D$5,K21-关卡总览!$J$9*$F$5+0))</f>
        <v>96</v>
      </c>
      <c r="M21" s="12">
        <f t="shared" si="5"/>
        <v>96</v>
      </c>
      <c r="N21" s="12">
        <f>IF(OR(M21&lt;=0,M21-0&lt;=0),0,MIN($D$5,M21-0+0))</f>
        <v>96</v>
      </c>
      <c r="O21" s="12">
        <f t="shared" si="9"/>
        <v>96</v>
      </c>
      <c r="P21" s="12">
        <f>IF(OR(O21&lt;=0,O21-0&lt;=0),0,MIN($D$5,O21-0+0))</f>
        <v>96</v>
      </c>
      <c r="Q21" s="12">
        <f>IF(OR(P21&lt;=0,P21-0&lt;=0),0,MIN($D$5,P21-0+0))</f>
        <v>96</v>
      </c>
      <c r="R21" s="12">
        <f>IF(OR(Q21&lt;=0,Q21-关卡总览!$J$13*$F$5&lt;=0),0,MIN($D$5,Q21-关卡总览!$J$13*$F$5+0))</f>
        <v>80</v>
      </c>
      <c r="S21" s="12">
        <f t="shared" si="2"/>
        <v>100</v>
      </c>
      <c r="T21" s="12">
        <f>IF(OR(S21&lt;=0,S21-关卡总览!$J$14*$F$5&lt;=0),0,MIN($D$5,S21-关卡总览!$J$14*$F$5+0))</f>
        <v>78</v>
      </c>
      <c r="U21" s="12"/>
      <c r="V21" s="12">
        <f t="shared" si="3"/>
        <v>0</v>
      </c>
      <c r="W21" s="12">
        <f>IF(K21&gt;关卡总览!$J$9*$F$5,MIN(MAX(0,$D$5-(K21-关卡总览!$J$9*$F$5)),0),0)</f>
        <v>0</v>
      </c>
      <c r="X21" s="12">
        <f t="shared" si="7"/>
        <v>0</v>
      </c>
      <c r="Y21" s="12">
        <f>IF(M21&gt;0,MIN(MAX(0,$D$5-(M21-0)),0),0)</f>
        <v>0</v>
      </c>
      <c r="Z21" s="12">
        <f t="shared" si="10"/>
        <v>0</v>
      </c>
      <c r="AA21" s="12">
        <f>IF(O21&gt;0,MIN(MAX(0,$D$5-(O21-0)),0),0)</f>
        <v>0</v>
      </c>
      <c r="AB21" s="12">
        <f>IF(P21&gt;0,MIN(MAX(0,$D$5-(P21-0)),0),0)</f>
        <v>0</v>
      </c>
      <c r="AC21" s="12">
        <f>IF(Q21&gt;关卡总览!$J$13*$F$5,MIN(MAX(0,$D$5-(Q21-关卡总览!$J$13*$F$5)),0),0)</f>
        <v>0</v>
      </c>
      <c r="AD21" s="12">
        <f t="shared" si="4"/>
        <v>20</v>
      </c>
      <c r="AE21" s="12">
        <f>IF(S21&gt;关卡总览!$J$14*$F$5,MIN(MAX(0,$D$5-(S21-关卡总览!$J$14*$F$5)),0),0)</f>
        <v>0</v>
      </c>
    </row>
    <row r="22" spans="1:31" ht="40" customHeight="1">
      <c r="A22" s="7">
        <v>14</v>
      </c>
      <c r="B22" s="10" t="s">
        <v>111</v>
      </c>
      <c r="C22" s="7">
        <v>3</v>
      </c>
      <c r="D22" s="12">
        <f>IF(OR(关卡总览!$K$9&lt;&gt;"已扣完",关卡总览!$K$12&lt;&gt;"已扣完",关卡总览!$K$13&lt;&gt;"已扣完",关卡总览!$K$14&lt;&gt;"已扣完"),"待补脚本",关卡总览!$J$9*$F$5+关卡总览!$J$12*$F$5+关卡总览!$J$13*$F$5+关卡总览!$J$14*$F$5)</f>
        <v>54</v>
      </c>
      <c r="E22" s="12">
        <f>IF(OR(关卡总览!$K$9&lt;&gt;"已扣完",关卡总览!$K$12&lt;&gt;"已扣完",关卡总览!$K$13&lt;&gt;"已扣完",关卡总览!$K$14&lt;&gt;"已扣完"),"待补脚本",SUM(V22:AE22))</f>
        <v>20</v>
      </c>
      <c r="F22" s="12">
        <f>IF(OR(关卡总览!$K$9&lt;&gt;"已扣完",关卡总览!$K$12&lt;&gt;"已扣完",关卡总览!$K$13&lt;&gt;"已扣完",关卡总览!$K$14&lt;&gt;"已扣完"),"待补脚本",S22)</f>
        <v>88</v>
      </c>
      <c r="G22" s="12">
        <f>IF(OR(关卡总览!$K$9&lt;&gt;"已扣完",关卡总览!$K$12&lt;&gt;"已扣完",关卡总览!$K$13&lt;&gt;"已扣完",关卡总览!$K$14&lt;&gt;"已扣完"),"待补脚本",T22)</f>
        <v>66</v>
      </c>
      <c r="H22" s="1" t="str">
        <f>IF(OR(关卡总览!$K$9&lt;&gt;"已扣完",关卡总览!$K$12&lt;&gt;"已扣完",关卡总览!$K$13&lt;&gt;"已扣完",关卡总览!$K$14&lt;&gt;"已扣完"),"待补脚本",IF(T22&lt;=0,"预算耗尽","有余量"))</f>
        <v>有余量</v>
      </c>
      <c r="I22" s="1"/>
      <c r="J22" s="12">
        <f t="shared" si="0"/>
        <v>100</v>
      </c>
      <c r="K22" s="12">
        <f t="shared" si="1"/>
        <v>100</v>
      </c>
      <c r="L22" s="12">
        <f>IF(OR(K22&lt;=0,K22-关卡总览!$J$9*$F$5&lt;=0),0,MIN($D$5,K22-关卡总览!$J$9*$F$5+0))</f>
        <v>96</v>
      </c>
      <c r="M22" s="12">
        <f t="shared" si="5"/>
        <v>96</v>
      </c>
      <c r="N22" s="12">
        <f>IF(OR(M22&lt;=0,M22-0&lt;=0),0,MIN($D$5,M22-0+0))</f>
        <v>96</v>
      </c>
      <c r="O22" s="12">
        <f t="shared" si="9"/>
        <v>96</v>
      </c>
      <c r="P22" s="12">
        <f>IF(OR(O22&lt;=0,O22-0&lt;=0),0,MIN($D$5,O22-0+0))</f>
        <v>96</v>
      </c>
      <c r="Q22" s="12">
        <f>IF(OR(P22&lt;=0,P22-关卡总览!$J$12*$F$5&lt;=0),0,MIN($D$5,P22-关卡总览!$J$12*$F$5+0))</f>
        <v>84</v>
      </c>
      <c r="R22" s="12">
        <f>IF(OR(Q22&lt;=0,Q22-关卡总览!$J$13*$F$5&lt;=0),0,MIN($D$5,Q22-关卡总览!$J$13*$F$5+0))</f>
        <v>68</v>
      </c>
      <c r="S22" s="12">
        <f t="shared" si="2"/>
        <v>88</v>
      </c>
      <c r="T22" s="12">
        <f>IF(OR(S22&lt;=0,S22-关卡总览!$J$14*$F$5&lt;=0),0,MIN($D$5,S22-关卡总览!$J$14*$F$5+0))</f>
        <v>66</v>
      </c>
      <c r="U22" s="12"/>
      <c r="V22" s="12">
        <f t="shared" si="3"/>
        <v>0</v>
      </c>
      <c r="W22" s="12">
        <f>IF(K22&gt;关卡总览!$J$9*$F$5,MIN(MAX(0,$D$5-(K22-关卡总览!$J$9*$F$5)),0),0)</f>
        <v>0</v>
      </c>
      <c r="X22" s="12">
        <f t="shared" si="7"/>
        <v>0</v>
      </c>
      <c r="Y22" s="12">
        <f>IF(M22&gt;0,MIN(MAX(0,$D$5-(M22-0)),0),0)</f>
        <v>0</v>
      </c>
      <c r="Z22" s="12">
        <f t="shared" si="10"/>
        <v>0</v>
      </c>
      <c r="AA22" s="12">
        <f>IF(O22&gt;0,MIN(MAX(0,$D$5-(O22-0)),0),0)</f>
        <v>0</v>
      </c>
      <c r="AB22" s="12">
        <f>IF(P22&gt;关卡总览!$J$12*$F$5,MIN(MAX(0,$D$5-(P22-关卡总览!$J$12*$F$5)),0),0)</f>
        <v>0</v>
      </c>
      <c r="AC22" s="12">
        <f>IF(Q22&gt;关卡总览!$J$13*$F$5,MIN(MAX(0,$D$5-(Q22-关卡总览!$J$13*$F$5)),0),0)</f>
        <v>0</v>
      </c>
      <c r="AD22" s="12">
        <f t="shared" si="4"/>
        <v>20</v>
      </c>
      <c r="AE22" s="12">
        <f>IF(S22&gt;关卡总览!$J$14*$F$5,MIN(MAX(0,$D$5-(S22-关卡总览!$J$14*$F$5)),0),0)</f>
        <v>0</v>
      </c>
    </row>
    <row r="23" spans="1:31" ht="26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6" customHeight="1">
      <c r="A25" s="14" t="s">
        <v>112</v>
      </c>
      <c r="B25" s="14" t="s">
        <v>112</v>
      </c>
      <c r="C25" s="14" t="s">
        <v>112</v>
      </c>
      <c r="D25" s="14" t="s">
        <v>112</v>
      </c>
      <c r="E25" s="14" t="s">
        <v>112</v>
      </c>
      <c r="F25" s="14" t="s">
        <v>112</v>
      </c>
      <c r="G25" s="14" t="s">
        <v>112</v>
      </c>
      <c r="H25" s="14" t="s">
        <v>112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6" customHeight="1">
      <c r="A26" s="14" t="s">
        <v>112</v>
      </c>
      <c r="B26" s="14" t="s">
        <v>112</v>
      </c>
      <c r="C26" s="14" t="s">
        <v>112</v>
      </c>
      <c r="D26" s="14" t="s">
        <v>112</v>
      </c>
      <c r="E26" s="14" t="s">
        <v>112</v>
      </c>
      <c r="F26" s="14" t="s">
        <v>112</v>
      </c>
      <c r="G26" s="14" t="s">
        <v>112</v>
      </c>
      <c r="H26" s="14" t="s">
        <v>112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6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6" customHeight="1">
      <c r="A28" s="14" t="s">
        <v>113</v>
      </c>
      <c r="B28" s="14" t="s">
        <v>113</v>
      </c>
      <c r="C28" s="14" t="s">
        <v>113</v>
      </c>
      <c r="D28" s="14" t="s">
        <v>113</v>
      </c>
      <c r="E28" s="14" t="s">
        <v>113</v>
      </c>
      <c r="F28" s="14" t="s">
        <v>113</v>
      </c>
      <c r="G28" s="14" t="s">
        <v>113</v>
      </c>
      <c r="H28" s="14" t="s">
        <v>113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6" customHeight="1">
      <c r="A29" s="14" t="s">
        <v>113</v>
      </c>
      <c r="B29" s="14" t="s">
        <v>113</v>
      </c>
      <c r="C29" s="14" t="s">
        <v>113</v>
      </c>
      <c r="D29" s="14" t="s">
        <v>113</v>
      </c>
      <c r="E29" s="14" t="s">
        <v>113</v>
      </c>
      <c r="F29" s="14" t="s">
        <v>113</v>
      </c>
      <c r="G29" s="14" t="s">
        <v>113</v>
      </c>
      <c r="H29" s="14" t="s">
        <v>113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6" customHeight="1">
      <c r="A30" s="14" t="s">
        <v>113</v>
      </c>
      <c r="B30" s="14" t="s">
        <v>113</v>
      </c>
      <c r="C30" s="14" t="s">
        <v>113</v>
      </c>
      <c r="D30" s="14" t="s">
        <v>113</v>
      </c>
      <c r="E30" s="14" t="s">
        <v>113</v>
      </c>
      <c r="F30" s="14" t="s">
        <v>113</v>
      </c>
      <c r="G30" s="14" t="s">
        <v>113</v>
      </c>
      <c r="H30" s="14" t="s">
        <v>113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6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</sheetData>
  <mergeCells count="5">
    <mergeCell ref="A2:H2"/>
    <mergeCell ref="A4:H4"/>
    <mergeCell ref="A6:H6"/>
    <mergeCell ref="A25:H26"/>
    <mergeCell ref="A28:H30"/>
  </mergeCells>
  <phoneticPr fontId="6" type="noConversion"/>
  <conditionalFormatting sqref="G9:G22">
    <cfRule type="cellIs" dxfId="1" priority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4E43"/>
  </sheetPr>
  <dimension ref="A1:S85"/>
  <sheetViews>
    <sheetView showGridLines="0" workbookViewId="0">
      <pane xSplit="2" ySplit="8" topLeftCell="C42" activePane="bottomRight" state="frozen"/>
      <selection pane="topRight"/>
      <selection pane="bottomLeft"/>
      <selection pane="bottomRight" activeCell="C9" sqref="C9"/>
    </sheetView>
  </sheetViews>
  <sheetFormatPr defaultRowHeight="14"/>
  <cols>
    <col min="1" max="7" width="8" customWidth="1"/>
    <col min="8" max="10" width="13" customWidth="1"/>
    <col min="11" max="18" width="12" customWidth="1"/>
    <col min="19" max="19" width="24" customWidth="1"/>
  </cols>
  <sheetData>
    <row r="1" spans="1:19" ht="2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6" customHeight="1">
      <c r="A2" s="13" t="s">
        <v>114</v>
      </c>
      <c r="B2" s="13" t="s">
        <v>114</v>
      </c>
      <c r="C2" s="13" t="s">
        <v>114</v>
      </c>
      <c r="D2" s="13" t="s">
        <v>114</v>
      </c>
      <c r="E2" s="13" t="s">
        <v>114</v>
      </c>
      <c r="F2" s="13" t="s">
        <v>114</v>
      </c>
      <c r="G2" s="13" t="s">
        <v>114</v>
      </c>
      <c r="H2" s="13" t="s">
        <v>114</v>
      </c>
      <c r="I2" s="13" t="s">
        <v>114</v>
      </c>
      <c r="J2" s="13" t="s">
        <v>114</v>
      </c>
      <c r="K2" s="13" t="s">
        <v>114</v>
      </c>
      <c r="L2" s="13" t="s">
        <v>114</v>
      </c>
      <c r="M2" s="13" t="s">
        <v>114</v>
      </c>
      <c r="N2" s="13" t="s">
        <v>114</v>
      </c>
      <c r="O2" s="13" t="s">
        <v>114</v>
      </c>
      <c r="P2" s="13" t="s">
        <v>114</v>
      </c>
      <c r="Q2" s="13" t="s">
        <v>114</v>
      </c>
      <c r="R2" s="13" t="s">
        <v>114</v>
      </c>
      <c r="S2" s="13" t="s">
        <v>114</v>
      </c>
    </row>
    <row r="3" spans="1:19" ht="2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6" customHeight="1">
      <c r="A4" s="14" t="s">
        <v>115</v>
      </c>
      <c r="B4" s="14" t="s">
        <v>115</v>
      </c>
      <c r="C4" s="14" t="s">
        <v>115</v>
      </c>
      <c r="D4" s="14" t="s">
        <v>115</v>
      </c>
      <c r="E4" s="14" t="s">
        <v>115</v>
      </c>
      <c r="F4" s="14" t="s">
        <v>115</v>
      </c>
      <c r="G4" s="14" t="s">
        <v>115</v>
      </c>
      <c r="H4" s="14" t="s">
        <v>115</v>
      </c>
      <c r="I4" s="14" t="s">
        <v>115</v>
      </c>
      <c r="J4" s="14" t="s">
        <v>115</v>
      </c>
      <c r="K4" s="14" t="s">
        <v>115</v>
      </c>
      <c r="L4" s="14" t="s">
        <v>115</v>
      </c>
      <c r="M4" s="14" t="s">
        <v>115</v>
      </c>
      <c r="N4" s="14" t="s">
        <v>115</v>
      </c>
      <c r="O4" s="14" t="s">
        <v>115</v>
      </c>
      <c r="P4" s="14" t="s">
        <v>115</v>
      </c>
      <c r="Q4" s="14" t="s">
        <v>115</v>
      </c>
      <c r="R4" s="14" t="s">
        <v>115</v>
      </c>
      <c r="S4" s="14" t="s">
        <v>115</v>
      </c>
    </row>
    <row r="5" spans="1:19" ht="26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6" customHeight="1">
      <c r="A6" s="14" t="s">
        <v>116</v>
      </c>
      <c r="B6" s="14" t="s">
        <v>116</v>
      </c>
      <c r="C6" s="14" t="s">
        <v>116</v>
      </c>
      <c r="D6" s="14" t="s">
        <v>116</v>
      </c>
      <c r="E6" s="14" t="s">
        <v>116</v>
      </c>
      <c r="F6" s="14" t="s">
        <v>116</v>
      </c>
      <c r="G6" s="14" t="s">
        <v>116</v>
      </c>
      <c r="H6" s="14" t="s">
        <v>116</v>
      </c>
      <c r="I6" s="14" t="s">
        <v>116</v>
      </c>
      <c r="J6" s="14" t="s">
        <v>116</v>
      </c>
      <c r="K6" s="14" t="s">
        <v>116</v>
      </c>
      <c r="L6" s="14" t="s">
        <v>116</v>
      </c>
      <c r="M6" s="14" t="s">
        <v>116</v>
      </c>
      <c r="N6" s="14" t="s">
        <v>116</v>
      </c>
      <c r="O6" s="14" t="s">
        <v>116</v>
      </c>
      <c r="P6" s="14" t="s">
        <v>116</v>
      </c>
      <c r="Q6" s="14" t="s">
        <v>116</v>
      </c>
      <c r="R6" s="14" t="s">
        <v>116</v>
      </c>
      <c r="S6" s="14" t="s">
        <v>116</v>
      </c>
    </row>
    <row r="7" spans="1:19" ht="26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0" customHeight="1">
      <c r="A8" s="5" t="s">
        <v>55</v>
      </c>
      <c r="B8" s="5" t="s">
        <v>117</v>
      </c>
      <c r="C8" s="5" t="s">
        <v>118</v>
      </c>
      <c r="D8" s="5" t="s">
        <v>119</v>
      </c>
      <c r="E8" s="5" t="s">
        <v>120</v>
      </c>
      <c r="F8" s="5" t="s">
        <v>121</v>
      </c>
      <c r="G8" s="5" t="s">
        <v>21</v>
      </c>
      <c r="H8" s="5" t="s">
        <v>122</v>
      </c>
      <c r="I8" s="5" t="s">
        <v>123</v>
      </c>
      <c r="J8" s="5" t="s">
        <v>124</v>
      </c>
      <c r="K8" s="5" t="s">
        <v>125</v>
      </c>
      <c r="L8" s="5" t="s">
        <v>126</v>
      </c>
      <c r="M8" s="5" t="s">
        <v>127</v>
      </c>
      <c r="N8" s="5" t="s">
        <v>128</v>
      </c>
      <c r="O8" s="5" t="s">
        <v>129</v>
      </c>
      <c r="P8" s="5" t="s">
        <v>130</v>
      </c>
      <c r="Q8" s="5" t="s">
        <v>131</v>
      </c>
      <c r="R8" s="5" t="s">
        <v>132</v>
      </c>
      <c r="S8" s="5" t="s">
        <v>133</v>
      </c>
    </row>
    <row r="9" spans="1:19" ht="26" customHeight="1">
      <c r="A9" s="1" t="s">
        <v>16</v>
      </c>
      <c r="B9" s="1">
        <v>1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1">
        <f>C9*敌兵与开局!$C$9+D9*敌兵与开局!$C$10+E9*敌兵与开局!$C$11+F9*敌兵与开局!$C$12+G9*敌兵与开局!$C$13</f>
        <v>70</v>
      </c>
      <c r="I9" s="1">
        <f t="shared" ref="I9:I14" si="0">SUM(C9:G9)</f>
        <v>1</v>
      </c>
      <c r="J9" s="1">
        <f>C9*敌兵与开局!$F$9+D9*敌兵与开局!$F$10+E9*敌兵与开局!$F$11+F9*敌兵与开局!$F$12+G9*敌兵与开局!$F$13</f>
        <v>1</v>
      </c>
      <c r="K9" s="6">
        <v>1</v>
      </c>
      <c r="L9" s="6">
        <v>2</v>
      </c>
      <c r="M9" s="6">
        <v>0</v>
      </c>
      <c r="N9" s="1">
        <f>IF(OR(关卡总览!$D$9&lt;=0,NOT(ISNUMBER(K9))),0,IF(K9=1,B9+L9,0))</f>
        <v>3</v>
      </c>
      <c r="O9" s="1">
        <f>IF(OR(关卡总览!$D$9&lt;=0,NOT(ISNUMBER(K9))),0,IF(K9=0,B9+M9,0))</f>
        <v>0</v>
      </c>
      <c r="P9" s="1">
        <f>MAX(0,关卡总览!$D$9-N9)</f>
        <v>19</v>
      </c>
      <c r="Q9" s="1">
        <f>0+O9</f>
        <v>0</v>
      </c>
      <c r="R9" s="1">
        <f>MIN(关卡总览!$E$9+(B9-1)*关卡总览!$F$9,关卡总览!$G$9)</f>
        <v>3</v>
      </c>
      <c r="S9" s="1" t="str">
        <f>IF(关卡总览!$D$9&lt;=0,"已结束",IF(NOT(ISNUMBER(K9)),"待填写胜负",IF(M9&gt;J9,"敌幸存值超上限",IF(AND(I9=0,K9=0),"空波不可判败","原始波1"))))</f>
        <v>原始波1</v>
      </c>
    </row>
    <row r="10" spans="1:19" ht="26" customHeight="1">
      <c r="A10" s="1" t="s">
        <v>16</v>
      </c>
      <c r="B10" s="1">
        <v>2</v>
      </c>
      <c r="C10" s="6">
        <v>2</v>
      </c>
      <c r="D10" s="6">
        <v>0</v>
      </c>
      <c r="E10" s="6">
        <v>0</v>
      </c>
      <c r="F10" s="6">
        <v>0</v>
      </c>
      <c r="G10" s="6">
        <v>0</v>
      </c>
      <c r="H10" s="1">
        <f>C10*敌兵与开局!$C$9+D10*敌兵与开局!$C$10+E10*敌兵与开局!$C$11+F10*敌兵与开局!$C$12+G10*敌兵与开局!$C$13</f>
        <v>140</v>
      </c>
      <c r="I10" s="1">
        <f t="shared" si="0"/>
        <v>2</v>
      </c>
      <c r="J10" s="1">
        <f>C10*敌兵与开局!$F$9+D10*敌兵与开局!$F$10+E10*敌兵与开局!$F$11+F10*敌兵与开局!$F$12+G10*敌兵与开局!$F$13</f>
        <v>2</v>
      </c>
      <c r="K10" s="6">
        <v>1</v>
      </c>
      <c r="L10" s="6">
        <v>3</v>
      </c>
      <c r="M10" s="6">
        <v>0</v>
      </c>
      <c r="N10" s="1">
        <f>IF(OR(P9&lt;=0,NOT(ISNUMBER(K10))),0,IF(K10=1,B10+L10,0))</f>
        <v>5</v>
      </c>
      <c r="O10" s="1">
        <f>IF(OR(P9&lt;=0,NOT(ISNUMBER(K10))),0,IF(K10=0,B10+M10,0))</f>
        <v>0</v>
      </c>
      <c r="P10" s="1">
        <f>MAX(0,P9-N10)</f>
        <v>14</v>
      </c>
      <c r="Q10" s="1">
        <f>Q9+O10</f>
        <v>0</v>
      </c>
      <c r="R10" s="1">
        <f>MIN(关卡总览!$E$9+(B10-1)*关卡总览!$F$9,关卡总览!$G$9)</f>
        <v>4</v>
      </c>
      <c r="S10" s="1" t="str">
        <f>IF(P9&lt;=0,"已结束",IF(NOT(ISNUMBER(K10)),"待填写胜负",IF(M10&gt;J10,"敌幸存值超上限",IF(AND(I10=0,K10=0),"空波不可判败","原始波2"))))</f>
        <v>原始波2</v>
      </c>
    </row>
    <row r="11" spans="1:19" ht="26" customHeight="1">
      <c r="A11" s="1" t="s">
        <v>16</v>
      </c>
      <c r="B11" s="1">
        <v>3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1">
        <f>C11*敌兵与开局!$C$9+D11*敌兵与开局!$C$10+E11*敌兵与开局!$C$11+F11*敌兵与开局!$C$12+G11*敌兵与开局!$C$13</f>
        <v>125</v>
      </c>
      <c r="I11" s="1">
        <f t="shared" si="0"/>
        <v>2</v>
      </c>
      <c r="J11" s="1">
        <f>C11*敌兵与开局!$F$9+D11*敌兵与开局!$F$10+E11*敌兵与开局!$F$11+F11*敌兵与开局!$F$12+G11*敌兵与开局!$F$13</f>
        <v>3</v>
      </c>
      <c r="K11" s="6">
        <v>0</v>
      </c>
      <c r="L11" s="6">
        <v>0</v>
      </c>
      <c r="M11" s="6">
        <v>1</v>
      </c>
      <c r="N11" s="1">
        <f>IF(OR(P10&lt;=0,NOT(ISNUMBER(K11))),0,IF(K11=1,B11+L11,0))</f>
        <v>0</v>
      </c>
      <c r="O11" s="1">
        <f>IF(OR(P10&lt;=0,NOT(ISNUMBER(K11))),0,IF(K11=0,B11+M11,0))</f>
        <v>4</v>
      </c>
      <c r="P11" s="1">
        <f>MAX(0,P10-N11)</f>
        <v>14</v>
      </c>
      <c r="Q11" s="1">
        <f>Q10+O11</f>
        <v>4</v>
      </c>
      <c r="R11" s="1">
        <f>MIN(关卡总览!$E$9+(B11-1)*关卡总览!$F$9,关卡总览!$G$9)</f>
        <v>5</v>
      </c>
      <c r="S11" s="1" t="str">
        <f>IF(P10&lt;=0,"已结束",IF(NOT(ISNUMBER(K11)),"待填写胜负",IF(M11&gt;J11,"敌幸存值超上限",IF(AND(I11=0,K11=0),"空波不可判败","原始波3"))))</f>
        <v>原始波3</v>
      </c>
    </row>
    <row r="12" spans="1:19" ht="26" customHeight="1">
      <c r="A12" s="1" t="s">
        <v>16</v>
      </c>
      <c r="B12" s="1">
        <v>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1">
        <f>C12*敌兵与开局!$C$9+D12*敌兵与开局!$C$10+E12*敌兵与开局!$C$11+F12*敌兵与开局!$C$12+G12*敌兵与开局!$C$13</f>
        <v>0</v>
      </c>
      <c r="I12" s="1">
        <f t="shared" si="0"/>
        <v>0</v>
      </c>
      <c r="J12" s="1">
        <f>C12*敌兵与开局!$F$9+D12*敌兵与开局!$F$10+E12*敌兵与开局!$F$11+F12*敌兵与开局!$F$12+G12*敌兵与开局!$F$13</f>
        <v>0</v>
      </c>
      <c r="K12" s="6">
        <v>1</v>
      </c>
      <c r="L12" s="6">
        <v>3</v>
      </c>
      <c r="M12" s="6">
        <v>0</v>
      </c>
      <c r="N12" s="1">
        <f>IF(OR(P11&lt;=0,NOT(ISNUMBER(K12))),0,IF(K12=1,B12+L12,0))</f>
        <v>7</v>
      </c>
      <c r="O12" s="1">
        <f>IF(OR(P11&lt;=0,NOT(ISNUMBER(K12))),0,IF(K12=0,B12+M12,0))</f>
        <v>0</v>
      </c>
      <c r="P12" s="1">
        <f>MAX(0,P11-N12)</f>
        <v>7</v>
      </c>
      <c r="Q12" s="1">
        <f>Q11+O12</f>
        <v>4</v>
      </c>
      <c r="R12" s="1">
        <f>MIN(关卡总览!$E$9+(B12-1)*关卡总览!$F$9,关卡总览!$G$9)</f>
        <v>6</v>
      </c>
      <c r="S12" s="1" t="str">
        <f>IF(P11&lt;=0,"已结束",IF(NOT(ISNUMBER(K12)),"待填写胜负",IF(M12&gt;J12,"敌幸存值超上限",IF(AND(I12=0,K12=0),"空波不可判败","空波"))))</f>
        <v>空波</v>
      </c>
    </row>
    <row r="13" spans="1:19" ht="26" customHeight="1">
      <c r="A13" s="1" t="s">
        <v>16</v>
      </c>
      <c r="B13" s="1">
        <v>5</v>
      </c>
      <c r="C13" s="6">
        <v>2</v>
      </c>
      <c r="D13" s="6">
        <v>0</v>
      </c>
      <c r="E13" s="6">
        <v>0</v>
      </c>
      <c r="F13" s="6">
        <v>0</v>
      </c>
      <c r="G13" s="6">
        <v>0</v>
      </c>
      <c r="H13" s="1">
        <f>C13*敌兵与开局!$C$9+D13*敌兵与开局!$C$10+E13*敌兵与开局!$C$11+F13*敌兵与开局!$C$12+G13*敌兵与开局!$C$13</f>
        <v>140</v>
      </c>
      <c r="I13" s="1">
        <f t="shared" si="0"/>
        <v>2</v>
      </c>
      <c r="J13" s="1">
        <f>C13*敌兵与开局!$F$9+D13*敌兵与开局!$F$10+E13*敌兵与开局!$F$11+F13*敌兵与开局!$F$12+G13*敌兵与开局!$F$13</f>
        <v>2</v>
      </c>
      <c r="K13" s="6">
        <v>1</v>
      </c>
      <c r="L13" s="6">
        <v>2</v>
      </c>
      <c r="M13" s="6">
        <v>0</v>
      </c>
      <c r="N13" s="1">
        <f>IF(OR(P12&lt;=0,NOT(ISNUMBER(K13))),0,IF(K13=1,B13+L13,0))</f>
        <v>7</v>
      </c>
      <c r="O13" s="1">
        <f>IF(OR(P12&lt;=0,NOT(ISNUMBER(K13))),0,IF(K13=0,B13+M13,0))</f>
        <v>0</v>
      </c>
      <c r="P13" s="1">
        <f>MAX(0,P12-N13)</f>
        <v>0</v>
      </c>
      <c r="Q13" s="1">
        <f>Q12+O13</f>
        <v>4</v>
      </c>
      <c r="R13" s="1">
        <f>MIN(关卡总览!$E$9+(B13-1)*关卡总览!$F$9,关卡总览!$G$9)</f>
        <v>7</v>
      </c>
      <c r="S13" s="1" t="str">
        <f>IF(P12&lt;=0,"已结束",IF(NOT(ISNUMBER(K13)),"待填写胜负",IF(M13&gt;J13,"敌幸存值超上限",IF(AND(I13=0,K13=0),"空波不可判败","原始波5"))))</f>
        <v>原始波5</v>
      </c>
    </row>
    <row r="14" spans="1:19" ht="26" customHeight="1">
      <c r="A14" s="1" t="s">
        <v>16</v>
      </c>
      <c r="B14" s="1">
        <v>6</v>
      </c>
      <c r="C14" s="6">
        <v>1</v>
      </c>
      <c r="D14" s="6">
        <v>0</v>
      </c>
      <c r="E14" s="6">
        <v>0</v>
      </c>
      <c r="F14" s="6">
        <v>0</v>
      </c>
      <c r="G14" s="6">
        <v>0</v>
      </c>
      <c r="H14" s="1">
        <f>C14*敌兵与开局!$C$9+D14*敌兵与开局!$C$10+E14*敌兵与开局!$C$11+F14*敌兵与开局!$C$12+G14*敌兵与开局!$C$13</f>
        <v>70</v>
      </c>
      <c r="I14" s="1">
        <f t="shared" si="0"/>
        <v>1</v>
      </c>
      <c r="J14" s="1">
        <f>C14*敌兵与开局!$F$9+D14*敌兵与开局!$F$10+E14*敌兵与开局!$F$11+F14*敌兵与开局!$F$12+G14*敌兵与开局!$F$13</f>
        <v>1</v>
      </c>
      <c r="K14" s="6"/>
      <c r="L14" s="6">
        <v>0</v>
      </c>
      <c r="M14" s="6">
        <v>0</v>
      </c>
      <c r="N14" s="1">
        <f>IF(OR(P13&lt;=0,NOT(ISNUMBER(K14))),0,IF(K14=1,B14+L14,0))</f>
        <v>0</v>
      </c>
      <c r="O14" s="1">
        <f>IF(OR(P13&lt;=0,NOT(ISNUMBER(K14))),0,IF(K14=0,B14+M14,0))</f>
        <v>0</v>
      </c>
      <c r="P14" s="1">
        <f>MAX(0,P13-N14)</f>
        <v>0</v>
      </c>
      <c r="Q14" s="1">
        <f>Q13+O14</f>
        <v>4</v>
      </c>
      <c r="R14" s="1">
        <f>MIN(关卡总览!$E$9+(B14-1)*关卡总览!$F$9,关卡总览!$G$9)</f>
        <v>8</v>
      </c>
      <c r="S14" s="1" t="str">
        <f>IF(P13&lt;=0,"已结束",IF(NOT(ISNUMBER(K14)),"待填写胜负",IF(M14&gt;J14,"敌幸存值超上限",IF(AND(I14=0,K14=0),"空波不可判败","原始波6"))))</f>
        <v>已结束</v>
      </c>
    </row>
    <row r="15" spans="1:19" ht="26" customHeight="1">
      <c r="A15" s="16" t="s">
        <v>134</v>
      </c>
      <c r="B15" s="16" t="s">
        <v>134</v>
      </c>
      <c r="C15" s="16" t="s">
        <v>134</v>
      </c>
      <c r="D15" s="16" t="s">
        <v>134</v>
      </c>
      <c r="E15" s="16" t="s">
        <v>134</v>
      </c>
      <c r="F15" s="16" t="s">
        <v>134</v>
      </c>
      <c r="G15" s="16" t="s">
        <v>134</v>
      </c>
      <c r="H15" s="16" t="s">
        <v>134</v>
      </c>
      <c r="I15" s="16" t="s">
        <v>134</v>
      </c>
      <c r="J15" s="16" t="s">
        <v>134</v>
      </c>
      <c r="K15" s="16" t="s">
        <v>134</v>
      </c>
      <c r="L15" s="16" t="s">
        <v>134</v>
      </c>
      <c r="M15" s="16" t="s">
        <v>134</v>
      </c>
      <c r="N15" s="16" t="s">
        <v>134</v>
      </c>
      <c r="O15" s="16" t="s">
        <v>134</v>
      </c>
      <c r="P15" s="16" t="s">
        <v>134</v>
      </c>
      <c r="Q15" s="16" t="s">
        <v>134</v>
      </c>
      <c r="R15" s="16" t="s">
        <v>134</v>
      </c>
      <c r="S15" s="16" t="s">
        <v>134</v>
      </c>
    </row>
    <row r="16" spans="1:19" ht="26" customHeight="1">
      <c r="A16" s="1" t="s">
        <v>21</v>
      </c>
      <c r="B16" s="1">
        <v>1</v>
      </c>
      <c r="C16" s="6">
        <v>2</v>
      </c>
      <c r="D16" s="6">
        <v>0</v>
      </c>
      <c r="E16" s="6">
        <v>0</v>
      </c>
      <c r="F16" s="6">
        <v>0</v>
      </c>
      <c r="G16" s="6">
        <v>0</v>
      </c>
      <c r="H16" s="1">
        <f>C16*敌兵与开局!$C$9+D16*敌兵与开局!$C$10+E16*敌兵与开局!$C$11+F16*敌兵与开局!$C$12+G16*敌兵与开局!$C$13</f>
        <v>140</v>
      </c>
      <c r="I16" s="1">
        <f t="shared" ref="I16:I22" si="1">SUM(C16:G16)</f>
        <v>2</v>
      </c>
      <c r="J16" s="1">
        <f>C16*敌兵与开局!$F$9+D16*敌兵与开局!$F$10+E16*敌兵与开局!$F$11+F16*敌兵与开局!$F$12+G16*敌兵与开局!$F$13</f>
        <v>2</v>
      </c>
      <c r="K16" s="6">
        <v>1</v>
      </c>
      <c r="L16" s="6">
        <v>3</v>
      </c>
      <c r="M16" s="6">
        <v>0</v>
      </c>
      <c r="N16" s="1">
        <f>IF(OR(关卡总览!$D$10&lt;=0,NOT(ISNUMBER(K16))),0,IF(K16=1,B16+L16,0))</f>
        <v>4</v>
      </c>
      <c r="O16" s="1">
        <f>IF(OR(关卡总览!$D$10&lt;=0,NOT(ISNUMBER(K16))),0,IF(K16=0,B16+M16,0))</f>
        <v>0</v>
      </c>
      <c r="P16" s="1">
        <f>MAX(0,关卡总览!$D$10-N16)</f>
        <v>26</v>
      </c>
      <c r="Q16" s="1">
        <f>0+O16</f>
        <v>0</v>
      </c>
      <c r="R16" s="1">
        <f>MIN(关卡总览!$E$10+(B16-1)*关卡总览!$F$10,关卡总览!$G$10)</f>
        <v>3</v>
      </c>
      <c r="S16" s="1" t="str">
        <f>IF(关卡总览!$D$10&lt;=0,"已结束",IF(NOT(ISNUMBER(K16)),"待填写胜负",IF(M16&gt;J16,"敌幸存值超上限",IF(AND(I16=0,K16=0),"空波不可判败","原始波1"))))</f>
        <v>原始波1</v>
      </c>
    </row>
    <row r="17" spans="1:19" ht="26" customHeight="1">
      <c r="A17" s="1" t="s">
        <v>21</v>
      </c>
      <c r="B17" s="1">
        <v>2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 s="1">
        <f>C17*敌兵与开局!$C$9+D17*敌兵与开局!$C$10+E17*敌兵与开局!$C$11+F17*敌兵与开局!$C$12+G17*敌兵与开局!$C$13</f>
        <v>125</v>
      </c>
      <c r="I17" s="1">
        <f t="shared" si="1"/>
        <v>2</v>
      </c>
      <c r="J17" s="1">
        <f>C17*敌兵与开局!$F$9+D17*敌兵与开局!$F$10+E17*敌兵与开局!$F$11+F17*敌兵与开局!$F$12+G17*敌兵与开局!$F$13</f>
        <v>3</v>
      </c>
      <c r="K17" s="6">
        <v>1</v>
      </c>
      <c r="L17" s="6">
        <v>3</v>
      </c>
      <c r="M17" s="6">
        <v>0</v>
      </c>
      <c r="N17" s="1">
        <f t="shared" ref="N17:N22" si="2">IF(OR(P16&lt;=0,NOT(ISNUMBER(K17))),0,IF(K17=1,B17+L17,0))</f>
        <v>5</v>
      </c>
      <c r="O17" s="1">
        <f t="shared" ref="O17:O22" si="3">IF(OR(P16&lt;=0,NOT(ISNUMBER(K17))),0,IF(K17=0,B17+M17,0))</f>
        <v>0</v>
      </c>
      <c r="P17" s="1">
        <f t="shared" ref="P17:P22" si="4">MAX(0,P16-N17)</f>
        <v>21</v>
      </c>
      <c r="Q17" s="1">
        <f t="shared" ref="Q17:Q22" si="5">Q16+O17</f>
        <v>0</v>
      </c>
      <c r="R17" s="1">
        <f>MIN(关卡总览!$E$10+(B17-1)*关卡总览!$F$10,关卡总览!$G$10)</f>
        <v>4</v>
      </c>
      <c r="S17" s="1" t="str">
        <f>IF(P16&lt;=0,"已结束",IF(NOT(ISNUMBER(K17)),"待填写胜负",IF(M17&gt;J17,"敌幸存值超上限",IF(AND(I17=0,K17=0),"空波不可判败","原始波2"))))</f>
        <v>原始波2</v>
      </c>
    </row>
    <row r="18" spans="1:19" ht="26" customHeight="1">
      <c r="A18" s="1" t="s">
        <v>21</v>
      </c>
      <c r="B18" s="1">
        <v>3</v>
      </c>
      <c r="C18" s="6">
        <v>2</v>
      </c>
      <c r="D18" s="6">
        <v>1</v>
      </c>
      <c r="E18" s="6">
        <v>0</v>
      </c>
      <c r="F18" s="6">
        <v>0</v>
      </c>
      <c r="G18" s="6">
        <v>0</v>
      </c>
      <c r="H18" s="1">
        <f>C18*敌兵与开局!$C$9+D18*敌兵与开局!$C$10+E18*敌兵与开局!$C$11+F18*敌兵与开局!$C$12+G18*敌兵与开局!$C$13</f>
        <v>195</v>
      </c>
      <c r="I18" s="1">
        <f t="shared" si="1"/>
        <v>3</v>
      </c>
      <c r="J18" s="1">
        <f>C18*敌兵与开局!$F$9+D18*敌兵与开局!$F$10+E18*敌兵与开局!$F$11+F18*敌兵与开局!$F$12+G18*敌兵与开局!$F$13</f>
        <v>4</v>
      </c>
      <c r="K18" s="6">
        <v>0</v>
      </c>
      <c r="L18" s="6">
        <v>0</v>
      </c>
      <c r="M18" s="6">
        <v>2</v>
      </c>
      <c r="N18" s="1">
        <f t="shared" si="2"/>
        <v>0</v>
      </c>
      <c r="O18" s="1">
        <f t="shared" si="3"/>
        <v>5</v>
      </c>
      <c r="P18" s="1">
        <f t="shared" si="4"/>
        <v>21</v>
      </c>
      <c r="Q18" s="1">
        <f t="shared" si="5"/>
        <v>5</v>
      </c>
      <c r="R18" s="1">
        <f>MIN(关卡总览!$E$10+(B18-1)*关卡总览!$F$10,关卡总览!$G$10)</f>
        <v>5</v>
      </c>
      <c r="S18" s="1" t="str">
        <f>IF(P17&lt;=0,"已结束",IF(NOT(ISNUMBER(K18)),"待填写胜负",IF(M18&gt;J18,"敌幸存值超上限",IF(AND(I18=0,K18=0),"空波不可判败","原始波3"))))</f>
        <v>原始波3</v>
      </c>
    </row>
    <row r="19" spans="1:19" ht="26" customHeight="1">
      <c r="A19" s="1" t="s">
        <v>21</v>
      </c>
      <c r="B19" s="1">
        <v>4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1">
        <f>C19*敌兵与开局!$C$9+D19*敌兵与开局!$C$10+E19*敌兵与开局!$C$11+F19*敌兵与开局!$C$12+G19*敌兵与开局!$C$13</f>
        <v>0</v>
      </c>
      <c r="I19" s="1">
        <f t="shared" si="1"/>
        <v>0</v>
      </c>
      <c r="J19" s="1">
        <f>C19*敌兵与开局!$F$9+D19*敌兵与开局!$F$10+E19*敌兵与开局!$F$11+F19*敌兵与开局!$F$12+G19*敌兵与开局!$F$13</f>
        <v>0</v>
      </c>
      <c r="K19" s="6">
        <v>1</v>
      </c>
      <c r="L19" s="6">
        <v>3</v>
      </c>
      <c r="M19" s="6">
        <v>0</v>
      </c>
      <c r="N19" s="1">
        <f t="shared" si="2"/>
        <v>7</v>
      </c>
      <c r="O19" s="1">
        <f t="shared" si="3"/>
        <v>0</v>
      </c>
      <c r="P19" s="1">
        <f t="shared" si="4"/>
        <v>14</v>
      </c>
      <c r="Q19" s="1">
        <f t="shared" si="5"/>
        <v>5</v>
      </c>
      <c r="R19" s="1">
        <f>MIN(关卡总览!$E$10+(B19-1)*关卡总览!$F$10,关卡总览!$G$10)</f>
        <v>6</v>
      </c>
      <c r="S19" s="1" t="str">
        <f>IF(P18&lt;=0,"已结束",IF(NOT(ISNUMBER(K19)),"待填写胜负",IF(M19&gt;J19,"敌幸存值超上限",IF(AND(I19=0,K19=0),"空波不可判败","空波"))))</f>
        <v>空波</v>
      </c>
    </row>
    <row r="20" spans="1:19" ht="26" customHeight="1">
      <c r="A20" s="1" t="s">
        <v>21</v>
      </c>
      <c r="B20" s="1">
        <v>5</v>
      </c>
      <c r="C20" s="6">
        <v>1</v>
      </c>
      <c r="D20" s="6">
        <v>0</v>
      </c>
      <c r="E20" s="6">
        <v>1</v>
      </c>
      <c r="F20" s="6">
        <v>0</v>
      </c>
      <c r="G20" s="6">
        <v>0</v>
      </c>
      <c r="H20" s="1">
        <f>C20*敌兵与开局!$C$9+D20*敌兵与开局!$C$10+E20*敌兵与开局!$C$11+F20*敌兵与开局!$C$12+G20*敌兵与开局!$C$13</f>
        <v>170</v>
      </c>
      <c r="I20" s="1">
        <f t="shared" si="1"/>
        <v>2</v>
      </c>
      <c r="J20" s="1">
        <f>C20*敌兵与开局!$F$9+D20*敌兵与开局!$F$10+E20*敌兵与开局!$F$11+F20*敌兵与开局!$F$12+G20*敌兵与开局!$F$13</f>
        <v>2</v>
      </c>
      <c r="K20" s="6">
        <v>0</v>
      </c>
      <c r="L20" s="6">
        <v>0</v>
      </c>
      <c r="M20" s="6">
        <v>2</v>
      </c>
      <c r="N20" s="1">
        <f t="shared" si="2"/>
        <v>0</v>
      </c>
      <c r="O20" s="1">
        <f t="shared" si="3"/>
        <v>7</v>
      </c>
      <c r="P20" s="1">
        <f t="shared" si="4"/>
        <v>14</v>
      </c>
      <c r="Q20" s="1">
        <f t="shared" si="5"/>
        <v>12</v>
      </c>
      <c r="R20" s="1">
        <f>MIN(关卡总览!$E$10+(B20-1)*关卡总览!$F$10,关卡总览!$G$10)</f>
        <v>7</v>
      </c>
      <c r="S20" s="1" t="str">
        <f>IF(P19&lt;=0,"已结束",IF(NOT(ISNUMBER(K20)),"待填写胜负",IF(M20&gt;J20,"敌幸存值超上限",IF(AND(I20=0,K20=0),"空波不可判败","原始波5"))))</f>
        <v>原始波5</v>
      </c>
    </row>
    <row r="21" spans="1:19" ht="26" customHeight="1">
      <c r="A21" s="1" t="s">
        <v>21</v>
      </c>
      <c r="B21" s="1">
        <v>6</v>
      </c>
      <c r="C21" s="6">
        <v>1</v>
      </c>
      <c r="D21" s="6">
        <v>1</v>
      </c>
      <c r="E21" s="6">
        <v>0</v>
      </c>
      <c r="F21" s="6">
        <v>0</v>
      </c>
      <c r="G21" s="6">
        <v>0</v>
      </c>
      <c r="H21" s="1">
        <f>C21*敌兵与开局!$C$9+D21*敌兵与开局!$C$10+E21*敌兵与开局!$C$11+F21*敌兵与开局!$C$12+G21*敌兵与开局!$C$13</f>
        <v>125</v>
      </c>
      <c r="I21" s="1">
        <f t="shared" si="1"/>
        <v>2</v>
      </c>
      <c r="J21" s="1">
        <f>C21*敌兵与开局!$F$9+D21*敌兵与开局!$F$10+E21*敌兵与开局!$F$11+F21*敌兵与开局!$F$12+G21*敌兵与开局!$F$13</f>
        <v>3</v>
      </c>
      <c r="K21" s="6">
        <v>1</v>
      </c>
      <c r="L21" s="6">
        <v>3</v>
      </c>
      <c r="M21" s="6">
        <v>0</v>
      </c>
      <c r="N21" s="1">
        <f t="shared" si="2"/>
        <v>9</v>
      </c>
      <c r="O21" s="1">
        <f t="shared" si="3"/>
        <v>0</v>
      </c>
      <c r="P21" s="1">
        <f t="shared" si="4"/>
        <v>5</v>
      </c>
      <c r="Q21" s="1">
        <f t="shared" si="5"/>
        <v>12</v>
      </c>
      <c r="R21" s="1">
        <f>MIN(关卡总览!$E$10+(B21-1)*关卡总览!$F$10,关卡总览!$G$10)</f>
        <v>8</v>
      </c>
      <c r="S21" s="1" t="str">
        <f>IF(P20&lt;=0,"已结束",IF(NOT(ISNUMBER(K21)),"待填写胜负",IF(M21&gt;J21,"敌幸存值超上限",IF(AND(I21=0,K21=0),"空波不可判败","原始波6"))))</f>
        <v>原始波6</v>
      </c>
    </row>
    <row r="22" spans="1:19" ht="26" customHeight="1">
      <c r="A22" s="1" t="s">
        <v>21</v>
      </c>
      <c r="B22" s="1">
        <v>7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1">
        <f>C22*敌兵与开局!$C$9+D22*敌兵与开局!$C$10+E22*敌兵与开局!$C$11+F22*敌兵与开局!$C$12+G22*敌兵与开局!$C$13</f>
        <v>70</v>
      </c>
      <c r="I22" s="1">
        <f t="shared" si="1"/>
        <v>1</v>
      </c>
      <c r="J22" s="1">
        <f>C22*敌兵与开局!$F$9+D22*敌兵与开局!$F$10+E22*敌兵与开局!$F$11+F22*敌兵与开局!$F$12+G22*敌兵与开局!$F$13</f>
        <v>1</v>
      </c>
      <c r="K22" s="6">
        <v>1</v>
      </c>
      <c r="L22" s="6">
        <v>2</v>
      </c>
      <c r="M22" s="6">
        <v>0</v>
      </c>
      <c r="N22" s="1">
        <f t="shared" si="2"/>
        <v>9</v>
      </c>
      <c r="O22" s="1">
        <f t="shared" si="3"/>
        <v>0</v>
      </c>
      <c r="P22" s="1">
        <f t="shared" si="4"/>
        <v>0</v>
      </c>
      <c r="Q22" s="1">
        <f t="shared" si="5"/>
        <v>12</v>
      </c>
      <c r="R22" s="1">
        <f>MIN(关卡总览!$E$10+(B22-1)*关卡总览!$F$10,关卡总览!$G$10)</f>
        <v>9</v>
      </c>
      <c r="S22" s="1" t="str">
        <f>IF(P21&lt;=0,"已结束",IF(NOT(ISNUMBER(K22)),"待填写胜负",IF(M22&gt;J22,"敌幸存值超上限",IF(AND(I22=0,K22=0),"空波不可判败","原始波7"))))</f>
        <v>原始波7</v>
      </c>
    </row>
    <row r="23" spans="1:19" ht="26" customHeight="1">
      <c r="A23" s="16" t="s">
        <v>134</v>
      </c>
      <c r="B23" s="16" t="s">
        <v>134</v>
      </c>
      <c r="C23" s="16" t="s">
        <v>134</v>
      </c>
      <c r="D23" s="16" t="s">
        <v>134</v>
      </c>
      <c r="E23" s="16" t="s">
        <v>134</v>
      </c>
      <c r="F23" s="16" t="s">
        <v>134</v>
      </c>
      <c r="G23" s="16" t="s">
        <v>134</v>
      </c>
      <c r="H23" s="16" t="s">
        <v>134</v>
      </c>
      <c r="I23" s="16" t="s">
        <v>134</v>
      </c>
      <c r="J23" s="16" t="s">
        <v>134</v>
      </c>
      <c r="K23" s="16" t="s">
        <v>134</v>
      </c>
      <c r="L23" s="16" t="s">
        <v>134</v>
      </c>
      <c r="M23" s="16" t="s">
        <v>134</v>
      </c>
      <c r="N23" s="16" t="s">
        <v>134</v>
      </c>
      <c r="O23" s="16" t="s">
        <v>134</v>
      </c>
      <c r="P23" s="16" t="s">
        <v>134</v>
      </c>
      <c r="Q23" s="16" t="s">
        <v>134</v>
      </c>
      <c r="R23" s="16" t="s">
        <v>134</v>
      </c>
      <c r="S23" s="16" t="s">
        <v>134</v>
      </c>
    </row>
    <row r="24" spans="1:19" ht="26" customHeight="1">
      <c r="A24" s="1" t="s">
        <v>26</v>
      </c>
      <c r="B24" s="1">
        <v>1</v>
      </c>
      <c r="C24" s="6">
        <v>2</v>
      </c>
      <c r="D24" s="6">
        <v>0</v>
      </c>
      <c r="E24" s="6">
        <v>0</v>
      </c>
      <c r="F24" s="6">
        <v>0</v>
      </c>
      <c r="G24" s="6">
        <v>0</v>
      </c>
      <c r="H24" s="1">
        <f>C24*敌兵与开局!$C$9+D24*敌兵与开局!$C$10+E24*敌兵与开局!$C$11+F24*敌兵与开局!$C$12+G24*敌兵与开局!$C$13</f>
        <v>140</v>
      </c>
      <c r="I24" s="1">
        <f t="shared" ref="I24:I30" si="6">SUM(C24:G24)</f>
        <v>2</v>
      </c>
      <c r="J24" s="1">
        <f>C24*敌兵与开局!$F$9+D24*敌兵与开局!$F$10+E24*敌兵与开局!$F$11+F24*敌兵与开局!$F$12+G24*敌兵与开局!$F$13</f>
        <v>2</v>
      </c>
      <c r="K24" s="6">
        <v>1</v>
      </c>
      <c r="L24" s="6">
        <v>3</v>
      </c>
      <c r="M24" s="6">
        <v>0</v>
      </c>
      <c r="N24" s="1">
        <f>IF(OR(关卡总览!$D$11&lt;=0,NOT(ISNUMBER(K24))),0,IF(K24=1,B24+L24,0))</f>
        <v>4</v>
      </c>
      <c r="O24" s="1">
        <f>IF(OR(关卡总览!$D$11&lt;=0,NOT(ISNUMBER(K24))),0,IF(K24=0,B24+M24,0))</f>
        <v>0</v>
      </c>
      <c r="P24" s="1">
        <f>MAX(0,关卡总览!$D$11-N24)</f>
        <v>30</v>
      </c>
      <c r="Q24" s="1">
        <f>0+O24</f>
        <v>0</v>
      </c>
      <c r="R24" s="1">
        <f>MIN(关卡总览!$E$11+(B24-1)*关卡总览!$F$11,关卡总览!$G$11)</f>
        <v>3</v>
      </c>
      <c r="S24" s="1" t="str">
        <f>IF(关卡总览!$D$11&lt;=0,"已结束",IF(NOT(ISNUMBER(K24)),"待填写胜负",IF(M24&gt;J24,"敌幸存值超上限",IF(AND(I24=0,K24=0),"空波不可判败","原始波1"))))</f>
        <v>原始波1</v>
      </c>
    </row>
    <row r="25" spans="1:19" ht="26" customHeight="1">
      <c r="A25" s="1" t="s">
        <v>26</v>
      </c>
      <c r="B25" s="1">
        <v>2</v>
      </c>
      <c r="C25" s="6">
        <v>1</v>
      </c>
      <c r="D25" s="6">
        <v>0</v>
      </c>
      <c r="E25" s="6">
        <v>1</v>
      </c>
      <c r="F25" s="6">
        <v>0</v>
      </c>
      <c r="G25" s="6">
        <v>0</v>
      </c>
      <c r="H25" s="1">
        <f>C25*敌兵与开局!$C$9+D25*敌兵与开局!$C$10+E25*敌兵与开局!$C$11+F25*敌兵与开局!$C$12+G25*敌兵与开局!$C$13</f>
        <v>170</v>
      </c>
      <c r="I25" s="1">
        <f t="shared" si="6"/>
        <v>2</v>
      </c>
      <c r="J25" s="1">
        <f>C25*敌兵与开局!$F$9+D25*敌兵与开局!$F$10+E25*敌兵与开局!$F$11+F25*敌兵与开局!$F$12+G25*敌兵与开局!$F$13</f>
        <v>2</v>
      </c>
      <c r="K25" s="6">
        <v>1</v>
      </c>
      <c r="L25" s="6">
        <v>2</v>
      </c>
      <c r="M25" s="6">
        <v>0</v>
      </c>
      <c r="N25" s="1">
        <f t="shared" ref="N25:N30" si="7">IF(OR(P24&lt;=0,NOT(ISNUMBER(K25))),0,IF(K25=1,B25+L25,0))</f>
        <v>4</v>
      </c>
      <c r="O25" s="1">
        <f t="shared" ref="O25:O30" si="8">IF(OR(P24&lt;=0,NOT(ISNUMBER(K25))),0,IF(K25=0,B25+M25,0))</f>
        <v>0</v>
      </c>
      <c r="P25" s="1">
        <f t="shared" ref="P25:P30" si="9">MAX(0,P24-N25)</f>
        <v>26</v>
      </c>
      <c r="Q25" s="1">
        <f t="shared" ref="Q25:Q30" si="10">Q24+O25</f>
        <v>0</v>
      </c>
      <c r="R25" s="1">
        <f>MIN(关卡总览!$E$11+(B25-1)*关卡总览!$F$11,关卡总览!$G$11)</f>
        <v>4</v>
      </c>
      <c r="S25" s="1" t="str">
        <f>IF(P24&lt;=0,"已结束",IF(NOT(ISNUMBER(K25)),"待填写胜负",IF(M25&gt;J25,"敌幸存值超上限",IF(AND(I25=0,K25=0),"空波不可判败","原始波2"))))</f>
        <v>原始波2</v>
      </c>
    </row>
    <row r="26" spans="1:19" ht="26" customHeight="1">
      <c r="A26" s="1" t="s">
        <v>26</v>
      </c>
      <c r="B26" s="1">
        <v>3</v>
      </c>
      <c r="C26" s="6">
        <v>1</v>
      </c>
      <c r="D26" s="6">
        <v>2</v>
      </c>
      <c r="E26" s="6">
        <v>0</v>
      </c>
      <c r="F26" s="6">
        <v>0</v>
      </c>
      <c r="G26" s="6">
        <v>0</v>
      </c>
      <c r="H26" s="1">
        <f>C26*敌兵与开局!$C$9+D26*敌兵与开局!$C$10+E26*敌兵与开局!$C$11+F26*敌兵与开局!$C$12+G26*敌兵与开局!$C$13</f>
        <v>180</v>
      </c>
      <c r="I26" s="1">
        <f t="shared" si="6"/>
        <v>3</v>
      </c>
      <c r="J26" s="1">
        <f>C26*敌兵与开局!$F$9+D26*敌兵与开局!$F$10+E26*敌兵与开局!$F$11+F26*敌兵与开局!$F$12+G26*敌兵与开局!$F$13</f>
        <v>5</v>
      </c>
      <c r="K26" s="6">
        <v>0</v>
      </c>
      <c r="L26" s="6">
        <v>0</v>
      </c>
      <c r="M26" s="6">
        <v>2</v>
      </c>
      <c r="N26" s="1">
        <f t="shared" si="7"/>
        <v>0</v>
      </c>
      <c r="O26" s="1">
        <f t="shared" si="8"/>
        <v>5</v>
      </c>
      <c r="P26" s="1">
        <f t="shared" si="9"/>
        <v>26</v>
      </c>
      <c r="Q26" s="1">
        <f t="shared" si="10"/>
        <v>5</v>
      </c>
      <c r="R26" s="1">
        <f>MIN(关卡总览!$E$11+(B26-1)*关卡总览!$F$11,关卡总览!$G$11)</f>
        <v>5</v>
      </c>
      <c r="S26" s="1" t="str">
        <f>IF(P25&lt;=0,"已结束",IF(NOT(ISNUMBER(K26)),"待填写胜负",IF(M26&gt;J26,"敌幸存值超上限",IF(AND(I26=0,K26=0),"空波不可判败","原始波3"))))</f>
        <v>原始波3</v>
      </c>
    </row>
    <row r="27" spans="1:19" ht="26" customHeight="1">
      <c r="A27" s="1" t="s">
        <v>26</v>
      </c>
      <c r="B27" s="1">
        <v>4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1">
        <f>C27*敌兵与开局!$C$9+D27*敌兵与开局!$C$10+E27*敌兵与开局!$C$11+F27*敌兵与开局!$C$12+G27*敌兵与开局!$C$13</f>
        <v>0</v>
      </c>
      <c r="I27" s="1">
        <f t="shared" si="6"/>
        <v>0</v>
      </c>
      <c r="J27" s="1">
        <f>C27*敌兵与开局!$F$9+D27*敌兵与开局!$F$10+E27*敌兵与开局!$F$11+F27*敌兵与开局!$F$12+G27*敌兵与开局!$F$13</f>
        <v>0</v>
      </c>
      <c r="K27" s="6">
        <v>1</v>
      </c>
      <c r="L27" s="6">
        <v>3</v>
      </c>
      <c r="M27" s="6">
        <v>0</v>
      </c>
      <c r="N27" s="1">
        <f t="shared" si="7"/>
        <v>7</v>
      </c>
      <c r="O27" s="1">
        <f t="shared" si="8"/>
        <v>0</v>
      </c>
      <c r="P27" s="1">
        <f t="shared" si="9"/>
        <v>19</v>
      </c>
      <c r="Q27" s="1">
        <f t="shared" si="10"/>
        <v>5</v>
      </c>
      <c r="R27" s="1">
        <f>MIN(关卡总览!$E$11+(B27-1)*关卡总览!$F$11,关卡总览!$G$11)</f>
        <v>6</v>
      </c>
      <c r="S27" s="1" t="str">
        <f>IF(P26&lt;=0,"已结束",IF(NOT(ISNUMBER(K27)),"待填写胜负",IF(M27&gt;J27,"敌幸存值超上限",IF(AND(I27=0,K27=0),"空波不可判败","空波"))))</f>
        <v>空波</v>
      </c>
    </row>
    <row r="28" spans="1:19" ht="26" customHeight="1">
      <c r="A28" s="1" t="s">
        <v>26</v>
      </c>
      <c r="B28" s="1">
        <v>5</v>
      </c>
      <c r="C28" s="6">
        <v>1</v>
      </c>
      <c r="D28" s="6">
        <v>1</v>
      </c>
      <c r="E28" s="6">
        <v>1</v>
      </c>
      <c r="F28" s="6">
        <v>0</v>
      </c>
      <c r="G28" s="6">
        <v>0</v>
      </c>
      <c r="H28" s="1">
        <f>C28*敌兵与开局!$C$9+D28*敌兵与开局!$C$10+E28*敌兵与开局!$C$11+F28*敌兵与开局!$C$12+G28*敌兵与开局!$C$13</f>
        <v>225</v>
      </c>
      <c r="I28" s="1">
        <f t="shared" si="6"/>
        <v>3</v>
      </c>
      <c r="J28" s="1">
        <f>C28*敌兵与开局!$F$9+D28*敌兵与开局!$F$10+E28*敌兵与开局!$F$11+F28*敌兵与开局!$F$12+G28*敌兵与开局!$F$13</f>
        <v>4</v>
      </c>
      <c r="K28" s="6">
        <v>0</v>
      </c>
      <c r="L28" s="6">
        <v>0</v>
      </c>
      <c r="M28" s="6">
        <v>2</v>
      </c>
      <c r="N28" s="1">
        <f t="shared" si="7"/>
        <v>0</v>
      </c>
      <c r="O28" s="1">
        <f t="shared" si="8"/>
        <v>7</v>
      </c>
      <c r="P28" s="1">
        <f t="shared" si="9"/>
        <v>19</v>
      </c>
      <c r="Q28" s="1">
        <f t="shared" si="10"/>
        <v>12</v>
      </c>
      <c r="R28" s="1">
        <f>MIN(关卡总览!$E$11+(B28-1)*关卡总览!$F$11,关卡总览!$G$11)</f>
        <v>7</v>
      </c>
      <c r="S28" s="1" t="str">
        <f>IF(P27&lt;=0,"已结束",IF(NOT(ISNUMBER(K28)),"待填写胜负",IF(M28&gt;J28,"敌幸存值超上限",IF(AND(I28=0,K28=0),"空波不可判败","原始波5"))))</f>
        <v>原始波5</v>
      </c>
    </row>
    <row r="29" spans="1:19" ht="26" customHeight="1">
      <c r="A29" s="1" t="s">
        <v>26</v>
      </c>
      <c r="B29" s="1">
        <v>6</v>
      </c>
      <c r="C29" s="6">
        <v>1</v>
      </c>
      <c r="D29" s="6">
        <v>1</v>
      </c>
      <c r="E29" s="6">
        <v>0</v>
      </c>
      <c r="F29" s="6">
        <v>0</v>
      </c>
      <c r="G29" s="6">
        <v>0</v>
      </c>
      <c r="H29" s="1">
        <f>C29*敌兵与开局!$C$9+D29*敌兵与开局!$C$10+E29*敌兵与开局!$C$11+F29*敌兵与开局!$C$12+G29*敌兵与开局!$C$13</f>
        <v>125</v>
      </c>
      <c r="I29" s="1">
        <f t="shared" si="6"/>
        <v>2</v>
      </c>
      <c r="J29" s="1">
        <f>C29*敌兵与开局!$F$9+D29*敌兵与开局!$F$10+E29*敌兵与开局!$F$11+F29*敌兵与开局!$F$12+G29*敌兵与开局!$F$13</f>
        <v>3</v>
      </c>
      <c r="K29" s="6">
        <v>1</v>
      </c>
      <c r="L29" s="6">
        <v>3</v>
      </c>
      <c r="M29" s="6">
        <v>0</v>
      </c>
      <c r="N29" s="1">
        <f t="shared" si="7"/>
        <v>9</v>
      </c>
      <c r="O29" s="1">
        <f t="shared" si="8"/>
        <v>0</v>
      </c>
      <c r="P29" s="1">
        <f t="shared" si="9"/>
        <v>10</v>
      </c>
      <c r="Q29" s="1">
        <f t="shared" si="10"/>
        <v>12</v>
      </c>
      <c r="R29" s="1">
        <f>MIN(关卡总览!$E$11+(B29-1)*关卡总览!$F$11,关卡总览!$G$11)</f>
        <v>8</v>
      </c>
      <c r="S29" s="1" t="str">
        <f>IF(P28&lt;=0,"已结束",IF(NOT(ISNUMBER(K29)),"待填写胜负",IF(M29&gt;J29,"敌幸存值超上限",IF(AND(I29=0,K29=0),"空波不可判败","原始波6"))))</f>
        <v>原始波6</v>
      </c>
    </row>
    <row r="30" spans="1:19" ht="26" customHeight="1">
      <c r="A30" s="1" t="s">
        <v>26</v>
      </c>
      <c r="B30" s="1">
        <v>7</v>
      </c>
      <c r="C30" s="6">
        <v>1</v>
      </c>
      <c r="D30" s="6">
        <v>0</v>
      </c>
      <c r="E30" s="6">
        <v>0</v>
      </c>
      <c r="F30" s="6">
        <v>0</v>
      </c>
      <c r="G30" s="6">
        <v>0</v>
      </c>
      <c r="H30" s="1">
        <f>C30*敌兵与开局!$C$9+D30*敌兵与开局!$C$10+E30*敌兵与开局!$C$11+F30*敌兵与开局!$C$12+G30*敌兵与开局!$C$13</f>
        <v>70</v>
      </c>
      <c r="I30" s="1">
        <f t="shared" si="6"/>
        <v>1</v>
      </c>
      <c r="J30" s="1">
        <f>C30*敌兵与开局!$F$9+D30*敌兵与开局!$F$10+E30*敌兵与开局!$F$11+F30*敌兵与开局!$F$12+G30*敌兵与开局!$F$13</f>
        <v>1</v>
      </c>
      <c r="K30" s="6">
        <v>1</v>
      </c>
      <c r="L30" s="6">
        <v>3</v>
      </c>
      <c r="M30" s="6">
        <v>0</v>
      </c>
      <c r="N30" s="1">
        <f t="shared" si="7"/>
        <v>10</v>
      </c>
      <c r="O30" s="1">
        <f t="shared" si="8"/>
        <v>0</v>
      </c>
      <c r="P30" s="1">
        <f t="shared" si="9"/>
        <v>0</v>
      </c>
      <c r="Q30" s="1">
        <f t="shared" si="10"/>
        <v>12</v>
      </c>
      <c r="R30" s="1">
        <f>MIN(关卡总览!$E$11+(B30-1)*关卡总览!$F$11,关卡总览!$G$11)</f>
        <v>9</v>
      </c>
      <c r="S30" s="1" t="str">
        <f>IF(P29&lt;=0,"已结束",IF(NOT(ISNUMBER(K30)),"待填写胜负",IF(M30&gt;J30,"敌幸存值超上限",IF(AND(I30=0,K30=0),"空波不可判败","原始波7"))))</f>
        <v>原始波7</v>
      </c>
    </row>
    <row r="31" spans="1:19" ht="26" customHeight="1">
      <c r="A31" s="16" t="s">
        <v>134</v>
      </c>
      <c r="B31" s="16" t="s">
        <v>134</v>
      </c>
      <c r="C31" s="16" t="s">
        <v>134</v>
      </c>
      <c r="D31" s="16" t="s">
        <v>134</v>
      </c>
      <c r="E31" s="16" t="s">
        <v>134</v>
      </c>
      <c r="F31" s="16" t="s">
        <v>134</v>
      </c>
      <c r="G31" s="16" t="s">
        <v>134</v>
      </c>
      <c r="H31" s="16" t="s">
        <v>134</v>
      </c>
      <c r="I31" s="16" t="s">
        <v>134</v>
      </c>
      <c r="J31" s="16" t="s">
        <v>134</v>
      </c>
      <c r="K31" s="16" t="s">
        <v>134</v>
      </c>
      <c r="L31" s="16" t="s">
        <v>134</v>
      </c>
      <c r="M31" s="16" t="s">
        <v>134</v>
      </c>
      <c r="N31" s="16" t="s">
        <v>134</v>
      </c>
      <c r="O31" s="16" t="s">
        <v>134</v>
      </c>
      <c r="P31" s="16" t="s">
        <v>134</v>
      </c>
      <c r="Q31" s="16" t="s">
        <v>134</v>
      </c>
      <c r="R31" s="16" t="s">
        <v>134</v>
      </c>
      <c r="S31" s="16" t="s">
        <v>134</v>
      </c>
    </row>
    <row r="32" spans="1:19" ht="26" customHeight="1">
      <c r="A32" s="1" t="s">
        <v>31</v>
      </c>
      <c r="B32" s="1">
        <v>1</v>
      </c>
      <c r="C32" s="6">
        <v>1</v>
      </c>
      <c r="D32" s="6">
        <v>0</v>
      </c>
      <c r="E32" s="6">
        <v>1</v>
      </c>
      <c r="F32" s="6">
        <v>0</v>
      </c>
      <c r="G32" s="6">
        <v>0</v>
      </c>
      <c r="H32" s="1">
        <f>C32*敌兵与开局!$C$9+D32*敌兵与开局!$C$10+E32*敌兵与开局!$C$11+F32*敌兵与开局!$C$12+G32*敌兵与开局!$C$13</f>
        <v>170</v>
      </c>
      <c r="I32" s="1">
        <f t="shared" ref="I32:I39" si="11">SUM(C32:G32)</f>
        <v>2</v>
      </c>
      <c r="J32" s="1">
        <f>C32*敌兵与开局!$F$9+D32*敌兵与开局!$F$10+E32*敌兵与开局!$F$11+F32*敌兵与开局!$F$12+G32*敌兵与开局!$F$13</f>
        <v>2</v>
      </c>
      <c r="K32" s="6">
        <v>1</v>
      </c>
      <c r="L32" s="6">
        <v>3</v>
      </c>
      <c r="M32" s="6">
        <v>0</v>
      </c>
      <c r="N32" s="1">
        <f>IF(OR(关卡总览!$D$12&lt;=0,NOT(ISNUMBER(K32))),0,IF(K32=1,B32+L32,0))</f>
        <v>4</v>
      </c>
      <c r="O32" s="1">
        <f>IF(OR(关卡总览!$D$12&lt;=0,NOT(ISNUMBER(K32))),0,IF(K32=0,B32+M32,0))</f>
        <v>0</v>
      </c>
      <c r="P32" s="1">
        <f>MAX(0,关卡总览!$D$12-N32)</f>
        <v>34</v>
      </c>
      <c r="Q32" s="1">
        <f>0+O32</f>
        <v>0</v>
      </c>
      <c r="R32" s="1">
        <f>MIN(关卡总览!$E$12+(B32-1)*关卡总览!$F$12,关卡总览!$G$12)</f>
        <v>3</v>
      </c>
      <c r="S32" s="1" t="str">
        <f>IF(关卡总览!$D$12&lt;=0,"已结束",IF(NOT(ISNUMBER(K32)),"待填写胜负",IF(M32&gt;J32,"敌幸存值超上限",IF(AND(I32=0,K32=0),"空波不可判败","原始波1"))))</f>
        <v>原始波1</v>
      </c>
    </row>
    <row r="33" spans="1:19" ht="26" customHeight="1">
      <c r="A33" s="1" t="s">
        <v>31</v>
      </c>
      <c r="B33" s="1">
        <v>2</v>
      </c>
      <c r="C33" s="6">
        <v>0</v>
      </c>
      <c r="D33" s="6">
        <v>1</v>
      </c>
      <c r="E33" s="6">
        <v>1</v>
      </c>
      <c r="F33" s="6">
        <v>0</v>
      </c>
      <c r="G33" s="6">
        <v>0</v>
      </c>
      <c r="H33" s="1">
        <f>C33*敌兵与开局!$C$9+D33*敌兵与开局!$C$10+E33*敌兵与开局!$C$11+F33*敌兵与开局!$C$12+G33*敌兵与开局!$C$13</f>
        <v>155</v>
      </c>
      <c r="I33" s="1">
        <f t="shared" si="11"/>
        <v>2</v>
      </c>
      <c r="J33" s="1">
        <f>C33*敌兵与开局!$F$9+D33*敌兵与开局!$F$10+E33*敌兵与开局!$F$11+F33*敌兵与开局!$F$12+G33*敌兵与开局!$F$13</f>
        <v>3</v>
      </c>
      <c r="K33" s="6">
        <v>1</v>
      </c>
      <c r="L33" s="6">
        <v>3</v>
      </c>
      <c r="M33" s="6">
        <v>0</v>
      </c>
      <c r="N33" s="1">
        <f t="shared" ref="N33:N39" si="12">IF(OR(P32&lt;=0,NOT(ISNUMBER(K33))),0,IF(K33=1,B33+L33,0))</f>
        <v>5</v>
      </c>
      <c r="O33" s="1">
        <f t="shared" ref="O33:O39" si="13">IF(OR(P32&lt;=0,NOT(ISNUMBER(K33))),0,IF(K33=0,B33+M33,0))</f>
        <v>0</v>
      </c>
      <c r="P33" s="1">
        <f t="shared" ref="P33:P39" si="14">MAX(0,P32-N33)</f>
        <v>29</v>
      </c>
      <c r="Q33" s="1">
        <f t="shared" ref="Q33:Q39" si="15">Q32+O33</f>
        <v>0</v>
      </c>
      <c r="R33" s="1">
        <f>MIN(关卡总览!$E$12+(B33-1)*关卡总览!$F$12,关卡总览!$G$12)</f>
        <v>4</v>
      </c>
      <c r="S33" s="1" t="str">
        <f>IF(P32&lt;=0,"已结束",IF(NOT(ISNUMBER(K33)),"待填写胜负",IF(M33&gt;J33,"敌幸存值超上限",IF(AND(I33=0,K33=0),"空波不可判败","原始波2"))))</f>
        <v>原始波2</v>
      </c>
    </row>
    <row r="34" spans="1:19" ht="26" customHeight="1">
      <c r="A34" s="1" t="s">
        <v>31</v>
      </c>
      <c r="B34" s="1">
        <v>3</v>
      </c>
      <c r="C34" s="6">
        <v>2</v>
      </c>
      <c r="D34" s="6">
        <v>2</v>
      </c>
      <c r="E34" s="6">
        <v>0</v>
      </c>
      <c r="F34" s="6">
        <v>0</v>
      </c>
      <c r="G34" s="6">
        <v>0</v>
      </c>
      <c r="H34" s="1">
        <f>C34*敌兵与开局!$C$9+D34*敌兵与开局!$C$10+E34*敌兵与开局!$C$11+F34*敌兵与开局!$C$12+G34*敌兵与开局!$C$13</f>
        <v>250</v>
      </c>
      <c r="I34" s="1">
        <f t="shared" si="11"/>
        <v>4</v>
      </c>
      <c r="J34" s="1">
        <f>C34*敌兵与开局!$F$9+D34*敌兵与开局!$F$10+E34*敌兵与开局!$F$11+F34*敌兵与开局!$F$12+G34*敌兵与开局!$F$13</f>
        <v>6</v>
      </c>
      <c r="K34" s="6">
        <v>0</v>
      </c>
      <c r="L34" s="6">
        <v>0</v>
      </c>
      <c r="M34" s="6">
        <v>2</v>
      </c>
      <c r="N34" s="1">
        <f t="shared" si="12"/>
        <v>0</v>
      </c>
      <c r="O34" s="1">
        <f t="shared" si="13"/>
        <v>5</v>
      </c>
      <c r="P34" s="1">
        <f t="shared" si="14"/>
        <v>29</v>
      </c>
      <c r="Q34" s="1">
        <f t="shared" si="15"/>
        <v>5</v>
      </c>
      <c r="R34" s="1">
        <f>MIN(关卡总览!$E$12+(B34-1)*关卡总览!$F$12,关卡总览!$G$12)</f>
        <v>5</v>
      </c>
      <c r="S34" s="1" t="str">
        <f>IF(P33&lt;=0,"已结束",IF(NOT(ISNUMBER(K34)),"待填写胜负",IF(M34&gt;J34,"敌幸存值超上限",IF(AND(I34=0,K34=0),"空波不可判败","原始波3"))))</f>
        <v>原始波3</v>
      </c>
    </row>
    <row r="35" spans="1:19" ht="26" customHeight="1">
      <c r="A35" s="1" t="s">
        <v>31</v>
      </c>
      <c r="B35" s="1">
        <v>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1">
        <f>C35*敌兵与开局!$C$9+D35*敌兵与开局!$C$10+E35*敌兵与开局!$C$11+F35*敌兵与开局!$C$12+G35*敌兵与开局!$C$13</f>
        <v>0</v>
      </c>
      <c r="I35" s="1">
        <f t="shared" si="11"/>
        <v>0</v>
      </c>
      <c r="J35" s="1">
        <f>C35*敌兵与开局!$F$9+D35*敌兵与开局!$F$10+E35*敌兵与开局!$F$11+F35*敌兵与开局!$F$12+G35*敌兵与开局!$F$13</f>
        <v>0</v>
      </c>
      <c r="K35" s="6">
        <v>1</v>
      </c>
      <c r="L35" s="6">
        <v>3</v>
      </c>
      <c r="M35" s="6">
        <v>0</v>
      </c>
      <c r="N35" s="1">
        <f t="shared" si="12"/>
        <v>7</v>
      </c>
      <c r="O35" s="1">
        <f t="shared" si="13"/>
        <v>0</v>
      </c>
      <c r="P35" s="1">
        <f t="shared" si="14"/>
        <v>22</v>
      </c>
      <c r="Q35" s="1">
        <f t="shared" si="15"/>
        <v>5</v>
      </c>
      <c r="R35" s="1">
        <f>MIN(关卡总览!$E$12+(B35-1)*关卡总览!$F$12,关卡总览!$G$12)</f>
        <v>6</v>
      </c>
      <c r="S35" s="1" t="str">
        <f>IF(P34&lt;=0,"已结束",IF(NOT(ISNUMBER(K35)),"待填写胜负",IF(M35&gt;J35,"敌幸存值超上限",IF(AND(I35=0,K35=0),"空波不可判败","空波"))))</f>
        <v>空波</v>
      </c>
    </row>
    <row r="36" spans="1:19" ht="26" customHeight="1">
      <c r="A36" s="1" t="s">
        <v>31</v>
      </c>
      <c r="B36" s="1">
        <v>5</v>
      </c>
      <c r="C36" s="6">
        <v>1</v>
      </c>
      <c r="D36" s="6">
        <v>1</v>
      </c>
      <c r="E36" s="6">
        <v>1</v>
      </c>
      <c r="F36" s="6">
        <v>0</v>
      </c>
      <c r="G36" s="6">
        <v>0</v>
      </c>
      <c r="H36" s="1">
        <f>C36*敌兵与开局!$C$9+D36*敌兵与开局!$C$10+E36*敌兵与开局!$C$11+F36*敌兵与开局!$C$12+G36*敌兵与开局!$C$13</f>
        <v>225</v>
      </c>
      <c r="I36" s="1">
        <f t="shared" si="11"/>
        <v>3</v>
      </c>
      <c r="J36" s="1">
        <f>C36*敌兵与开局!$F$9+D36*敌兵与开局!$F$10+E36*敌兵与开局!$F$11+F36*敌兵与开局!$F$12+G36*敌兵与开局!$F$13</f>
        <v>4</v>
      </c>
      <c r="K36" s="6">
        <v>0</v>
      </c>
      <c r="L36" s="6">
        <v>0</v>
      </c>
      <c r="M36" s="6">
        <v>2</v>
      </c>
      <c r="N36" s="1">
        <f t="shared" si="12"/>
        <v>0</v>
      </c>
      <c r="O36" s="1">
        <f t="shared" si="13"/>
        <v>7</v>
      </c>
      <c r="P36" s="1">
        <f t="shared" si="14"/>
        <v>22</v>
      </c>
      <c r="Q36" s="1">
        <f t="shared" si="15"/>
        <v>12</v>
      </c>
      <c r="R36" s="1">
        <f>MIN(关卡总览!$E$12+(B36-1)*关卡总览!$F$12,关卡总览!$G$12)</f>
        <v>7</v>
      </c>
      <c r="S36" s="1" t="str">
        <f>IF(P35&lt;=0,"已结束",IF(NOT(ISNUMBER(K36)),"待填写胜负",IF(M36&gt;J36,"敌幸存值超上限",IF(AND(I36=0,K36=0),"空波不可判败","原始波5"))))</f>
        <v>原始波5</v>
      </c>
    </row>
    <row r="37" spans="1:19" ht="26" customHeight="1">
      <c r="A37" s="1" t="s">
        <v>31</v>
      </c>
      <c r="B37" s="1">
        <v>6</v>
      </c>
      <c r="C37" s="6">
        <v>1</v>
      </c>
      <c r="D37" s="6">
        <v>1</v>
      </c>
      <c r="E37" s="6">
        <v>0</v>
      </c>
      <c r="F37" s="6">
        <v>0</v>
      </c>
      <c r="G37" s="6">
        <v>0</v>
      </c>
      <c r="H37" s="1">
        <f>C37*敌兵与开局!$C$9+D37*敌兵与开局!$C$10+E37*敌兵与开局!$C$11+F37*敌兵与开局!$C$12+G37*敌兵与开局!$C$13</f>
        <v>125</v>
      </c>
      <c r="I37" s="1">
        <f t="shared" si="11"/>
        <v>2</v>
      </c>
      <c r="J37" s="1">
        <f>C37*敌兵与开局!$F$9+D37*敌兵与开局!$F$10+E37*敌兵与开局!$F$11+F37*敌兵与开局!$F$12+G37*敌兵与开局!$F$13</f>
        <v>3</v>
      </c>
      <c r="K37" s="6">
        <v>1</v>
      </c>
      <c r="L37" s="6">
        <v>3</v>
      </c>
      <c r="M37" s="6">
        <v>0</v>
      </c>
      <c r="N37" s="1">
        <f t="shared" si="12"/>
        <v>9</v>
      </c>
      <c r="O37" s="1">
        <f t="shared" si="13"/>
        <v>0</v>
      </c>
      <c r="P37" s="1">
        <f t="shared" si="14"/>
        <v>13</v>
      </c>
      <c r="Q37" s="1">
        <f t="shared" si="15"/>
        <v>12</v>
      </c>
      <c r="R37" s="1">
        <f>MIN(关卡总览!$E$12+(B37-1)*关卡总览!$F$12,关卡总览!$G$12)</f>
        <v>8</v>
      </c>
      <c r="S37" s="1" t="str">
        <f>IF(P36&lt;=0,"已结束",IF(NOT(ISNUMBER(K37)),"待填写胜负",IF(M37&gt;J37,"敌幸存值超上限",IF(AND(I37=0,K37=0),"空波不可判败","原始波6"))))</f>
        <v>原始波6</v>
      </c>
    </row>
    <row r="38" spans="1:19" ht="26" customHeight="1">
      <c r="A38" s="1" t="s">
        <v>31</v>
      </c>
      <c r="B38" s="1">
        <v>7</v>
      </c>
      <c r="C38" s="6">
        <v>1</v>
      </c>
      <c r="D38" s="6">
        <v>0</v>
      </c>
      <c r="E38" s="6">
        <v>0</v>
      </c>
      <c r="F38" s="6">
        <v>0</v>
      </c>
      <c r="G38" s="6">
        <v>0</v>
      </c>
      <c r="H38" s="1">
        <f>C38*敌兵与开局!$C$9+D38*敌兵与开局!$C$10+E38*敌兵与开局!$C$11+F38*敌兵与开局!$C$12+G38*敌兵与开局!$C$13</f>
        <v>70</v>
      </c>
      <c r="I38" s="1">
        <f t="shared" si="11"/>
        <v>1</v>
      </c>
      <c r="J38" s="1">
        <f>C38*敌兵与开局!$F$9+D38*敌兵与开局!$F$10+E38*敌兵与开局!$F$11+F38*敌兵与开局!$F$12+G38*敌兵与开局!$F$13</f>
        <v>1</v>
      </c>
      <c r="K38" s="6">
        <v>1</v>
      </c>
      <c r="L38" s="6">
        <v>3</v>
      </c>
      <c r="M38" s="6">
        <v>0</v>
      </c>
      <c r="N38" s="1">
        <f t="shared" si="12"/>
        <v>10</v>
      </c>
      <c r="O38" s="1">
        <f t="shared" si="13"/>
        <v>0</v>
      </c>
      <c r="P38" s="1">
        <f t="shared" si="14"/>
        <v>3</v>
      </c>
      <c r="Q38" s="1">
        <f t="shared" si="15"/>
        <v>12</v>
      </c>
      <c r="R38" s="1">
        <f>MIN(关卡总览!$E$12+(B38-1)*关卡总览!$F$12,关卡总览!$G$12)</f>
        <v>9</v>
      </c>
      <c r="S38" s="1" t="str">
        <f>IF(P37&lt;=0,"已结束",IF(NOT(ISNUMBER(K38)),"待填写胜负",IF(M38&gt;J38,"敌幸存值超上限",IF(AND(I38=0,K38=0),"空波不可判败","原始波7"))))</f>
        <v>原始波7</v>
      </c>
    </row>
    <row r="39" spans="1:19" ht="26" customHeight="1">
      <c r="A39" s="1" t="s">
        <v>31</v>
      </c>
      <c r="B39" s="1">
        <v>8</v>
      </c>
      <c r="C39" s="1">
        <f>C38</f>
        <v>1</v>
      </c>
      <c r="D39" s="1">
        <f>D38</f>
        <v>0</v>
      </c>
      <c r="E39" s="1">
        <f>E38</f>
        <v>0</v>
      </c>
      <c r="F39" s="1">
        <f>F38</f>
        <v>0</v>
      </c>
      <c r="G39" s="1">
        <f>G38</f>
        <v>0</v>
      </c>
      <c r="H39" s="1">
        <f>C39*敌兵与开局!$C$9+D39*敌兵与开局!$C$10+E39*敌兵与开局!$C$11+F39*敌兵与开局!$C$12+G39*敌兵与开局!$C$13</f>
        <v>70</v>
      </c>
      <c r="I39" s="1">
        <f t="shared" si="11"/>
        <v>1</v>
      </c>
      <c r="J39" s="1">
        <f>C39*敌兵与开局!$F$9+D39*敌兵与开局!$F$10+E39*敌兵与开局!$F$11+F39*敌兵与开局!$F$12+G39*敌兵与开局!$F$13</f>
        <v>1</v>
      </c>
      <c r="K39" s="6">
        <v>1</v>
      </c>
      <c r="L39" s="6">
        <v>2</v>
      </c>
      <c r="M39" s="6">
        <v>0</v>
      </c>
      <c r="N39" s="1">
        <f t="shared" si="12"/>
        <v>10</v>
      </c>
      <c r="O39" s="1">
        <f t="shared" si="13"/>
        <v>0</v>
      </c>
      <c r="P39" s="1">
        <f t="shared" si="14"/>
        <v>0</v>
      </c>
      <c r="Q39" s="1">
        <f t="shared" si="15"/>
        <v>12</v>
      </c>
      <c r="R39" s="1">
        <f>MIN(关卡总览!$E$12+(B39-1)*关卡总览!$F$12,关卡总览!$G$12)</f>
        <v>10</v>
      </c>
      <c r="S39" s="1" t="str">
        <f>IF(P38&lt;=0,"已结束",IF(NOT(ISNUMBER(K39)),"待填写胜负",IF(M39&gt;J39,"敌幸存值超上限",IF(AND(I39=0,K39=0),"空波不可判败","复用波7"))))</f>
        <v>复用波7</v>
      </c>
    </row>
    <row r="40" spans="1:19" ht="26" customHeight="1">
      <c r="A40" s="16" t="s">
        <v>134</v>
      </c>
      <c r="B40" s="16" t="s">
        <v>134</v>
      </c>
      <c r="C40" s="16" t="s">
        <v>134</v>
      </c>
      <c r="D40" s="16" t="s">
        <v>134</v>
      </c>
      <c r="E40" s="16" t="s">
        <v>134</v>
      </c>
      <c r="F40" s="16" t="s">
        <v>134</v>
      </c>
      <c r="G40" s="16" t="s">
        <v>134</v>
      </c>
      <c r="H40" s="16" t="s">
        <v>134</v>
      </c>
      <c r="I40" s="16" t="s">
        <v>134</v>
      </c>
      <c r="J40" s="16" t="s">
        <v>134</v>
      </c>
      <c r="K40" s="16" t="s">
        <v>134</v>
      </c>
      <c r="L40" s="16" t="s">
        <v>134</v>
      </c>
      <c r="M40" s="16" t="s">
        <v>134</v>
      </c>
      <c r="N40" s="16" t="s">
        <v>134</v>
      </c>
      <c r="O40" s="16" t="s">
        <v>134</v>
      </c>
      <c r="P40" s="16" t="s">
        <v>134</v>
      </c>
      <c r="Q40" s="16" t="s">
        <v>134</v>
      </c>
      <c r="R40" s="16" t="s">
        <v>134</v>
      </c>
      <c r="S40" s="16" t="s">
        <v>134</v>
      </c>
    </row>
    <row r="41" spans="1:19" ht="26" customHeight="1">
      <c r="A41" s="1" t="s">
        <v>35</v>
      </c>
      <c r="B41" s="1">
        <v>1</v>
      </c>
      <c r="C41" s="6">
        <v>1</v>
      </c>
      <c r="D41" s="6">
        <v>0</v>
      </c>
      <c r="E41" s="6">
        <v>1</v>
      </c>
      <c r="F41" s="6">
        <v>0</v>
      </c>
      <c r="G41" s="6">
        <v>0</v>
      </c>
      <c r="H41" s="1">
        <f>C41*敌兵与开局!$C$9+D41*敌兵与开局!$C$10+E41*敌兵与开局!$C$11+F41*敌兵与开局!$C$12+G41*敌兵与开局!$C$13</f>
        <v>170</v>
      </c>
      <c r="I41" s="1">
        <f t="shared" ref="I41:I49" si="16">SUM(C41:G41)</f>
        <v>2</v>
      </c>
      <c r="J41" s="1">
        <f>C41*敌兵与开局!$F$9+D41*敌兵与开局!$F$10+E41*敌兵与开局!$F$11+F41*敌兵与开局!$F$12+G41*敌兵与开局!$F$13</f>
        <v>2</v>
      </c>
      <c r="K41" s="6">
        <v>1</v>
      </c>
      <c r="L41" s="6">
        <v>3</v>
      </c>
      <c r="M41" s="6">
        <v>0</v>
      </c>
      <c r="N41" s="1">
        <f>IF(OR(关卡总览!$D$13&lt;=0,NOT(ISNUMBER(K41))),0,IF(K41=1,B41+L41,0))</f>
        <v>4</v>
      </c>
      <c r="O41" s="1">
        <f>IF(OR(关卡总览!$D$13&lt;=0,NOT(ISNUMBER(K41))),0,IF(K41=0,B41+M41,0))</f>
        <v>0</v>
      </c>
      <c r="P41" s="1">
        <f>MAX(0,关卡总览!$D$13-N41)</f>
        <v>38</v>
      </c>
      <c r="Q41" s="1">
        <f>0+O41</f>
        <v>0</v>
      </c>
      <c r="R41" s="1">
        <f>MIN(关卡总览!$E$13+(B41-1)*关卡总览!$F$13,关卡总览!$G$13)</f>
        <v>3</v>
      </c>
      <c r="S41" s="1" t="str">
        <f>IF(关卡总览!$D$13&lt;=0,"已结束",IF(NOT(ISNUMBER(K41)),"待填写胜负",IF(M41&gt;J41,"敌幸存值超上限",IF(AND(I41=0,K41=0),"空波不可判败","原始波1"))))</f>
        <v>原始波1</v>
      </c>
    </row>
    <row r="42" spans="1:19" ht="26" customHeight="1">
      <c r="A42" s="1" t="s">
        <v>35</v>
      </c>
      <c r="B42" s="1">
        <v>2</v>
      </c>
      <c r="C42" s="6">
        <v>0</v>
      </c>
      <c r="D42" s="6">
        <v>1</v>
      </c>
      <c r="E42" s="6">
        <v>0</v>
      </c>
      <c r="F42" s="6">
        <v>1</v>
      </c>
      <c r="G42" s="6">
        <v>0</v>
      </c>
      <c r="H42" s="1">
        <f>C42*敌兵与开局!$C$9+D42*敌兵与开局!$C$10+E42*敌兵与开局!$C$11+F42*敌兵与开局!$C$12+G42*敌兵与开局!$C$13</f>
        <v>200</v>
      </c>
      <c r="I42" s="1">
        <f t="shared" si="16"/>
        <v>2</v>
      </c>
      <c r="J42" s="1">
        <f>C42*敌兵与开局!$F$9+D42*敌兵与开局!$F$10+E42*敌兵与开局!$F$11+F42*敌兵与开局!$F$12+G42*敌兵与开局!$F$13</f>
        <v>4</v>
      </c>
      <c r="K42" s="6">
        <v>0</v>
      </c>
      <c r="L42" s="6">
        <v>0</v>
      </c>
      <c r="M42" s="6">
        <v>2</v>
      </c>
      <c r="N42" s="1">
        <f t="shared" ref="N42:N49" si="17">IF(OR(P41&lt;=0,NOT(ISNUMBER(K42))),0,IF(K42=1,B42+L42,0))</f>
        <v>0</v>
      </c>
      <c r="O42" s="1">
        <f t="shared" ref="O42:O49" si="18">IF(OR(P41&lt;=0,NOT(ISNUMBER(K42))),0,IF(K42=0,B42+M42,0))</f>
        <v>4</v>
      </c>
      <c r="P42" s="1">
        <f t="shared" ref="P42:P49" si="19">MAX(0,P41-N42)</f>
        <v>38</v>
      </c>
      <c r="Q42" s="1">
        <f t="shared" ref="Q42:Q49" si="20">Q41+O42</f>
        <v>4</v>
      </c>
      <c r="R42" s="1">
        <f>MIN(关卡总览!$E$13+(B42-1)*关卡总览!$F$13,关卡总览!$G$13)</f>
        <v>4</v>
      </c>
      <c r="S42" s="1" t="str">
        <f>IF(P41&lt;=0,"已结束",IF(NOT(ISNUMBER(K42)),"待填写胜负",IF(M42&gt;J42,"敌幸存值超上限",IF(AND(I42=0,K42=0),"空波不可判败","原始波2"))))</f>
        <v>原始波2</v>
      </c>
    </row>
    <row r="43" spans="1:19" ht="26" customHeight="1">
      <c r="A43" s="1" t="s">
        <v>35</v>
      </c>
      <c r="B43" s="1">
        <v>3</v>
      </c>
      <c r="C43" s="6">
        <v>1</v>
      </c>
      <c r="D43" s="6">
        <v>2</v>
      </c>
      <c r="E43" s="6">
        <v>1</v>
      </c>
      <c r="F43" s="6">
        <v>0</v>
      </c>
      <c r="G43" s="6">
        <v>0</v>
      </c>
      <c r="H43" s="1">
        <f>C43*敌兵与开局!$C$9+D43*敌兵与开局!$C$10+E43*敌兵与开局!$C$11+F43*敌兵与开局!$C$12+G43*敌兵与开局!$C$13</f>
        <v>280</v>
      </c>
      <c r="I43" s="1">
        <f t="shared" si="16"/>
        <v>4</v>
      </c>
      <c r="J43" s="1">
        <f>C43*敌兵与开局!$F$9+D43*敌兵与开局!$F$10+E43*敌兵与开局!$F$11+F43*敌兵与开局!$F$12+G43*敌兵与开局!$F$13</f>
        <v>6</v>
      </c>
      <c r="K43" s="6">
        <v>0</v>
      </c>
      <c r="L43" s="6">
        <v>0</v>
      </c>
      <c r="M43" s="6">
        <v>2</v>
      </c>
      <c r="N43" s="1">
        <f t="shared" si="17"/>
        <v>0</v>
      </c>
      <c r="O43" s="1">
        <f t="shared" si="18"/>
        <v>5</v>
      </c>
      <c r="P43" s="1">
        <f t="shared" si="19"/>
        <v>38</v>
      </c>
      <c r="Q43" s="1">
        <f t="shared" si="20"/>
        <v>9</v>
      </c>
      <c r="R43" s="1">
        <f>MIN(关卡总览!$E$13+(B43-1)*关卡总览!$F$13,关卡总览!$G$13)</f>
        <v>5</v>
      </c>
      <c r="S43" s="1" t="str">
        <f>IF(P42&lt;=0,"已结束",IF(NOT(ISNUMBER(K43)),"待填写胜负",IF(M43&gt;J43,"敌幸存值超上限",IF(AND(I43=0,K43=0),"空波不可判败","原始波3"))))</f>
        <v>原始波3</v>
      </c>
    </row>
    <row r="44" spans="1:19" ht="26" customHeight="1">
      <c r="A44" s="1" t="s">
        <v>35</v>
      </c>
      <c r="B44" s="1">
        <v>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1">
        <f>C44*敌兵与开局!$C$9+D44*敌兵与开局!$C$10+E44*敌兵与开局!$C$11+F44*敌兵与开局!$C$12+G44*敌兵与开局!$C$13</f>
        <v>0</v>
      </c>
      <c r="I44" s="1">
        <f t="shared" si="16"/>
        <v>0</v>
      </c>
      <c r="J44" s="1">
        <f>C44*敌兵与开局!$F$9+D44*敌兵与开局!$F$10+E44*敌兵与开局!$F$11+F44*敌兵与开局!$F$12+G44*敌兵与开局!$F$13</f>
        <v>0</v>
      </c>
      <c r="K44" s="6">
        <v>1</v>
      </c>
      <c r="L44" s="6">
        <v>3</v>
      </c>
      <c r="M44" s="6">
        <v>0</v>
      </c>
      <c r="N44" s="1">
        <f t="shared" si="17"/>
        <v>7</v>
      </c>
      <c r="O44" s="1">
        <f t="shared" si="18"/>
        <v>0</v>
      </c>
      <c r="P44" s="1">
        <f t="shared" si="19"/>
        <v>31</v>
      </c>
      <c r="Q44" s="1">
        <f t="shared" si="20"/>
        <v>9</v>
      </c>
      <c r="R44" s="1">
        <f>MIN(关卡总览!$E$13+(B44-1)*关卡总览!$F$13,关卡总览!$G$13)</f>
        <v>6</v>
      </c>
      <c r="S44" s="1" t="str">
        <f>IF(P43&lt;=0,"已结束",IF(NOT(ISNUMBER(K44)),"待填写胜负",IF(M44&gt;J44,"敌幸存值超上限",IF(AND(I44=0,K44=0),"空波不可判败","空波"))))</f>
        <v>空波</v>
      </c>
    </row>
    <row r="45" spans="1:19" ht="26" customHeight="1">
      <c r="A45" s="1" t="s">
        <v>35</v>
      </c>
      <c r="B45" s="1">
        <v>5</v>
      </c>
      <c r="C45" s="6">
        <v>1</v>
      </c>
      <c r="D45" s="6">
        <v>1</v>
      </c>
      <c r="E45" s="6">
        <v>0</v>
      </c>
      <c r="F45" s="6">
        <v>1</v>
      </c>
      <c r="G45" s="6">
        <v>0</v>
      </c>
      <c r="H45" s="1">
        <f>C45*敌兵与开局!$C$9+D45*敌兵与开局!$C$10+E45*敌兵与开局!$C$11+F45*敌兵与开局!$C$12+G45*敌兵与开局!$C$13</f>
        <v>270</v>
      </c>
      <c r="I45" s="1">
        <f t="shared" si="16"/>
        <v>3</v>
      </c>
      <c r="J45" s="1">
        <f>C45*敌兵与开局!$F$9+D45*敌兵与开局!$F$10+E45*敌兵与开局!$F$11+F45*敌兵与开局!$F$12+G45*敌兵与开局!$F$13</f>
        <v>5</v>
      </c>
      <c r="K45" s="6">
        <v>0</v>
      </c>
      <c r="L45" s="6">
        <v>0</v>
      </c>
      <c r="M45" s="6">
        <v>2</v>
      </c>
      <c r="N45" s="1">
        <f t="shared" si="17"/>
        <v>0</v>
      </c>
      <c r="O45" s="1">
        <f t="shared" si="18"/>
        <v>7</v>
      </c>
      <c r="P45" s="1">
        <f t="shared" si="19"/>
        <v>31</v>
      </c>
      <c r="Q45" s="1">
        <f t="shared" si="20"/>
        <v>16</v>
      </c>
      <c r="R45" s="1">
        <f>MIN(关卡总览!$E$13+(B45-1)*关卡总览!$F$13,关卡总览!$G$13)</f>
        <v>7</v>
      </c>
      <c r="S45" s="1" t="str">
        <f>IF(P44&lt;=0,"已结束",IF(NOT(ISNUMBER(K45)),"待填写胜负",IF(M45&gt;J45,"敌幸存值超上限",IF(AND(I45=0,K45=0),"空波不可判败","原始波5"))))</f>
        <v>原始波5</v>
      </c>
    </row>
    <row r="46" spans="1:19" ht="26" customHeight="1">
      <c r="A46" s="1" t="s">
        <v>35</v>
      </c>
      <c r="B46" s="1">
        <v>6</v>
      </c>
      <c r="C46" s="6">
        <v>0</v>
      </c>
      <c r="D46" s="6">
        <v>1</v>
      </c>
      <c r="E46" s="6">
        <v>1</v>
      </c>
      <c r="F46" s="6">
        <v>0</v>
      </c>
      <c r="G46" s="6">
        <v>0</v>
      </c>
      <c r="H46" s="1">
        <f>C46*敌兵与开局!$C$9+D46*敌兵与开局!$C$10+E46*敌兵与开局!$C$11+F46*敌兵与开局!$C$12+G46*敌兵与开局!$C$13</f>
        <v>155</v>
      </c>
      <c r="I46" s="1">
        <f t="shared" si="16"/>
        <v>2</v>
      </c>
      <c r="J46" s="1">
        <f>C46*敌兵与开局!$F$9+D46*敌兵与开局!$F$10+E46*敌兵与开局!$F$11+F46*敌兵与开局!$F$12+G46*敌兵与开局!$F$13</f>
        <v>3</v>
      </c>
      <c r="K46" s="6">
        <v>1</v>
      </c>
      <c r="L46" s="6">
        <v>3</v>
      </c>
      <c r="M46" s="6">
        <v>0</v>
      </c>
      <c r="N46" s="1">
        <f t="shared" si="17"/>
        <v>9</v>
      </c>
      <c r="O46" s="1">
        <f t="shared" si="18"/>
        <v>0</v>
      </c>
      <c r="P46" s="1">
        <f t="shared" si="19"/>
        <v>22</v>
      </c>
      <c r="Q46" s="1">
        <f t="shared" si="20"/>
        <v>16</v>
      </c>
      <c r="R46" s="1">
        <f>MIN(关卡总览!$E$13+(B46-1)*关卡总览!$F$13,关卡总览!$G$13)</f>
        <v>8</v>
      </c>
      <c r="S46" s="1" t="str">
        <f>IF(P45&lt;=0,"已结束",IF(NOT(ISNUMBER(K46)),"待填写胜负",IF(M46&gt;J46,"敌幸存值超上限",IF(AND(I46=0,K46=0),"空波不可判败","原始波6"))))</f>
        <v>原始波6</v>
      </c>
    </row>
    <row r="47" spans="1:19" ht="26" customHeight="1">
      <c r="A47" s="1" t="s">
        <v>35</v>
      </c>
      <c r="B47" s="1">
        <v>7</v>
      </c>
      <c r="C47" s="6">
        <v>1</v>
      </c>
      <c r="D47" s="6">
        <v>0</v>
      </c>
      <c r="E47" s="6">
        <v>0</v>
      </c>
      <c r="F47" s="6">
        <v>0</v>
      </c>
      <c r="G47" s="6">
        <v>0</v>
      </c>
      <c r="H47" s="1">
        <f>C47*敌兵与开局!$C$9+D47*敌兵与开局!$C$10+E47*敌兵与开局!$C$11+F47*敌兵与开局!$C$12+G47*敌兵与开局!$C$13</f>
        <v>70</v>
      </c>
      <c r="I47" s="1">
        <f t="shared" si="16"/>
        <v>1</v>
      </c>
      <c r="J47" s="1">
        <f>C47*敌兵与开局!$F$9+D47*敌兵与开局!$F$10+E47*敌兵与开局!$F$11+F47*敌兵与开局!$F$12+G47*敌兵与开局!$F$13</f>
        <v>1</v>
      </c>
      <c r="K47" s="6">
        <v>1</v>
      </c>
      <c r="L47" s="6">
        <v>3</v>
      </c>
      <c r="M47" s="6">
        <v>0</v>
      </c>
      <c r="N47" s="1">
        <f t="shared" si="17"/>
        <v>10</v>
      </c>
      <c r="O47" s="1">
        <f t="shared" si="18"/>
        <v>0</v>
      </c>
      <c r="P47" s="1">
        <f t="shared" si="19"/>
        <v>12</v>
      </c>
      <c r="Q47" s="1">
        <f t="shared" si="20"/>
        <v>16</v>
      </c>
      <c r="R47" s="1">
        <f>MIN(关卡总览!$E$13+(B47-1)*关卡总览!$F$13,关卡总览!$G$13)</f>
        <v>9</v>
      </c>
      <c r="S47" s="1" t="str">
        <f>IF(P46&lt;=0,"已结束",IF(NOT(ISNUMBER(K47)),"待填写胜负",IF(M47&gt;J47,"敌幸存值超上限",IF(AND(I47=0,K47=0),"空波不可判败","原始波7"))))</f>
        <v>原始波7</v>
      </c>
    </row>
    <row r="48" spans="1:19" ht="26" customHeight="1">
      <c r="A48" s="1" t="s">
        <v>35</v>
      </c>
      <c r="B48" s="1">
        <v>8</v>
      </c>
      <c r="C48" s="1">
        <f>C47</f>
        <v>1</v>
      </c>
      <c r="D48" s="1">
        <f>D47</f>
        <v>0</v>
      </c>
      <c r="E48" s="1">
        <f>E47</f>
        <v>0</v>
      </c>
      <c r="F48" s="1">
        <f>F47</f>
        <v>0</v>
      </c>
      <c r="G48" s="1">
        <f>G47</f>
        <v>0</v>
      </c>
      <c r="H48" s="1">
        <f>C48*敌兵与开局!$C$9+D48*敌兵与开局!$C$10+E48*敌兵与开局!$C$11+F48*敌兵与开局!$C$12+G48*敌兵与开局!$C$13</f>
        <v>70</v>
      </c>
      <c r="I48" s="1">
        <f t="shared" si="16"/>
        <v>1</v>
      </c>
      <c r="J48" s="1">
        <f>C48*敌兵与开局!$F$9+D48*敌兵与开局!$F$10+E48*敌兵与开局!$F$11+F48*敌兵与开局!$F$12+G48*敌兵与开局!$F$13</f>
        <v>1</v>
      </c>
      <c r="K48" s="6">
        <v>1</v>
      </c>
      <c r="L48" s="6">
        <v>3</v>
      </c>
      <c r="M48" s="6">
        <v>0</v>
      </c>
      <c r="N48" s="1">
        <f t="shared" si="17"/>
        <v>11</v>
      </c>
      <c r="O48" s="1">
        <f t="shared" si="18"/>
        <v>0</v>
      </c>
      <c r="P48" s="1">
        <f t="shared" si="19"/>
        <v>1</v>
      </c>
      <c r="Q48" s="1">
        <f t="shared" si="20"/>
        <v>16</v>
      </c>
      <c r="R48" s="1">
        <f>MIN(关卡总览!$E$13+(B48-1)*关卡总览!$F$13,关卡总览!$G$13)</f>
        <v>10</v>
      </c>
      <c r="S48" s="1" t="str">
        <f>IF(P47&lt;=0,"已结束",IF(NOT(ISNUMBER(K48)),"待填写胜负",IF(M48&gt;J48,"敌幸存值超上限",IF(AND(I48=0,K48=0),"空波不可判败","复用波7"))))</f>
        <v>复用波7</v>
      </c>
    </row>
    <row r="49" spans="1:19" ht="26" customHeight="1">
      <c r="A49" s="1" t="s">
        <v>35</v>
      </c>
      <c r="B49" s="1">
        <v>9</v>
      </c>
      <c r="C49" s="1">
        <f>C47</f>
        <v>1</v>
      </c>
      <c r="D49" s="1">
        <f>D47</f>
        <v>0</v>
      </c>
      <c r="E49" s="1">
        <f>E47</f>
        <v>0</v>
      </c>
      <c r="F49" s="1">
        <f>F47</f>
        <v>0</v>
      </c>
      <c r="G49" s="1">
        <f>G47</f>
        <v>0</v>
      </c>
      <c r="H49" s="1">
        <f>C49*敌兵与开局!$C$9+D49*敌兵与开局!$C$10+E49*敌兵与开局!$C$11+F49*敌兵与开局!$C$12+G49*敌兵与开局!$C$13</f>
        <v>70</v>
      </c>
      <c r="I49" s="1">
        <f t="shared" si="16"/>
        <v>1</v>
      </c>
      <c r="J49" s="1">
        <f>C49*敌兵与开局!$F$9+D49*敌兵与开局!$F$10+E49*敌兵与开局!$F$11+F49*敌兵与开局!$F$12+G49*敌兵与开局!$F$13</f>
        <v>1</v>
      </c>
      <c r="K49" s="6">
        <v>1</v>
      </c>
      <c r="L49" s="6">
        <v>2</v>
      </c>
      <c r="M49" s="6">
        <v>0</v>
      </c>
      <c r="N49" s="1">
        <f t="shared" si="17"/>
        <v>11</v>
      </c>
      <c r="O49" s="1">
        <f t="shared" si="18"/>
        <v>0</v>
      </c>
      <c r="P49" s="1">
        <f t="shared" si="19"/>
        <v>0</v>
      </c>
      <c r="Q49" s="1">
        <f t="shared" si="20"/>
        <v>16</v>
      </c>
      <c r="R49" s="1">
        <f>MIN(关卡总览!$E$13+(B49-1)*关卡总览!$F$13,关卡总览!$G$13)</f>
        <v>10</v>
      </c>
      <c r="S49" s="1" t="str">
        <f>IF(P48&lt;=0,"已结束",IF(NOT(ISNUMBER(K49)),"待填写胜负",IF(M49&gt;J49,"敌幸存值超上限",IF(AND(I49=0,K49=0),"空波不可判败","复用波7"))))</f>
        <v>复用波7</v>
      </c>
    </row>
    <row r="50" spans="1:19" ht="26" customHeight="1">
      <c r="A50" s="16" t="s">
        <v>135</v>
      </c>
      <c r="B50" s="16" t="s">
        <v>135</v>
      </c>
      <c r="C50" s="16" t="s">
        <v>135</v>
      </c>
      <c r="D50" s="16" t="s">
        <v>135</v>
      </c>
      <c r="E50" s="16" t="s">
        <v>135</v>
      </c>
      <c r="F50" s="16" t="s">
        <v>135</v>
      </c>
      <c r="G50" s="16" t="s">
        <v>135</v>
      </c>
      <c r="H50" s="16" t="s">
        <v>135</v>
      </c>
      <c r="I50" s="16" t="s">
        <v>135</v>
      </c>
      <c r="J50" s="16" t="s">
        <v>135</v>
      </c>
      <c r="K50" s="16" t="s">
        <v>135</v>
      </c>
      <c r="L50" s="16" t="s">
        <v>135</v>
      </c>
      <c r="M50" s="16" t="s">
        <v>135</v>
      </c>
      <c r="N50" s="16" t="s">
        <v>135</v>
      </c>
      <c r="O50" s="16" t="s">
        <v>135</v>
      </c>
      <c r="P50" s="16" t="s">
        <v>135</v>
      </c>
      <c r="Q50" s="16" t="s">
        <v>135</v>
      </c>
      <c r="R50" s="16" t="s">
        <v>135</v>
      </c>
      <c r="S50" s="16" t="s">
        <v>135</v>
      </c>
    </row>
    <row r="51" spans="1:19" ht="26" customHeight="1">
      <c r="A51" s="1" t="s">
        <v>40</v>
      </c>
      <c r="B51" s="1">
        <v>1</v>
      </c>
      <c r="C51" s="6">
        <v>1</v>
      </c>
      <c r="D51" s="6">
        <v>0</v>
      </c>
      <c r="E51" s="6">
        <v>1</v>
      </c>
      <c r="F51" s="6">
        <v>0</v>
      </c>
      <c r="G51" s="6">
        <v>0</v>
      </c>
      <c r="H51" s="1">
        <f>C51*敌兵与开局!$C$9+D51*敌兵与开局!$C$10+E51*敌兵与开局!$C$11+F51*敌兵与开局!$C$12+G51*敌兵与开局!$C$13</f>
        <v>170</v>
      </c>
      <c r="I51" s="1">
        <f t="shared" ref="I51:I65" si="21">SUM(C51:G51)</f>
        <v>2</v>
      </c>
      <c r="J51" s="1">
        <f>C51*敌兵与开局!$F$9+D51*敌兵与开局!$F$10+E51*敌兵与开局!$F$11+F51*敌兵与开局!$F$12+G51*敌兵与开局!$F$13</f>
        <v>2</v>
      </c>
      <c r="K51" s="6">
        <v>1</v>
      </c>
      <c r="L51" s="6">
        <v>3</v>
      </c>
      <c r="M51" s="6">
        <v>0</v>
      </c>
      <c r="N51" s="1">
        <f>IF(OR(关卡总览!$D$14&lt;=0,NOT(ISNUMBER(K51))),0,IF(K51=1,B51+L51,0))</f>
        <v>4</v>
      </c>
      <c r="O51" s="1">
        <f>IF(OR(关卡总览!$D$14&lt;=0,NOT(ISNUMBER(K51))),0,IF(K51=0,B51+M51,0))</f>
        <v>0</v>
      </c>
      <c r="P51" s="1">
        <f>MAX(0,关卡总览!$D$14-N51)</f>
        <v>48</v>
      </c>
      <c r="Q51" s="1">
        <f>0+O51</f>
        <v>0</v>
      </c>
      <c r="R51" s="1">
        <f>MIN(关卡总览!$E$14+(B51-1)*关卡总览!$F$14,关卡总览!$G$14)</f>
        <v>3</v>
      </c>
      <c r="S51" s="1" t="str">
        <f>IF(关卡总览!$D$14&lt;=0,"已结束",IF(NOT(ISNUMBER(K51)),"待填写胜负",IF(M51&gt;J51,"敌幸存值超上限",IF(AND(I51=0,K51=0),"空波不可判败","原始波1"))))</f>
        <v>原始波1</v>
      </c>
    </row>
    <row r="52" spans="1:19" ht="26" customHeight="1">
      <c r="A52" s="1" t="s">
        <v>40</v>
      </c>
      <c r="B52" s="1">
        <v>2</v>
      </c>
      <c r="C52" s="6">
        <v>0</v>
      </c>
      <c r="D52" s="6">
        <v>2</v>
      </c>
      <c r="E52" s="6">
        <v>1</v>
      </c>
      <c r="F52" s="6">
        <v>0</v>
      </c>
      <c r="G52" s="6">
        <v>0</v>
      </c>
      <c r="H52" s="1">
        <f>C52*敌兵与开局!$C$9+D52*敌兵与开局!$C$10+E52*敌兵与开局!$C$11+F52*敌兵与开局!$C$12+G52*敌兵与开局!$C$13</f>
        <v>210</v>
      </c>
      <c r="I52" s="1">
        <f t="shared" si="21"/>
        <v>3</v>
      </c>
      <c r="J52" s="1">
        <f>C52*敌兵与开局!$F$9+D52*敌兵与开局!$F$10+E52*敌兵与开局!$F$11+F52*敌兵与开局!$F$12+G52*敌兵与开局!$F$13</f>
        <v>5</v>
      </c>
      <c r="K52" s="6">
        <v>1</v>
      </c>
      <c r="L52" s="6">
        <v>3</v>
      </c>
      <c r="M52" s="6">
        <v>0</v>
      </c>
      <c r="N52" s="1">
        <f t="shared" ref="N52:N65" si="22">IF(OR(P51&lt;=0,NOT(ISNUMBER(K52))),0,IF(K52=1,B52+L52,0))</f>
        <v>5</v>
      </c>
      <c r="O52" s="1">
        <f t="shared" ref="O52:O65" si="23">IF(OR(P51&lt;=0,NOT(ISNUMBER(K52))),0,IF(K52=0,B52+M52,0))</f>
        <v>0</v>
      </c>
      <c r="P52" s="1">
        <f t="shared" ref="P52:P65" si="24">MAX(0,P51-N52)</f>
        <v>43</v>
      </c>
      <c r="Q52" s="1">
        <f t="shared" ref="Q52:Q65" si="25">Q51+O52</f>
        <v>0</v>
      </c>
      <c r="R52" s="1">
        <f>MIN(关卡总览!$E$14+(B52-1)*关卡总览!$F$14,关卡总览!$G$14)</f>
        <v>4</v>
      </c>
      <c r="S52" s="1" t="str">
        <f>IF(P51&lt;=0,"已结束",IF(NOT(ISNUMBER(K52)),"待填写胜负",IF(M52&gt;J52,"敌幸存值超上限",IF(AND(I52=0,K52=0),"空波不可判败","原始波2"))))</f>
        <v>原始波2</v>
      </c>
    </row>
    <row r="53" spans="1:19" ht="26" customHeight="1">
      <c r="A53" s="1" t="s">
        <v>40</v>
      </c>
      <c r="B53" s="1">
        <v>3</v>
      </c>
      <c r="C53" s="6">
        <v>0</v>
      </c>
      <c r="D53" s="6">
        <v>1</v>
      </c>
      <c r="E53" s="6">
        <v>0</v>
      </c>
      <c r="F53" s="6">
        <v>1</v>
      </c>
      <c r="G53" s="6">
        <v>0</v>
      </c>
      <c r="H53" s="1">
        <f>C53*敌兵与开局!$C$9+D53*敌兵与开局!$C$10+E53*敌兵与开局!$C$11+F53*敌兵与开局!$C$12+G53*敌兵与开局!$C$13</f>
        <v>200</v>
      </c>
      <c r="I53" s="1">
        <f t="shared" si="21"/>
        <v>2</v>
      </c>
      <c r="J53" s="1">
        <f>C53*敌兵与开局!$F$9+D53*敌兵与开局!$F$10+E53*敌兵与开局!$F$11+F53*敌兵与开局!$F$12+G53*敌兵与开局!$F$13</f>
        <v>4</v>
      </c>
      <c r="K53" s="6">
        <v>0</v>
      </c>
      <c r="L53" s="6">
        <v>0</v>
      </c>
      <c r="M53" s="6">
        <v>2</v>
      </c>
      <c r="N53" s="1">
        <f t="shared" si="22"/>
        <v>0</v>
      </c>
      <c r="O53" s="1">
        <f t="shared" si="23"/>
        <v>5</v>
      </c>
      <c r="P53" s="1">
        <f t="shared" si="24"/>
        <v>43</v>
      </c>
      <c r="Q53" s="1">
        <f t="shared" si="25"/>
        <v>5</v>
      </c>
      <c r="R53" s="1">
        <f>MIN(关卡总览!$E$14+(B53-1)*关卡总览!$F$14,关卡总览!$G$14)</f>
        <v>5</v>
      </c>
      <c r="S53" s="1" t="str">
        <f>IF(P52&lt;=0,"已结束",IF(NOT(ISNUMBER(K53)),"待填写胜负",IF(M53&gt;J53,"敌幸存值超上限",IF(AND(I53=0,K53=0),"空波不可判败","原始波3"))))</f>
        <v>原始波3</v>
      </c>
    </row>
    <row r="54" spans="1:19" ht="26" customHeight="1">
      <c r="A54" s="1" t="s">
        <v>40</v>
      </c>
      <c r="B54" s="1">
        <v>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1">
        <f>C54*敌兵与开局!$C$9+D54*敌兵与开局!$C$10+E54*敌兵与开局!$C$11+F54*敌兵与开局!$C$12+G54*敌兵与开局!$C$13</f>
        <v>0</v>
      </c>
      <c r="I54" s="1">
        <f t="shared" si="21"/>
        <v>0</v>
      </c>
      <c r="J54" s="1">
        <f>C54*敌兵与开局!$F$9+D54*敌兵与开局!$F$10+E54*敌兵与开局!$F$11+F54*敌兵与开局!$F$12+G54*敌兵与开局!$F$13</f>
        <v>0</v>
      </c>
      <c r="K54" s="6">
        <v>1</v>
      </c>
      <c r="L54" s="6">
        <v>3</v>
      </c>
      <c r="M54" s="6">
        <v>0</v>
      </c>
      <c r="N54" s="1">
        <f t="shared" si="22"/>
        <v>7</v>
      </c>
      <c r="O54" s="1">
        <f t="shared" si="23"/>
        <v>0</v>
      </c>
      <c r="P54" s="1">
        <f t="shared" si="24"/>
        <v>36</v>
      </c>
      <c r="Q54" s="1">
        <f t="shared" si="25"/>
        <v>5</v>
      </c>
      <c r="R54" s="1">
        <f>MIN(关卡总览!$E$14+(B54-1)*关卡总览!$F$14,关卡总览!$G$14)</f>
        <v>6</v>
      </c>
      <c r="S54" s="1" t="str">
        <f>IF(P53&lt;=0,"已结束",IF(NOT(ISNUMBER(K54)),"待填写胜负",IF(M54&gt;J54,"敌幸存值超上限",IF(AND(I54=0,K54=0),"空波不可判败","空波"))))</f>
        <v>空波</v>
      </c>
    </row>
    <row r="55" spans="1:19" ht="26" customHeight="1">
      <c r="A55" s="1" t="s">
        <v>40</v>
      </c>
      <c r="B55" s="1">
        <v>5</v>
      </c>
      <c r="C55" s="6">
        <v>1</v>
      </c>
      <c r="D55" s="6">
        <v>0</v>
      </c>
      <c r="E55" s="6">
        <v>0</v>
      </c>
      <c r="F55" s="6">
        <v>0</v>
      </c>
      <c r="G55" s="6">
        <v>1</v>
      </c>
      <c r="H55" s="1">
        <f>C55*敌兵与开局!$C$9+D55*敌兵与开局!$C$10+E55*敌兵与开局!$C$11+F55*敌兵与开局!$C$12+G55*敌兵与开局!$C$13</f>
        <v>290</v>
      </c>
      <c r="I55" s="1">
        <f t="shared" si="21"/>
        <v>2</v>
      </c>
      <c r="J55" s="1">
        <f>C55*敌兵与开局!$F$9+D55*敌兵与开局!$F$10+E55*敌兵与开局!$F$11+F55*敌兵与开局!$F$12+G55*敌兵与开局!$F$13</f>
        <v>4</v>
      </c>
      <c r="K55" s="6">
        <v>0</v>
      </c>
      <c r="L55" s="6">
        <v>0</v>
      </c>
      <c r="M55" s="6">
        <v>3</v>
      </c>
      <c r="N55" s="1">
        <f t="shared" si="22"/>
        <v>0</v>
      </c>
      <c r="O55" s="1">
        <f t="shared" si="23"/>
        <v>8</v>
      </c>
      <c r="P55" s="1">
        <f t="shared" si="24"/>
        <v>36</v>
      </c>
      <c r="Q55" s="1">
        <f t="shared" si="25"/>
        <v>13</v>
      </c>
      <c r="R55" s="1">
        <f>MIN(关卡总览!$E$14+(B55-1)*关卡总览!$F$14,关卡总览!$G$14)</f>
        <v>7</v>
      </c>
      <c r="S55" s="1" t="str">
        <f>IF(P54&lt;=0,"已结束",IF(NOT(ISNUMBER(K55)),"待填写胜负",IF(M55&gt;J55,"敌幸存值超上限",IF(AND(I55=0,K55=0),"空波不可判败","原始波5"))))</f>
        <v>原始波5</v>
      </c>
    </row>
    <row r="56" spans="1:19" ht="26" customHeight="1">
      <c r="A56" s="1" t="s">
        <v>40</v>
      </c>
      <c r="B56" s="1">
        <v>6</v>
      </c>
      <c r="C56" s="6">
        <v>0</v>
      </c>
      <c r="D56" s="6">
        <v>1</v>
      </c>
      <c r="E56" s="6">
        <v>1</v>
      </c>
      <c r="F56" s="6">
        <v>0</v>
      </c>
      <c r="G56" s="6">
        <v>0</v>
      </c>
      <c r="H56" s="1">
        <f>C56*敌兵与开局!$C$9+D56*敌兵与开局!$C$10+E56*敌兵与开局!$C$11+F56*敌兵与开局!$C$12+G56*敌兵与开局!$C$13</f>
        <v>155</v>
      </c>
      <c r="I56" s="1">
        <f t="shared" si="21"/>
        <v>2</v>
      </c>
      <c r="J56" s="1">
        <f>C56*敌兵与开局!$F$9+D56*敌兵与开局!$F$10+E56*敌兵与开局!$F$11+F56*敌兵与开局!$F$12+G56*敌兵与开局!$F$13</f>
        <v>3</v>
      </c>
      <c r="K56" s="6">
        <v>1</v>
      </c>
      <c r="L56" s="6">
        <v>3</v>
      </c>
      <c r="M56" s="6">
        <v>0</v>
      </c>
      <c r="N56" s="1">
        <f t="shared" si="22"/>
        <v>9</v>
      </c>
      <c r="O56" s="1">
        <f t="shared" si="23"/>
        <v>0</v>
      </c>
      <c r="P56" s="1">
        <f t="shared" si="24"/>
        <v>27</v>
      </c>
      <c r="Q56" s="1">
        <f t="shared" si="25"/>
        <v>13</v>
      </c>
      <c r="R56" s="1">
        <f>MIN(关卡总览!$E$14+(B56-1)*关卡总览!$F$14,关卡总览!$G$14)</f>
        <v>8</v>
      </c>
      <c r="S56" s="1" t="str">
        <f>IF(P55&lt;=0,"已结束",IF(NOT(ISNUMBER(K56)),"待填写胜负",IF(M56&gt;J56,"敌幸存值超上限",IF(AND(I56=0,K56=0),"空波不可判败","原始波6"))))</f>
        <v>原始波6</v>
      </c>
    </row>
    <row r="57" spans="1:19" ht="26" customHeight="1">
      <c r="A57" s="1" t="s">
        <v>40</v>
      </c>
      <c r="B57" s="1">
        <v>7</v>
      </c>
      <c r="C57" s="6">
        <v>1</v>
      </c>
      <c r="D57" s="6">
        <v>1</v>
      </c>
      <c r="E57" s="6">
        <v>0</v>
      </c>
      <c r="F57" s="6">
        <v>1</v>
      </c>
      <c r="G57" s="6">
        <v>0</v>
      </c>
      <c r="H57" s="1">
        <f>C57*敌兵与开局!$C$9+D57*敌兵与开局!$C$10+E57*敌兵与开局!$C$11+F57*敌兵与开局!$C$12+G57*敌兵与开局!$C$13</f>
        <v>270</v>
      </c>
      <c r="I57" s="1">
        <f t="shared" si="21"/>
        <v>3</v>
      </c>
      <c r="J57" s="1">
        <f>C57*敌兵与开局!$F$9+D57*敌兵与开局!$F$10+E57*敌兵与开局!$F$11+F57*敌兵与开局!$F$12+G57*敌兵与开局!$F$13</f>
        <v>5</v>
      </c>
      <c r="K57" s="6">
        <v>0</v>
      </c>
      <c r="L57" s="6">
        <v>0</v>
      </c>
      <c r="M57" s="6">
        <v>2</v>
      </c>
      <c r="N57" s="1">
        <f t="shared" si="22"/>
        <v>0</v>
      </c>
      <c r="O57" s="1">
        <f t="shared" si="23"/>
        <v>9</v>
      </c>
      <c r="P57" s="1">
        <f t="shared" si="24"/>
        <v>27</v>
      </c>
      <c r="Q57" s="1">
        <f t="shared" si="25"/>
        <v>22</v>
      </c>
      <c r="R57" s="1">
        <f>MIN(关卡总览!$E$14+(B57-1)*关卡总览!$F$14,关卡总览!$G$14)</f>
        <v>9</v>
      </c>
      <c r="S57" s="1" t="str">
        <f>IF(P56&lt;=0,"已结束",IF(NOT(ISNUMBER(K57)),"待填写胜负",IF(M57&gt;J57,"敌幸存值超上限",IF(AND(I57=0,K57=0),"空波不可判败","原始波7"))))</f>
        <v>原始波7</v>
      </c>
    </row>
    <row r="58" spans="1:19" ht="26" customHeight="1">
      <c r="A58" s="1" t="s">
        <v>40</v>
      </c>
      <c r="B58" s="1">
        <v>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1">
        <f>C58*敌兵与开局!$C$9+D58*敌兵与开局!$C$10+E58*敌兵与开局!$C$11+F58*敌兵与开局!$C$12+G58*敌兵与开局!$C$13</f>
        <v>0</v>
      </c>
      <c r="I58" s="1">
        <f t="shared" si="21"/>
        <v>0</v>
      </c>
      <c r="J58" s="1">
        <f>C58*敌兵与开局!$F$9+D58*敌兵与开局!$F$10+E58*敌兵与开局!$F$11+F58*敌兵与开局!$F$12+G58*敌兵与开局!$F$13</f>
        <v>0</v>
      </c>
      <c r="K58" s="6">
        <v>1</v>
      </c>
      <c r="L58" s="6">
        <v>3</v>
      </c>
      <c r="M58" s="6">
        <v>0</v>
      </c>
      <c r="N58" s="1">
        <f t="shared" si="22"/>
        <v>11</v>
      </c>
      <c r="O58" s="1">
        <f t="shared" si="23"/>
        <v>0</v>
      </c>
      <c r="P58" s="1">
        <f t="shared" si="24"/>
        <v>16</v>
      </c>
      <c r="Q58" s="1">
        <f t="shared" si="25"/>
        <v>22</v>
      </c>
      <c r="R58" s="1">
        <f>MIN(关卡总览!$E$14+(B58-1)*关卡总览!$F$14,关卡总览!$G$14)</f>
        <v>10</v>
      </c>
      <c r="S58" s="1" t="str">
        <f>IF(P57&lt;=0,"已结束",IF(NOT(ISNUMBER(K58)),"待填写胜负",IF(M58&gt;J58,"敌幸存值超上限",IF(AND(I58=0,K58=0),"空波不可判败","空波"))))</f>
        <v>空波</v>
      </c>
    </row>
    <row r="59" spans="1:19" ht="26" customHeight="1">
      <c r="A59" s="1" t="s">
        <v>40</v>
      </c>
      <c r="B59" s="1">
        <v>9</v>
      </c>
      <c r="C59" s="6">
        <v>0</v>
      </c>
      <c r="D59" s="6">
        <v>1</v>
      </c>
      <c r="E59" s="6">
        <v>0</v>
      </c>
      <c r="F59" s="6">
        <v>0</v>
      </c>
      <c r="G59" s="6">
        <v>1</v>
      </c>
      <c r="H59" s="1">
        <f>C59*敌兵与开局!$C$9+D59*敌兵与开局!$C$10+E59*敌兵与开局!$C$11+F59*敌兵与开局!$C$12+G59*敌兵与开局!$C$13</f>
        <v>275</v>
      </c>
      <c r="I59" s="1">
        <f t="shared" si="21"/>
        <v>2</v>
      </c>
      <c r="J59" s="1">
        <f>C59*敌兵与开局!$F$9+D59*敌兵与开局!$F$10+E59*敌兵与开局!$F$11+F59*敌兵与开局!$F$12+G59*敌兵与开局!$F$13</f>
        <v>5</v>
      </c>
      <c r="K59" s="6">
        <v>1</v>
      </c>
      <c r="L59" s="6">
        <v>2</v>
      </c>
      <c r="M59" s="6">
        <v>0</v>
      </c>
      <c r="N59" s="1">
        <f t="shared" si="22"/>
        <v>11</v>
      </c>
      <c r="O59" s="1">
        <f t="shared" si="23"/>
        <v>0</v>
      </c>
      <c r="P59" s="1">
        <f t="shared" si="24"/>
        <v>5</v>
      </c>
      <c r="Q59" s="1">
        <f t="shared" si="25"/>
        <v>22</v>
      </c>
      <c r="R59" s="1">
        <f>MIN(关卡总览!$E$14+(B59-1)*关卡总览!$F$14,关卡总览!$G$14)</f>
        <v>10</v>
      </c>
      <c r="S59" s="1" t="str">
        <f>IF(P58&lt;=0,"已结束",IF(NOT(ISNUMBER(K59)),"待填写胜负",IF(M59&gt;J59,"敌幸存值超上限",IF(AND(I59=0,K59=0),"空波不可判败","原始波9"))))</f>
        <v>原始波9</v>
      </c>
    </row>
    <row r="60" spans="1:19" ht="26" customHeight="1">
      <c r="A60" s="1" t="s">
        <v>40</v>
      </c>
      <c r="B60" s="1">
        <v>10</v>
      </c>
      <c r="C60" s="6">
        <v>1</v>
      </c>
      <c r="D60" s="6">
        <v>1</v>
      </c>
      <c r="E60" s="6">
        <v>0</v>
      </c>
      <c r="F60" s="6">
        <v>0</v>
      </c>
      <c r="G60" s="6">
        <v>0</v>
      </c>
      <c r="H60" s="1">
        <f>C60*敌兵与开局!$C$9+D60*敌兵与开局!$C$10+E60*敌兵与开局!$C$11+F60*敌兵与开局!$C$12+G60*敌兵与开局!$C$13</f>
        <v>125</v>
      </c>
      <c r="I60" s="1">
        <f t="shared" si="21"/>
        <v>2</v>
      </c>
      <c r="J60" s="1">
        <f>C60*敌兵与开局!$F$9+D60*敌兵与开局!$F$10+E60*敌兵与开局!$F$11+F60*敌兵与开局!$F$12+G60*敌兵与开局!$F$13</f>
        <v>3</v>
      </c>
      <c r="K60" s="6">
        <v>1</v>
      </c>
      <c r="L60" s="6">
        <v>3</v>
      </c>
      <c r="M60" s="6">
        <v>0</v>
      </c>
      <c r="N60" s="1">
        <f t="shared" si="22"/>
        <v>13</v>
      </c>
      <c r="O60" s="1">
        <f t="shared" si="23"/>
        <v>0</v>
      </c>
      <c r="P60" s="1">
        <f t="shared" si="24"/>
        <v>0</v>
      </c>
      <c r="Q60" s="1">
        <f t="shared" si="25"/>
        <v>22</v>
      </c>
      <c r="R60" s="1">
        <f>MIN(关卡总览!$E$14+(B60-1)*关卡总览!$F$14,关卡总览!$G$14)</f>
        <v>10</v>
      </c>
      <c r="S60" s="1" t="str">
        <f>IF(P59&lt;=0,"已结束",IF(NOT(ISNUMBER(K60)),"待填写胜负",IF(M60&gt;J60,"敌幸存值超上限",IF(AND(I60=0,K60=0),"空波不可判败","原始波10"))))</f>
        <v>原始波10</v>
      </c>
    </row>
    <row r="61" spans="1:19" ht="26" customHeight="1">
      <c r="A61" s="1" t="s">
        <v>40</v>
      </c>
      <c r="B61" s="1">
        <v>11</v>
      </c>
      <c r="C61" s="1">
        <f t="shared" ref="C61:G65" si="26">C56</f>
        <v>0</v>
      </c>
      <c r="D61" s="1">
        <f t="shared" si="26"/>
        <v>1</v>
      </c>
      <c r="E61" s="1">
        <f t="shared" si="26"/>
        <v>1</v>
      </c>
      <c r="F61" s="1">
        <f t="shared" si="26"/>
        <v>0</v>
      </c>
      <c r="G61" s="1">
        <f t="shared" si="26"/>
        <v>0</v>
      </c>
      <c r="H61" s="1">
        <f>C61*敌兵与开局!$C$9+D61*敌兵与开局!$C$10+E61*敌兵与开局!$C$11+F61*敌兵与开局!$C$12+G61*敌兵与开局!$C$13</f>
        <v>155</v>
      </c>
      <c r="I61" s="1">
        <f t="shared" si="21"/>
        <v>2</v>
      </c>
      <c r="J61" s="1">
        <f>C61*敌兵与开局!$F$9+D61*敌兵与开局!$F$10+E61*敌兵与开局!$F$11+F61*敌兵与开局!$F$12+G61*敌兵与开局!$F$13</f>
        <v>3</v>
      </c>
      <c r="K61" s="6"/>
      <c r="L61" s="6">
        <v>0</v>
      </c>
      <c r="M61" s="6">
        <v>0</v>
      </c>
      <c r="N61" s="1">
        <f t="shared" si="22"/>
        <v>0</v>
      </c>
      <c r="O61" s="1">
        <f t="shared" si="23"/>
        <v>0</v>
      </c>
      <c r="P61" s="1">
        <f t="shared" si="24"/>
        <v>0</v>
      </c>
      <c r="Q61" s="1">
        <f t="shared" si="25"/>
        <v>22</v>
      </c>
      <c r="R61" s="1">
        <f>MIN(关卡总览!$E$14+(B61-1)*关卡总览!$F$14,关卡总览!$G$14)</f>
        <v>10</v>
      </c>
      <c r="S61" s="1" t="str">
        <f>IF(P60&lt;=0,"已结束",IF(NOT(ISNUMBER(K61)),"待填写胜负",IF(M61&gt;J61,"敌幸存值超上限",IF(AND(I61=0,K61=0),"空波不可判败","复用波6"))))</f>
        <v>已结束</v>
      </c>
    </row>
    <row r="62" spans="1:19" ht="26" customHeight="1">
      <c r="A62" s="1" t="s">
        <v>40</v>
      </c>
      <c r="B62" s="1">
        <v>12</v>
      </c>
      <c r="C62" s="1">
        <f t="shared" si="26"/>
        <v>1</v>
      </c>
      <c r="D62" s="1">
        <f t="shared" si="26"/>
        <v>1</v>
      </c>
      <c r="E62" s="1">
        <f t="shared" si="26"/>
        <v>0</v>
      </c>
      <c r="F62" s="1">
        <f t="shared" si="26"/>
        <v>1</v>
      </c>
      <c r="G62" s="1">
        <f t="shared" si="26"/>
        <v>0</v>
      </c>
      <c r="H62" s="1">
        <f>C62*敌兵与开局!$C$9+D62*敌兵与开局!$C$10+E62*敌兵与开局!$C$11+F62*敌兵与开局!$C$12+G62*敌兵与开局!$C$13</f>
        <v>270</v>
      </c>
      <c r="I62" s="1">
        <f t="shared" si="21"/>
        <v>3</v>
      </c>
      <c r="J62" s="1">
        <f>C62*敌兵与开局!$F$9+D62*敌兵与开局!$F$10+E62*敌兵与开局!$F$11+F62*敌兵与开局!$F$12+G62*敌兵与开局!$F$13</f>
        <v>5</v>
      </c>
      <c r="K62" s="6"/>
      <c r="L62" s="6">
        <v>0</v>
      </c>
      <c r="M62" s="6">
        <v>0</v>
      </c>
      <c r="N62" s="1">
        <f t="shared" si="22"/>
        <v>0</v>
      </c>
      <c r="O62" s="1">
        <f t="shared" si="23"/>
        <v>0</v>
      </c>
      <c r="P62" s="1">
        <f t="shared" si="24"/>
        <v>0</v>
      </c>
      <c r="Q62" s="1">
        <f t="shared" si="25"/>
        <v>22</v>
      </c>
      <c r="R62" s="1">
        <f>MIN(关卡总览!$E$14+(B62-1)*关卡总览!$F$14,关卡总览!$G$14)</f>
        <v>10</v>
      </c>
      <c r="S62" s="1" t="str">
        <f>IF(P61&lt;=0,"已结束",IF(NOT(ISNUMBER(K62)),"待填写胜负",IF(M62&gt;J62,"敌幸存值超上限",IF(AND(I62=0,K62=0),"空波不可判败","复用波7"))))</f>
        <v>已结束</v>
      </c>
    </row>
    <row r="63" spans="1:19" ht="26" customHeight="1">
      <c r="A63" s="1" t="s">
        <v>40</v>
      </c>
      <c r="B63" s="1">
        <v>13</v>
      </c>
      <c r="C63" s="1">
        <f t="shared" si="26"/>
        <v>0</v>
      </c>
      <c r="D63" s="1">
        <f t="shared" si="26"/>
        <v>0</v>
      </c>
      <c r="E63" s="1">
        <f t="shared" si="26"/>
        <v>0</v>
      </c>
      <c r="F63" s="1">
        <f t="shared" si="26"/>
        <v>0</v>
      </c>
      <c r="G63" s="1">
        <f t="shared" si="26"/>
        <v>0</v>
      </c>
      <c r="H63" s="1">
        <f>C63*敌兵与开局!$C$9+D63*敌兵与开局!$C$10+E63*敌兵与开局!$C$11+F63*敌兵与开局!$C$12+G63*敌兵与开局!$C$13</f>
        <v>0</v>
      </c>
      <c r="I63" s="1">
        <f t="shared" si="21"/>
        <v>0</v>
      </c>
      <c r="J63" s="1">
        <f>C63*敌兵与开局!$F$9+D63*敌兵与开局!$F$10+E63*敌兵与开局!$F$11+F63*敌兵与开局!$F$12+G63*敌兵与开局!$F$13</f>
        <v>0</v>
      </c>
      <c r="K63" s="6"/>
      <c r="L63" s="6">
        <v>0</v>
      </c>
      <c r="M63" s="6">
        <v>0</v>
      </c>
      <c r="N63" s="1">
        <f t="shared" si="22"/>
        <v>0</v>
      </c>
      <c r="O63" s="1">
        <f t="shared" si="23"/>
        <v>0</v>
      </c>
      <c r="P63" s="1">
        <f t="shared" si="24"/>
        <v>0</v>
      </c>
      <c r="Q63" s="1">
        <f t="shared" si="25"/>
        <v>22</v>
      </c>
      <c r="R63" s="1">
        <f>MIN(关卡总览!$E$14+(B63-1)*关卡总览!$F$14,关卡总览!$G$14)</f>
        <v>10</v>
      </c>
      <c r="S63" s="1" t="str">
        <f>IF(P62&lt;=0,"已结束",IF(NOT(ISNUMBER(K63)),"待填写胜负",IF(M63&gt;J63,"敌幸存值超上限",IF(AND(I63=0,K63=0),"空波不可判败","复用波8"))))</f>
        <v>已结束</v>
      </c>
    </row>
    <row r="64" spans="1:19" ht="26" customHeight="1">
      <c r="A64" s="1" t="s">
        <v>40</v>
      </c>
      <c r="B64" s="1">
        <v>14</v>
      </c>
      <c r="C64" s="1">
        <f t="shared" si="26"/>
        <v>0</v>
      </c>
      <c r="D64" s="1">
        <f t="shared" si="26"/>
        <v>1</v>
      </c>
      <c r="E64" s="1">
        <f t="shared" si="26"/>
        <v>0</v>
      </c>
      <c r="F64" s="1">
        <f t="shared" si="26"/>
        <v>0</v>
      </c>
      <c r="G64" s="1">
        <f t="shared" si="26"/>
        <v>1</v>
      </c>
      <c r="H64" s="1">
        <f>C64*敌兵与开局!$C$9+D64*敌兵与开局!$C$10+E64*敌兵与开局!$C$11+F64*敌兵与开局!$C$12+G64*敌兵与开局!$C$13</f>
        <v>275</v>
      </c>
      <c r="I64" s="1">
        <f t="shared" si="21"/>
        <v>2</v>
      </c>
      <c r="J64" s="1">
        <f>C64*敌兵与开局!$F$9+D64*敌兵与开局!$F$10+E64*敌兵与开局!$F$11+F64*敌兵与开局!$F$12+G64*敌兵与开局!$F$13</f>
        <v>5</v>
      </c>
      <c r="K64" s="6"/>
      <c r="L64" s="6">
        <v>0</v>
      </c>
      <c r="M64" s="6">
        <v>0</v>
      </c>
      <c r="N64" s="1">
        <f t="shared" si="22"/>
        <v>0</v>
      </c>
      <c r="O64" s="1">
        <f t="shared" si="23"/>
        <v>0</v>
      </c>
      <c r="P64" s="1">
        <f t="shared" si="24"/>
        <v>0</v>
      </c>
      <c r="Q64" s="1">
        <f t="shared" si="25"/>
        <v>22</v>
      </c>
      <c r="R64" s="1">
        <f>MIN(关卡总览!$E$14+(B64-1)*关卡总览!$F$14,关卡总览!$G$14)</f>
        <v>10</v>
      </c>
      <c r="S64" s="1" t="str">
        <f>IF(P63&lt;=0,"已结束",IF(NOT(ISNUMBER(K64)),"待填写胜负",IF(M64&gt;J64,"敌幸存值超上限",IF(AND(I64=0,K64=0),"空波不可判败","复用波9"))))</f>
        <v>已结束</v>
      </c>
    </row>
    <row r="65" spans="1:19" ht="26" customHeight="1">
      <c r="A65" s="1" t="s">
        <v>40</v>
      </c>
      <c r="B65" s="1">
        <v>15</v>
      </c>
      <c r="C65" s="1">
        <f t="shared" si="26"/>
        <v>1</v>
      </c>
      <c r="D65" s="1">
        <f t="shared" si="26"/>
        <v>1</v>
      </c>
      <c r="E65" s="1">
        <f t="shared" si="26"/>
        <v>0</v>
      </c>
      <c r="F65" s="1">
        <f t="shared" si="26"/>
        <v>0</v>
      </c>
      <c r="G65" s="1">
        <f t="shared" si="26"/>
        <v>0</v>
      </c>
      <c r="H65" s="1">
        <f>C65*敌兵与开局!$C$9+D65*敌兵与开局!$C$10+E65*敌兵与开局!$C$11+F65*敌兵与开局!$C$12+G65*敌兵与开局!$C$13</f>
        <v>125</v>
      </c>
      <c r="I65" s="1">
        <f t="shared" si="21"/>
        <v>2</v>
      </c>
      <c r="J65" s="1">
        <f>C65*敌兵与开局!$F$9+D65*敌兵与开局!$F$10+E65*敌兵与开局!$F$11+F65*敌兵与开局!$F$12+G65*敌兵与开局!$F$13</f>
        <v>3</v>
      </c>
      <c r="K65" s="6"/>
      <c r="L65" s="6">
        <v>0</v>
      </c>
      <c r="M65" s="6">
        <v>0</v>
      </c>
      <c r="N65" s="1">
        <f t="shared" si="22"/>
        <v>0</v>
      </c>
      <c r="O65" s="1">
        <f t="shared" si="23"/>
        <v>0</v>
      </c>
      <c r="P65" s="1">
        <f t="shared" si="24"/>
        <v>0</v>
      </c>
      <c r="Q65" s="1">
        <f t="shared" si="25"/>
        <v>22</v>
      </c>
      <c r="R65" s="1">
        <f>MIN(关卡总览!$E$14+(B65-1)*关卡总览!$F$14,关卡总览!$G$14)</f>
        <v>10</v>
      </c>
      <c r="S65" s="1" t="str">
        <f>IF(P64&lt;=0,"已结束",IF(NOT(ISNUMBER(K65)),"待填写胜负",IF(M65&gt;J65,"敌幸存值超上限",IF(AND(I65=0,K65=0),"空波不可判败","复用波10"))))</f>
        <v>已结束</v>
      </c>
    </row>
    <row r="66" spans="1:19" ht="26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6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6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6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6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6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6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6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6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2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6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26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2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6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6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2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</sheetData>
  <mergeCells count="8">
    <mergeCell ref="A31:S31"/>
    <mergeCell ref="A40:S40"/>
    <mergeCell ref="A50:S50"/>
    <mergeCell ref="A2:S2"/>
    <mergeCell ref="A4:S4"/>
    <mergeCell ref="A6:S6"/>
    <mergeCell ref="A15:S15"/>
    <mergeCell ref="A23:S23"/>
  </mergeCells>
  <phoneticPr fontId="6" type="noConversion"/>
  <conditionalFormatting sqref="O9:O65">
    <cfRule type="cellIs" dxfId="0" priority="1" operator="greaterThan">
      <formula>0</formula>
    </cfRule>
  </conditionalFormatting>
  <dataValidations count="3">
    <dataValidation type="whole" sqref="C51:G65 C41:G49 C32:G39 C24:G30 C16:G22 C9:G14" xr:uid="{00000000-0002-0000-0200-000000000000}">
      <formula1>0</formula1>
      <formula2>20</formula2>
    </dataValidation>
    <dataValidation type="whole" sqref="K51:K65 K41:K49 K32:K39 K24:K30 K16:K22 K9:K14" xr:uid="{00000000-0002-0000-0200-000001000000}">
      <formula1>0</formula1>
      <formula2>2</formula2>
    </dataValidation>
    <dataValidation type="whole" sqref="L51:M65 L41:M49 L32:M39 L24:M30 L16:M22 L9:M14" xr:uid="{00000000-0002-0000-0200-000002000000}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4E43"/>
  </sheetPr>
  <dimension ref="A1:S35"/>
  <sheetViews>
    <sheetView showGridLines="0" workbookViewId="0">
      <pane ySplit="8" topLeftCell="A12" activePane="bottomLeft" state="frozen"/>
      <selection pane="bottomLeft" activeCell="R17" sqref="R17"/>
    </sheetView>
  </sheetViews>
  <sheetFormatPr defaultRowHeight="14"/>
  <cols>
    <col min="1" max="1" width="7" customWidth="1"/>
    <col min="2" max="2" width="18" customWidth="1"/>
    <col min="3" max="7" width="12" customWidth="1"/>
    <col min="8" max="13" width="13" customWidth="1"/>
    <col min="14" max="14" width="23" customWidth="1"/>
    <col min="15" max="19" width="12" customWidth="1"/>
  </cols>
  <sheetData>
    <row r="1" spans="1:19" ht="2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6" customHeight="1">
      <c r="A2" s="13" t="s">
        <v>136</v>
      </c>
      <c r="B2" s="13" t="s">
        <v>136</v>
      </c>
      <c r="C2" s="13" t="s">
        <v>136</v>
      </c>
      <c r="D2" s="13" t="s">
        <v>136</v>
      </c>
      <c r="E2" s="13" t="s">
        <v>136</v>
      </c>
      <c r="F2" s="13" t="s">
        <v>136</v>
      </c>
      <c r="G2" s="13" t="s">
        <v>136</v>
      </c>
      <c r="H2" s="13" t="s">
        <v>136</v>
      </c>
      <c r="I2" s="13" t="s">
        <v>136</v>
      </c>
      <c r="J2" s="13" t="s">
        <v>136</v>
      </c>
      <c r="K2" s="13" t="s">
        <v>136</v>
      </c>
      <c r="L2" s="13" t="s">
        <v>136</v>
      </c>
      <c r="M2" s="13" t="s">
        <v>136</v>
      </c>
      <c r="N2" s="3" t="s">
        <v>136</v>
      </c>
      <c r="O2" s="3" t="s">
        <v>182</v>
      </c>
      <c r="P2" s="3" t="s">
        <v>182</v>
      </c>
      <c r="Q2" s="3" t="s">
        <v>182</v>
      </c>
      <c r="R2" s="3" t="s">
        <v>136</v>
      </c>
      <c r="S2" s="3" t="s">
        <v>136</v>
      </c>
    </row>
    <row r="3" spans="1:19" ht="2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22.5" customHeight="1">
      <c r="A4" s="14" t="s">
        <v>137</v>
      </c>
      <c r="B4" s="14" t="s">
        <v>137</v>
      </c>
      <c r="C4" s="14" t="s">
        <v>137</v>
      </c>
      <c r="D4" s="14" t="s">
        <v>137</v>
      </c>
      <c r="E4" s="14" t="s">
        <v>137</v>
      </c>
      <c r="F4" s="14" t="s">
        <v>137</v>
      </c>
      <c r="G4" s="14" t="s">
        <v>137</v>
      </c>
      <c r="H4" s="14" t="s">
        <v>137</v>
      </c>
      <c r="I4" s="14" t="s">
        <v>137</v>
      </c>
      <c r="J4" s="14" t="s">
        <v>137</v>
      </c>
      <c r="K4" s="14" t="s">
        <v>137</v>
      </c>
      <c r="L4" s="14" t="s">
        <v>137</v>
      </c>
      <c r="M4" s="14" t="s">
        <v>137</v>
      </c>
      <c r="N4" s="2" t="s">
        <v>181</v>
      </c>
      <c r="O4" s="2" t="s">
        <v>181</v>
      </c>
      <c r="P4" s="2" t="s">
        <v>137</v>
      </c>
      <c r="Q4" s="2" t="s">
        <v>137</v>
      </c>
      <c r="R4" s="2" t="s">
        <v>137</v>
      </c>
      <c r="S4" s="2" t="s">
        <v>137</v>
      </c>
    </row>
    <row r="5" spans="1:19" ht="26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6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6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0" customHeight="1">
      <c r="A8" s="5" t="s">
        <v>138</v>
      </c>
      <c r="B8" s="5" t="s">
        <v>139</v>
      </c>
      <c r="C8" s="5" t="s">
        <v>140</v>
      </c>
      <c r="D8" s="5" t="s">
        <v>141</v>
      </c>
      <c r="E8" s="5" t="s">
        <v>142</v>
      </c>
      <c r="F8" s="5" t="s">
        <v>143</v>
      </c>
      <c r="G8" s="5" t="s">
        <v>144</v>
      </c>
      <c r="H8" s="5" t="s">
        <v>145</v>
      </c>
      <c r="I8" s="5" t="s">
        <v>146</v>
      </c>
      <c r="J8" s="5" t="s">
        <v>147</v>
      </c>
      <c r="K8" s="5" t="s">
        <v>148</v>
      </c>
      <c r="L8" s="5" t="s">
        <v>149</v>
      </c>
      <c r="M8" s="5" t="s">
        <v>150</v>
      </c>
      <c r="N8" s="5" t="s">
        <v>151</v>
      </c>
      <c r="O8" s="5" t="s">
        <v>152</v>
      </c>
      <c r="P8" s="5" t="s">
        <v>153</v>
      </c>
      <c r="Q8" s="5" t="s">
        <v>154</v>
      </c>
      <c r="R8" s="5" t="s">
        <v>155</v>
      </c>
      <c r="S8" s="5" t="s">
        <v>156</v>
      </c>
    </row>
    <row r="9" spans="1:19" ht="26" customHeight="1">
      <c r="A9" s="1" t="s">
        <v>118</v>
      </c>
      <c r="B9" s="1" t="s">
        <v>157</v>
      </c>
      <c r="C9" s="6">
        <v>70</v>
      </c>
      <c r="D9" s="6">
        <v>9</v>
      </c>
      <c r="E9" s="6">
        <v>2</v>
      </c>
      <c r="F9" s="6">
        <v>1</v>
      </c>
      <c r="G9" s="8">
        <v>0</v>
      </c>
      <c r="H9" s="1">
        <f>MAX($D$18-E9,1)</f>
        <v>8</v>
      </c>
      <c r="I9" s="1">
        <f>MAX($D$18+$D$23-E9,1)</f>
        <v>13</v>
      </c>
      <c r="J9" s="1">
        <f>ROUNDUP(C9/H9,0)</f>
        <v>9</v>
      </c>
      <c r="K9" s="1">
        <f>ROUNDUP(C9/I9,0)</f>
        <v>6</v>
      </c>
      <c r="L9" s="1">
        <f>MAX(D9-$E$18,1)</f>
        <v>4</v>
      </c>
      <c r="M9" s="1">
        <f>MAX(D9-$E$18-$D$24,1)</f>
        <v>1</v>
      </c>
      <c r="N9" s="7" t="s">
        <v>158</v>
      </c>
      <c r="O9" s="7">
        <v>100</v>
      </c>
      <c r="P9" s="7">
        <v>15</v>
      </c>
      <c r="Q9" s="7">
        <v>5</v>
      </c>
      <c r="R9" s="7">
        <v>1</v>
      </c>
      <c r="S9" s="9">
        <v>0</v>
      </c>
    </row>
    <row r="10" spans="1:19" ht="26" customHeight="1">
      <c r="A10" s="1" t="s">
        <v>119</v>
      </c>
      <c r="B10" s="1" t="s">
        <v>159</v>
      </c>
      <c r="C10" s="6">
        <v>55</v>
      </c>
      <c r="D10" s="6">
        <v>10</v>
      </c>
      <c r="E10" s="6">
        <v>1</v>
      </c>
      <c r="F10" s="6">
        <v>2</v>
      </c>
      <c r="G10" s="8">
        <v>0</v>
      </c>
      <c r="H10" s="1">
        <f>MAX($D$18-E10,1)</f>
        <v>9</v>
      </c>
      <c r="I10" s="1">
        <f>MAX($D$18+$D$23-E10,1)</f>
        <v>14</v>
      </c>
      <c r="J10" s="1">
        <f>ROUNDUP(C10/H10,0)</f>
        <v>7</v>
      </c>
      <c r="K10" s="1">
        <f>ROUNDUP(C10/I10,0)</f>
        <v>4</v>
      </c>
      <c r="L10" s="1">
        <f>MAX(D10-$E$18,1)</f>
        <v>5</v>
      </c>
      <c r="M10" s="1">
        <f>MAX(D10-$E$18-$D$24,1)</f>
        <v>2</v>
      </c>
      <c r="N10" s="7" t="s">
        <v>160</v>
      </c>
      <c r="O10" s="7">
        <v>100</v>
      </c>
      <c r="P10" s="7">
        <v>15</v>
      </c>
      <c r="Q10" s="7">
        <v>5</v>
      </c>
      <c r="R10" s="7">
        <v>2</v>
      </c>
      <c r="S10" s="9">
        <v>0</v>
      </c>
    </row>
    <row r="11" spans="1:19" ht="26" customHeight="1">
      <c r="A11" s="1" t="s">
        <v>120</v>
      </c>
      <c r="B11" s="1" t="s">
        <v>161</v>
      </c>
      <c r="C11" s="6">
        <v>100</v>
      </c>
      <c r="D11" s="6">
        <v>11</v>
      </c>
      <c r="E11" s="6">
        <v>3</v>
      </c>
      <c r="F11" s="6">
        <v>1</v>
      </c>
      <c r="G11" s="8">
        <v>0</v>
      </c>
      <c r="H11" s="1">
        <f>MAX($D$18-E11,1)</f>
        <v>7</v>
      </c>
      <c r="I11" s="1">
        <f>MAX($D$18+$D$23-E11,1)</f>
        <v>12</v>
      </c>
      <c r="J11" s="1">
        <f>ROUNDUP(C11/H11,0)</f>
        <v>15</v>
      </c>
      <c r="K11" s="1">
        <f>ROUNDUP(C11/I11,0)</f>
        <v>9</v>
      </c>
      <c r="L11" s="1">
        <f>MAX(D11-$E$18,1)</f>
        <v>6</v>
      </c>
      <c r="M11" s="1">
        <f>MAX(D11-$E$18-$D$24,1)</f>
        <v>3</v>
      </c>
      <c r="N11" s="7" t="s">
        <v>162</v>
      </c>
      <c r="O11" s="7">
        <v>100</v>
      </c>
      <c r="P11" s="7">
        <v>15</v>
      </c>
      <c r="Q11" s="7">
        <v>5</v>
      </c>
      <c r="R11" s="7">
        <v>1</v>
      </c>
      <c r="S11" s="9">
        <v>0</v>
      </c>
    </row>
    <row r="12" spans="1:19" ht="26" customHeight="1">
      <c r="A12" s="1" t="s">
        <v>121</v>
      </c>
      <c r="B12" s="1" t="s">
        <v>163</v>
      </c>
      <c r="C12" s="6">
        <v>145</v>
      </c>
      <c r="D12" s="6">
        <v>10</v>
      </c>
      <c r="E12" s="6">
        <v>4</v>
      </c>
      <c r="F12" s="6">
        <v>2</v>
      </c>
      <c r="G12" s="8">
        <v>0</v>
      </c>
      <c r="H12" s="1">
        <f>MAX($D$18-E12,1)</f>
        <v>6</v>
      </c>
      <c r="I12" s="1">
        <f>MAX($D$18+$D$23-E12,1)</f>
        <v>11</v>
      </c>
      <c r="J12" s="1">
        <f>ROUNDUP(C12/H12,0)</f>
        <v>25</v>
      </c>
      <c r="K12" s="1">
        <f>ROUNDUP(C12/I12,0)</f>
        <v>14</v>
      </c>
      <c r="L12" s="1">
        <f>MAX(D12-$E$18,1)</f>
        <v>5</v>
      </c>
      <c r="M12" s="1">
        <f>MAX(D12-$E$18-$D$24,1)</f>
        <v>2</v>
      </c>
      <c r="N12" s="7" t="s">
        <v>164</v>
      </c>
      <c r="O12" s="7">
        <v>100</v>
      </c>
      <c r="P12" s="7">
        <v>15</v>
      </c>
      <c r="Q12" s="7">
        <v>5</v>
      </c>
      <c r="R12" s="7">
        <v>1</v>
      </c>
      <c r="S12" s="9">
        <v>0.2</v>
      </c>
    </row>
    <row r="13" spans="1:19" ht="26" customHeight="1">
      <c r="A13" s="1" t="s">
        <v>21</v>
      </c>
      <c r="B13" s="1" t="s">
        <v>41</v>
      </c>
      <c r="C13" s="6">
        <v>220</v>
      </c>
      <c r="D13" s="6">
        <v>13</v>
      </c>
      <c r="E13" s="6">
        <v>4</v>
      </c>
      <c r="F13" s="6">
        <v>3</v>
      </c>
      <c r="G13" s="8">
        <v>0</v>
      </c>
      <c r="H13" s="1">
        <f>MAX($D$18-E13,1)</f>
        <v>6</v>
      </c>
      <c r="I13" s="1">
        <f>MAX($D$18+$D$23-E13,1)</f>
        <v>11</v>
      </c>
      <c r="J13" s="1">
        <f>ROUNDUP(C13/H13,0)</f>
        <v>37</v>
      </c>
      <c r="K13" s="1">
        <f>ROUNDUP(C13/I13,0)</f>
        <v>20</v>
      </c>
      <c r="L13" s="1">
        <f>MAX(D13-$E$18,1)</f>
        <v>8</v>
      </c>
      <c r="M13" s="1">
        <f>MAX(D13-$E$18-$D$24,1)</f>
        <v>5</v>
      </c>
      <c r="N13" s="7" t="s">
        <v>165</v>
      </c>
      <c r="O13" s="7">
        <v>150</v>
      </c>
      <c r="P13" s="7">
        <v>17</v>
      </c>
      <c r="Q13" s="7">
        <v>7</v>
      </c>
      <c r="R13" s="7">
        <v>1</v>
      </c>
      <c r="S13" s="9">
        <v>0</v>
      </c>
    </row>
    <row r="14" spans="1:19" ht="26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6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40" customHeight="1">
      <c r="A17" s="5" t="s">
        <v>166</v>
      </c>
      <c r="B17" s="5" t="s">
        <v>167</v>
      </c>
      <c r="C17" s="5" t="s">
        <v>168</v>
      </c>
      <c r="D17" s="5" t="s">
        <v>169</v>
      </c>
      <c r="E17" s="5" t="s">
        <v>170</v>
      </c>
      <c r="F17" s="5" t="s">
        <v>143</v>
      </c>
      <c r="G17" s="5" t="s">
        <v>171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6" customHeight="1">
      <c r="A18" s="1" t="s">
        <v>172</v>
      </c>
      <c r="B18" s="1" t="s">
        <v>173</v>
      </c>
      <c r="C18" s="6">
        <v>100</v>
      </c>
      <c r="D18" s="6">
        <v>10</v>
      </c>
      <c r="E18" s="6">
        <v>5</v>
      </c>
      <c r="F18" s="6">
        <v>1</v>
      </c>
      <c r="G18" s="6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6" customHeight="1">
      <c r="A19" s="1" t="s">
        <v>172</v>
      </c>
      <c r="B19" s="1" t="s">
        <v>174</v>
      </c>
      <c r="C19" s="6">
        <v>80</v>
      </c>
      <c r="D19" s="6">
        <v>13</v>
      </c>
      <c r="E19" s="6">
        <v>3</v>
      </c>
      <c r="F19" s="6">
        <v>2</v>
      </c>
      <c r="G19" s="6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6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6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6" customHeight="1">
      <c r="A22" s="14" t="s">
        <v>175</v>
      </c>
      <c r="B22" s="14" t="s">
        <v>175</v>
      </c>
      <c r="C22" s="14" t="s">
        <v>175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6" customHeight="1">
      <c r="A23" s="14" t="s">
        <v>176</v>
      </c>
      <c r="B23" s="14" t="s">
        <v>176</v>
      </c>
      <c r="C23" s="14" t="s">
        <v>176</v>
      </c>
      <c r="D23" s="6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6" customHeight="1">
      <c r="A24" s="14" t="s">
        <v>177</v>
      </c>
      <c r="B24" s="14" t="s">
        <v>177</v>
      </c>
      <c r="C24" s="14" t="s">
        <v>177</v>
      </c>
      <c r="D24" s="6">
        <v>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6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6" customHeight="1">
      <c r="A27" s="14" t="s">
        <v>178</v>
      </c>
      <c r="B27" s="14" t="s">
        <v>178</v>
      </c>
      <c r="C27" s="14" t="s">
        <v>178</v>
      </c>
      <c r="D27" s="14" t="s">
        <v>178</v>
      </c>
      <c r="E27" s="14" t="s">
        <v>178</v>
      </c>
      <c r="F27" s="14" t="s">
        <v>178</v>
      </c>
      <c r="G27" s="14" t="s">
        <v>178</v>
      </c>
      <c r="H27" s="14" t="s">
        <v>178</v>
      </c>
      <c r="I27" s="14" t="s">
        <v>178</v>
      </c>
      <c r="J27" s="14" t="s">
        <v>178</v>
      </c>
      <c r="K27" s="14" t="s">
        <v>178</v>
      </c>
      <c r="L27" s="14" t="s">
        <v>178</v>
      </c>
      <c r="M27" s="14" t="s">
        <v>178</v>
      </c>
      <c r="N27" s="14" t="s">
        <v>178</v>
      </c>
      <c r="O27" s="14" t="s">
        <v>178</v>
      </c>
      <c r="P27" s="14" t="s">
        <v>178</v>
      </c>
      <c r="Q27" s="14" t="s">
        <v>178</v>
      </c>
      <c r="R27" s="14" t="s">
        <v>178</v>
      </c>
      <c r="S27" s="14" t="s">
        <v>178</v>
      </c>
    </row>
    <row r="28" spans="1:19" ht="26" customHeight="1">
      <c r="A28" s="14" t="s">
        <v>178</v>
      </c>
      <c r="B28" s="14" t="s">
        <v>178</v>
      </c>
      <c r="C28" s="14" t="s">
        <v>178</v>
      </c>
      <c r="D28" s="14" t="s">
        <v>178</v>
      </c>
      <c r="E28" s="14" t="s">
        <v>178</v>
      </c>
      <c r="F28" s="14" t="s">
        <v>178</v>
      </c>
      <c r="G28" s="14" t="s">
        <v>178</v>
      </c>
      <c r="H28" s="14" t="s">
        <v>178</v>
      </c>
      <c r="I28" s="14" t="s">
        <v>178</v>
      </c>
      <c r="J28" s="14" t="s">
        <v>178</v>
      </c>
      <c r="K28" s="14" t="s">
        <v>178</v>
      </c>
      <c r="L28" s="14" t="s">
        <v>178</v>
      </c>
      <c r="M28" s="14" t="s">
        <v>178</v>
      </c>
      <c r="N28" s="14" t="s">
        <v>178</v>
      </c>
      <c r="O28" s="14" t="s">
        <v>178</v>
      </c>
      <c r="P28" s="14" t="s">
        <v>178</v>
      </c>
      <c r="Q28" s="14" t="s">
        <v>178</v>
      </c>
      <c r="R28" s="14" t="s">
        <v>178</v>
      </c>
      <c r="S28" s="14" t="s">
        <v>178</v>
      </c>
    </row>
    <row r="29" spans="1:19" ht="26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6" customHeight="1">
      <c r="A30" s="14" t="s">
        <v>179</v>
      </c>
      <c r="B30" s="14" t="s">
        <v>179</v>
      </c>
      <c r="C30" s="14" t="s">
        <v>179</v>
      </c>
      <c r="D30" s="14" t="s">
        <v>179</v>
      </c>
      <c r="E30" s="14" t="s">
        <v>179</v>
      </c>
      <c r="F30" s="14" t="s">
        <v>179</v>
      </c>
      <c r="G30" s="14" t="s">
        <v>179</v>
      </c>
      <c r="H30" s="14" t="s">
        <v>179</v>
      </c>
      <c r="I30" s="14" t="s">
        <v>179</v>
      </c>
      <c r="J30" s="14" t="s">
        <v>179</v>
      </c>
      <c r="K30" s="14" t="s">
        <v>179</v>
      </c>
      <c r="L30" s="14" t="s">
        <v>179</v>
      </c>
      <c r="M30" s="14" t="s">
        <v>179</v>
      </c>
      <c r="N30" s="14" t="s">
        <v>179</v>
      </c>
      <c r="O30" s="14" t="s">
        <v>179</v>
      </c>
      <c r="P30" s="14" t="s">
        <v>179</v>
      </c>
      <c r="Q30" s="14" t="s">
        <v>179</v>
      </c>
      <c r="R30" s="14" t="s">
        <v>179</v>
      </c>
      <c r="S30" s="14" t="s">
        <v>179</v>
      </c>
    </row>
    <row r="31" spans="1:19" ht="26" customHeight="1">
      <c r="A31" s="14" t="s">
        <v>179</v>
      </c>
      <c r="B31" s="14" t="s">
        <v>179</v>
      </c>
      <c r="C31" s="14" t="s">
        <v>179</v>
      </c>
      <c r="D31" s="14" t="s">
        <v>179</v>
      </c>
      <c r="E31" s="14" t="s">
        <v>179</v>
      </c>
      <c r="F31" s="14" t="s">
        <v>179</v>
      </c>
      <c r="G31" s="14" t="s">
        <v>179</v>
      </c>
      <c r="H31" s="14" t="s">
        <v>179</v>
      </c>
      <c r="I31" s="14" t="s">
        <v>179</v>
      </c>
      <c r="J31" s="14" t="s">
        <v>179</v>
      </c>
      <c r="K31" s="14" t="s">
        <v>179</v>
      </c>
      <c r="L31" s="14" t="s">
        <v>179</v>
      </c>
      <c r="M31" s="14" t="s">
        <v>179</v>
      </c>
      <c r="N31" s="14" t="s">
        <v>179</v>
      </c>
      <c r="O31" s="14" t="s">
        <v>179</v>
      </c>
      <c r="P31" s="14" t="s">
        <v>179</v>
      </c>
      <c r="Q31" s="14" t="s">
        <v>179</v>
      </c>
      <c r="R31" s="14" t="s">
        <v>179</v>
      </c>
      <c r="S31" s="14" t="s">
        <v>179</v>
      </c>
    </row>
    <row r="32" spans="1:19" ht="2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6" customHeight="1">
      <c r="A33" s="14" t="s">
        <v>180</v>
      </c>
      <c r="B33" s="14" t="s">
        <v>180</v>
      </c>
      <c r="C33" s="14" t="s">
        <v>180</v>
      </c>
      <c r="D33" s="14" t="s">
        <v>180</v>
      </c>
      <c r="E33" s="14" t="s">
        <v>180</v>
      </c>
      <c r="F33" s="14" t="s">
        <v>180</v>
      </c>
      <c r="G33" s="14" t="s">
        <v>180</v>
      </c>
      <c r="H33" s="14" t="s">
        <v>180</v>
      </c>
      <c r="I33" s="14" t="s">
        <v>180</v>
      </c>
      <c r="J33" s="14" t="s">
        <v>180</v>
      </c>
      <c r="K33" s="14" t="s">
        <v>180</v>
      </c>
      <c r="L33" s="14" t="s">
        <v>180</v>
      </c>
      <c r="M33" s="14" t="s">
        <v>180</v>
      </c>
      <c r="N33" s="14" t="s">
        <v>180</v>
      </c>
      <c r="O33" s="14" t="s">
        <v>180</v>
      </c>
      <c r="P33" s="14" t="s">
        <v>180</v>
      </c>
      <c r="Q33" s="14" t="s">
        <v>180</v>
      </c>
      <c r="R33" s="14" t="s">
        <v>180</v>
      </c>
      <c r="S33" s="14" t="s">
        <v>180</v>
      </c>
    </row>
    <row r="34" spans="1:19" ht="26" customHeight="1">
      <c r="A34" s="14" t="s">
        <v>180</v>
      </c>
      <c r="B34" s="14" t="s">
        <v>180</v>
      </c>
      <c r="C34" s="14" t="s">
        <v>180</v>
      </c>
      <c r="D34" s="14" t="s">
        <v>180</v>
      </c>
      <c r="E34" s="14" t="s">
        <v>180</v>
      </c>
      <c r="F34" s="14" t="s">
        <v>180</v>
      </c>
      <c r="G34" s="14" t="s">
        <v>180</v>
      </c>
      <c r="H34" s="14" t="s">
        <v>180</v>
      </c>
      <c r="I34" s="14" t="s">
        <v>180</v>
      </c>
      <c r="J34" s="14" t="s">
        <v>180</v>
      </c>
      <c r="K34" s="14" t="s">
        <v>180</v>
      </c>
      <c r="L34" s="14" t="s">
        <v>180</v>
      </c>
      <c r="M34" s="14" t="s">
        <v>180</v>
      </c>
      <c r="N34" s="14" t="s">
        <v>180</v>
      </c>
      <c r="O34" s="14" t="s">
        <v>180</v>
      </c>
      <c r="P34" s="14" t="s">
        <v>180</v>
      </c>
      <c r="Q34" s="14" t="s">
        <v>180</v>
      </c>
      <c r="R34" s="14" t="s">
        <v>180</v>
      </c>
      <c r="S34" s="14" t="s">
        <v>180</v>
      </c>
    </row>
    <row r="35" spans="1:19" ht="26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</sheetData>
  <mergeCells count="8">
    <mergeCell ref="A27:S28"/>
    <mergeCell ref="A30:S31"/>
    <mergeCell ref="A33:S34"/>
    <mergeCell ref="A2:M2"/>
    <mergeCell ref="A4:M4"/>
    <mergeCell ref="A22:C22"/>
    <mergeCell ref="A23:C23"/>
    <mergeCell ref="A24:C24"/>
  </mergeCells>
  <phoneticPr fontId="6" type="noConversion"/>
  <dataValidations count="2">
    <dataValidation type="whole" sqref="C9:C13" xr:uid="{00000000-0002-0000-0300-000000000000}">
      <formula1>1</formula1>
      <formula2>9999</formula2>
    </dataValidation>
    <dataValidation type="whole" sqref="D9:F13" xr:uid="{00000000-0002-0000-0300-000001000000}">
      <formula1>0</formula1>
      <formula2>9999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6943-C508-41EC-A4F8-5A54769D6563}">
  <dimension ref="E10:F16"/>
  <sheetViews>
    <sheetView workbookViewId="0">
      <selection activeCell="F17" sqref="F17"/>
    </sheetView>
  </sheetViews>
  <sheetFormatPr defaultRowHeight="14"/>
  <sheetData>
    <row r="10" spans="5:6">
      <c r="E10" t="s">
        <v>183</v>
      </c>
    </row>
    <row r="11" spans="5:6">
      <c r="F11" t="s">
        <v>184</v>
      </c>
    </row>
    <row r="12" spans="5:6">
      <c r="F12" t="s">
        <v>185</v>
      </c>
    </row>
    <row r="13" spans="5:6">
      <c r="F13" t="s">
        <v>186</v>
      </c>
    </row>
    <row r="14" spans="5:6">
      <c r="F14" t="s">
        <v>187</v>
      </c>
    </row>
    <row r="15" spans="5:6">
      <c r="F15" t="s">
        <v>188</v>
      </c>
    </row>
    <row r="16" spans="5:6">
      <c r="F16" t="s">
        <v>189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关卡总览</vt:lpstr>
      <vt:lpstr>路线生命</vt:lpstr>
      <vt:lpstr>波次与结算</vt:lpstr>
      <vt:lpstr>敌兵与开局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张毅 吴</cp:lastModifiedBy>
  <dcterms:modified xsi:type="dcterms:W3CDTF">2026-10-10T15:43:59Z</dcterms:modified>
</cp:coreProperties>
</file>