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d96a517b174a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调参总览" sheetId="1" r:id="R0c15cb32660f470e"/>
    <x:sheet xmlns:r="http://schemas.openxmlformats.org/officeDocument/2006/relationships" name="单位战力" sheetId="2" r:id="R067fa985fa604d35"/>
    <x:sheet xmlns:r="http://schemas.openxmlformats.org/officeDocument/2006/relationships" name="技能输出" sheetId="3" r:id="R41641ed3ee1c45fc"/>
    <x:sheet xmlns:r="http://schemas.openxmlformats.org/officeDocument/2006/relationships" name="波次压力" sheetId="4" r:id="R22f7f2f26af148d2"/>
    <x:sheet xmlns:r="http://schemas.openxmlformats.org/officeDocument/2006/relationships" name="效果与资源" sheetId="5" r:id="Rfbd3917edcf94f42"/>
    <x:sheet xmlns:r="http://schemas.openxmlformats.org/officeDocument/2006/relationships" name="路线收支" sheetId="6" r:id="R2c3d3af0f0084619"/>
    <x:sheet xmlns:r="http://schemas.openxmlformats.org/officeDocument/2006/relationships" name="试玩记录" sheetId="7" r:id="Rd731cfee354745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%"/>
    <x:numFmt numFmtId="202" formatCode="0.0%"/>
    <x:numFmt numFmtId="203" formatCode="0"/>
    <x:numFmt numFmtId="204" formatCode="0.0"/>
  </x:numFmts>
  <x:fonts count="5">
    <x:font>
      <x:sz val="11"/>
      <x:name val="Carlito"/>
    </x:font>
    <x:font>
      <x:sz val="10"/>
      <x:color rgb="FF243247"/>
      <x:name val="Arial"/>
    </x:font>
    <x:font>
      <x:b/>
      <x:sz val="14"/>
      <x:color rgb="FF243247"/>
      <x:name val="Arial"/>
    </x:font>
    <x:font>
      <x:b/>
      <x:sz val="10"/>
      <x:color rgb="FFFFFFFF"/>
      <x:name val="Arial"/>
    </x:font>
    <x:font>
      <x:sz val="10"/>
      <x:color rgb="FF865C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83D58"/>
      </x:patternFill>
    </x:fill>
    <x:fill>
      <x:patternFill patternType="solid">
        <x:fgColor rgb="FFFFF3CE"/>
      </x:patternFill>
    </x:fill>
    <x:fill>
      <x:patternFill patternType="solid">
        <x:fgColor rgb="FFEBEFF4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93A4B8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 wrapText="1"/>
    </x:xf>
    <x:xf numFmtId="200" fontId="3" fillId="2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3" fontId="4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4" fontId="4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AA3027"/>
      </x:font>
      <x:fill>
        <x:patternFill patternType="solid">
          <x:bgColor rgb="FFFDE1DC"/>
        </x:patternFill>
      </x:fill>
    </x:dxf>
    <x:dxf>
      <x:font>
        <x:color rgb="FF24569B"/>
      </x:font>
      <x:fill>
        <x:patternFill patternType="solid">
          <x:bgColor rgb="FFE2ECFA"/>
        </x:patternFill>
      </x:fill>
    </x:dxf>
    <x:dxf>
      <x:font>
        <x:color rgb="FFAA3027"/>
      </x:font>
      <x:fill>
        <x:patternFill patternType="solid">
          <x:bgColor rgb="FFFDE1DC"/>
        </x:patternFill>
      </x:fill>
    </x:dxf>
    <x:dxf>
      <x:font>
        <x:color rgb="FFAA3027"/>
      </x:font>
      <x:fill>
        <x:patternFill patternType="solid">
          <x:bgColor rgb="FFFDE1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2c570020e94f21" /><Relationship Type="http://schemas.openxmlformats.org/officeDocument/2006/relationships/theme" Target="/xl/theme/theme1.xml" Id="R57c7e3d304e548a6" /><Relationship Type="http://schemas.openxmlformats.org/officeDocument/2006/relationships/sharedStrings" Target="/xl/sharedStrings.xml" Id="R49487ac7e6ab4184" /><Relationship Type="http://schemas.openxmlformats.org/officeDocument/2006/relationships/worksheet" Target="/xl/worksheets/sheet1.xml" Id="R0c15cb32660f470e" /><Relationship Type="http://schemas.openxmlformats.org/officeDocument/2006/relationships/worksheet" Target="/xl/worksheets/sheet2.xml" Id="R067fa985fa604d35" /><Relationship Type="http://schemas.openxmlformats.org/officeDocument/2006/relationships/worksheet" Target="/xl/worksheets/sheet3.xml" Id="R41641ed3ee1c45fc" /><Relationship Type="http://schemas.openxmlformats.org/officeDocument/2006/relationships/worksheet" Target="/xl/worksheets/sheet4.xml" Id="R22f7f2f26af148d2" /><Relationship Type="http://schemas.openxmlformats.org/officeDocument/2006/relationships/worksheet" Target="/xl/worksheets/sheet5.xml" Id="Rfbd3917edcf94f42" /><Relationship Type="http://schemas.openxmlformats.org/officeDocument/2006/relationships/worksheet" Target="/xl/worksheets/sheet6.xml" Id="R2c3d3af0f0084619" /><Relationship Type="http://schemas.openxmlformats.org/officeDocument/2006/relationships/worksheet" Target="/xl/worksheets/sheet7.xml" Id="Rd731cfee3547458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122d301da9c441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level_001 波次压力（估算）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压力比</c:v>
          </c:tx>
          <c:spPr>
            <a:ln xmlns:a="http://schemas.openxmlformats.org/drawingml/2006/main" w="19050">
              <a:solidFill>
                <a:srgbClr val="476FA5"/>
              </a:solidFill>
              <a:prstDash val="solid"/>
            </a:ln>
          </c:spPr>
          <c:marker>
            <c:symbol val="none"/>
          </c:marker>
          <c:cat>
            <c:strRef>
              <c:f>'调参总览'!$A$46:$A$57</c:f>
              <c:strCache>
                <c:ptCount val="0"/>
              </c:strCache>
            </c:strRef>
          </c:cat>
          <c:val>
            <c:numRef>
              <c:f>'调参总览'!$D$46:$D$57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27</xdr:row>
      <xdr:rowOff>0</xdr:rowOff>
    </xdr:from>
    <xdr:to>
      <xdr:col>14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22d301da9c441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ea79c8216b34360" /></Relationships>
</file>

<file path=xl/worksheets/sheet1.xml><?xml version="1.0" encoding="utf-8"?>
<x:worksheet xmlns:x="http://schemas.openxmlformats.org/spreadsheetml/2006/main">
  <x:sheetPr>
    <x:tabColor rgb="FF283D5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7" hidden="0" customWidth="1"/>
    <x:col min="2" max="2" width="14" hidden="0" customWidth="1"/>
    <x:col min="3" max="3" width="14" hidden="0" customWidth="1"/>
    <x:col min="4" max="4" width="80" hidden="0" customWidth="1"/>
    <x:col min="5" max="5" width="14" hidden="0" customWidth="1"/>
    <x:col min="6" max="6" width="38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ballsprite 数值调参框架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30" customHeight="1">
      <x:c r="A4" s="2" t="str">
        <x:v>2026-10-08。黄色为可调输入；灰色为原始快照；白色为公式。战力和波次压力均为估算。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4" customHeight="1">
      <x:c r="A6" s="6"/>
      <x:c r="B6" s="6"/>
      <x:c r="C6" s="6"/>
      <x:c r="D6" s="6"/>
      <x:c r="E6" s="6"/>
      <x:c r="F6" s="6" t="str">
        <x:v>结果</x:v>
      </x:c>
      <x:c r="G6" s="6" t="str">
        <x:v>公式值</x:v>
      </x:c>
      <x:c r="H6" s="6"/>
      <x:c r="I6" s="6"/>
      <x:c r="J6" s="6"/>
      <x:c r="K6" s="6"/>
      <x:c r="L6" s="6"/>
      <x:c r="M6" s="6"/>
      <x:c r="N6" s="6"/>
    </x:row>
    <x:row r="7" ht="24" customHeight="1">
      <x:c r="A7" s="6"/>
      <x:c r="B7" s="6"/>
      <x:c r="C7" s="6"/>
      <x:c r="D7" s="6"/>
      <x:c r="E7" s="6"/>
      <x:c r="F7" s="6" t="str">
        <x:v>首手缺征召概率</x:v>
      </x:c>
      <x:c r="G7" s="14" t="n">
        <x:f>IF(OR(B22&lt;1,B23&lt;0,B23&gt;B22,B18&lt;0,B18&gt;B22),"参数无效",IF(B18&gt;B22-B23,0,COMBIN(B22-B23,B18)/COMBIN(B22,B18)))</x:f>
        <x:v>0.003968253968253968</x:v>
      </x:c>
      <x:c r="H7" s="6"/>
      <x:c r="I7" s="6"/>
      <x:c r="J7" s="6"/>
      <x:c r="K7" s="6"/>
      <x:c r="L7" s="6"/>
      <x:c r="M7" s="6"/>
      <x:c r="N7" s="6"/>
    </x:row>
    <x:row r="8" ht="24" customHeight="1">
      <x:c r="A8" s="6"/>
      <x:c r="B8" s="6"/>
      <x:c r="C8" s="6"/>
      <x:c r="D8" s="6"/>
      <x:c r="E8" s="6"/>
      <x:c r="F8" s="6" t="str">
        <x:v>首手缺前排概率</x:v>
      </x:c>
      <x:c r="G8" s="14" t="n">
        <x:f>IF(OR(B22&lt;1,B24&lt;0,B24&gt;B22,B18&lt;0,B18&gt;B22),"参数无效",IF(B18&gt;B22-B24,0,COMBIN(B22-B24,B18)/COMBIN(B22,B18)))</x:f>
        <x:v>0.08333333333333333</x:v>
      </x:c>
      <x:c r="H8" s="6"/>
      <x:c r="I8" s="6"/>
      <x:c r="J8" s="6"/>
      <x:c r="K8" s="6"/>
      <x:c r="L8" s="6"/>
      <x:c r="M8" s="6"/>
      <x:c r="N8" s="6"/>
    </x:row>
    <x:row r="9" ht="34" customHeight="1">
      <x:c r="A9" s="10" t="str">
        <x:v>参数</x:v>
      </x:c>
      <x:c r="B9" s="10" t="str">
        <x:v>当前值</x:v>
      </x:c>
      <x:c r="C9" s="10" t="str">
        <x:v>单位</x:v>
      </x:c>
      <x:c r="D9" s="10" t="str">
        <x:v>依据或调整用途</x:v>
      </x:c>
      <x:c r="E9" s="6"/>
      <x:c r="F9" s="6" t="str">
        <x:v>单位每费效率超上限数</x:v>
      </x:c>
      <x:c r="G9" s="18" t="n">
        <x:f>COUNTIF('单位战力'!Q7:Q27,"&gt;"&amp;B29)</x:f>
        <x:v>5</x:v>
      </x:c>
      <x:c r="H9" s="6"/>
      <x:c r="I9" s="6"/>
      <x:c r="J9" s="6"/>
      <x:c r="K9" s="6"/>
      <x:c r="L9" s="6"/>
      <x:c r="M9" s="6"/>
      <x:c r="N9" s="6"/>
    </x:row>
    <x:row r="10" ht="24" customHeight="1">
      <x:c r="A10" s="6" t="str">
        <x:v>参考来袭每击原伤</x:v>
      </x:c>
      <x:c r="B10" s="12" t="n">
        <x:v>15</x:v>
      </x:c>
      <x:c r="C10" s="6" t="str">
        <x:v>点</x:v>
      </x:c>
      <x:c r="D10" s="6" t="str">
        <x:v>假设；代表敌人普通攻击，改变它可检查防御阈值</x:v>
      </x:c>
      <x:c r="E10" s="6"/>
      <x:c r="F10" s="6" t="str">
        <x:v>单位每费效率低于下限数</x:v>
      </x:c>
      <x:c r="G10" s="18" t="n">
        <x:f>COUNTIF('单位战力'!Q7:Q27,"&lt;"&amp;B28)</x:f>
        <x:v>4</x:v>
      </x:c>
      <x:c r="H10" s="6"/>
      <x:c r="I10" s="6"/>
      <x:c r="J10" s="6"/>
      <x:c r="K10" s="6"/>
      <x:c r="L10" s="6"/>
      <x:c r="M10" s="6"/>
      <x:c r="N10" s="6"/>
    </x:row>
    <x:row r="11" ht="24" customHeight="1">
      <x:c r="A11" s="6" t="str">
        <x:v>参考目标防御</x:v>
      </x:c>
      <x:c r="B11" s="12" t="n">
        <x:v>5</x:v>
      </x:c>
      <x:c r="C11" s="6" t="str">
        <x:v>点</x:v>
      </x:c>
      <x:c r="D11" s="6" t="str">
        <x:v>快照中骷髅兵防御</x:v>
      </x:c>
      <x:c r="E11" s="6"/>
      <x:c r="F11" s="6"/>
      <x:c r="G11" s="6"/>
      <x:c r="H11" s="6"/>
      <x:c r="I11" s="6"/>
      <x:c r="J11" s="6"/>
      <x:c r="K11" s="6"/>
      <x:c r="L11" s="6"/>
      <x:c r="M11" s="6"/>
      <x:c r="N11" s="6"/>
    </x:row>
    <x:row r="12" ht="24" customHeight="1">
      <x:c r="A12" s="6" t="str">
        <x:v>参考目标闪避</x:v>
      </x:c>
      <x:c r="B12" s="13" t="n">
        <x:v>0</x:v>
      </x:c>
      <x:c r="C12" s="6" t="str">
        <x:v>概率</x:v>
      </x:c>
      <x:c r="D12" s="6" t="str">
        <x:v>假设；只有近战普通伤害能触发当前闪避规则</x:v>
      </x:c>
      <x:c r="E12" s="6"/>
      <x:c r="F12" s="6" t="str">
        <x:v>建议顺序</x:v>
      </x:c>
      <x:c r="G12" s="6"/>
      <x:c r="H12" s="6"/>
      <x:c r="I12" s="6"/>
      <x:c r="J12" s="6"/>
      <x:c r="K12" s="6"/>
      <x:c r="L12" s="6"/>
      <x:c r="M12" s="6"/>
      <x:c r="N12" s="6"/>
    </x:row>
    <x:row r="13" ht="24" customHeight="1">
      <x:c r="A13" s="6" t="str">
        <x:v>来袭近战伤害占比</x:v>
      </x:c>
      <x:c r="B13" s="13" t="n">
        <x:v>0.7</x:v>
      </x:c>
      <x:c r="C13" s="6" t="str">
        <x:v>比例</x:v>
      </x:c>
      <x:c r="D13" s="6" t="str">
        <x:v>假设；投射物与环境伤害不参与当前闪避</x:v>
      </x:c>
      <x:c r="E13" s="6"/>
      <x:c r="F13" s="6" t="str">
        <x:v>1. 先调单位与技能</x:v>
      </x:c>
      <x:c r="G13" s="6"/>
      <x:c r="H13" s="6"/>
      <x:c r="I13" s="6"/>
      <x:c r="J13" s="6"/>
      <x:c r="K13" s="6"/>
      <x:c r="L13" s="6"/>
      <x:c r="M13" s="6"/>
      <x:c r="N13" s="6"/>
    </x:row>
    <x:row r="14" ht="24" customHeight="1">
      <x:c r="A14" s="6" t="str">
        <x:v>参考交锋观察时间</x:v>
      </x:c>
      <x:c r="B14" s="17" t="n">
        <x:v>12</x:v>
      </x:c>
      <x:c r="C14" s="6" t="str">
        <x:v>秒</x:v>
      </x:c>
      <x:c r="D14" s="6" t="str">
        <x:v>估价窗口；不会限制游戏真实交锋</x:v>
      </x:c>
      <x:c r="E14" s="6"/>
      <x:c r="F14" s="6" t="str">
        <x:v>2. 再调敌阵与空波</x:v>
      </x:c>
      <x:c r="G14" s="6"/>
      <x:c r="H14" s="6"/>
      <x:c r="I14" s="6"/>
      <x:c r="J14" s="6"/>
      <x:c r="K14" s="6"/>
      <x:c r="L14" s="6"/>
      <x:c r="M14" s="6"/>
      <x:c r="N14" s="6"/>
    </x:row>
    <x:row r="15" ht="24" customHeight="1">
      <x:c r="A15" s="6" t="str">
        <x:v>首轮基础能量</x:v>
      </x:c>
      <x:c r="B15" s="17" t="n">
        <x:v>3</x:v>
      </x:c>
      <x:c r="C15" s="6" t="str">
        <x:v>点</x:v>
      </x:c>
      <x:c r="D15" s="6" t="str">
        <x:v>BattleLevelConfig 默认；5份关卡当前相同</x:v>
      </x:c>
      <x:c r="E15" s="6"/>
      <x:c r="F15" s="6" t="str">
        <x:v>3. 用路线检查生命收支</x:v>
      </x:c>
      <x:c r="G15" s="6"/>
      <x:c r="H15" s="6"/>
      <x:c r="I15" s="6"/>
      <x:c r="J15" s="6"/>
      <x:c r="K15" s="6"/>
      <x:c r="L15" s="6"/>
      <x:c r="M15" s="6"/>
      <x:c r="N15" s="6"/>
    </x:row>
    <x:row r="16" ht="24" customHeight="1">
      <x:c r="A16" s="6" t="str">
        <x:v>每轮能量成长</x:v>
      </x:c>
      <x:c r="B16" s="17" t="n">
        <x:v>1</x:v>
      </x:c>
      <x:c r="C16" s="6" t="str">
        <x:v>点</x:v>
      </x:c>
      <x:c r="D16" s="6" t="str">
        <x:v>BattleLevelConfig 默认</x:v>
      </x:c>
      <x:c r="E16" s="6"/>
      <x:c r="F16" s="6" t="str">
        <x:v>4. 试玩记录相同版本与策略</x:v>
      </x:c>
      <x:c r="G16" s="6"/>
      <x:c r="H16" s="6"/>
      <x:c r="I16" s="6"/>
      <x:c r="J16" s="6"/>
      <x:c r="K16" s="6"/>
      <x:c r="L16" s="6"/>
      <x:c r="M16" s="6"/>
      <x:c r="N16" s="6"/>
    </x:row>
    <x:row r="17" ht="24" customHeight="1">
      <x:c r="A17" s="6" t="str">
        <x:v>基础能量上限</x:v>
      </x:c>
      <x:c r="B17" s="17" t="n">
        <x:v>10</x:v>
      </x:c>
      <x:c r="C17" s="6" t="str">
        <x:v>点</x:v>
      </x:c>
      <x:c r="D17" s="6" t="str">
        <x:v>额外能量不受此上限截断</x:v>
      </x:c>
      <x:c r="E17" s="6"/>
      <x:c r="F17" s="6"/>
      <x:c r="G17" s="6"/>
      <x:c r="H17" s="6"/>
      <x:c r="I17" s="6"/>
      <x:c r="J17" s="6"/>
      <x:c r="K17" s="6"/>
      <x:c r="L17" s="6"/>
      <x:c r="M17" s="6"/>
      <x:c r="N17" s="6"/>
    </x:row>
    <x:row r="18" ht="24" customHeight="1">
      <x:c r="A18" s="6" t="str">
        <x:v>每轮常规抽牌</x:v>
      </x:c>
      <x:c r="B18" s="17" t="n">
        <x:v>5</x:v>
      </x:c>
      <x:c r="C18" s="6" t="str">
        <x:v>张</x:v>
      </x:c>
      <x:c r="D18" s="6" t="str">
        <x:v>当前关卡快照；用实际抽牌数校准</x:v>
      </x:c>
      <x:c r="E18" s="6"/>
      <x:c r="F18" s="6" t="str">
        <x:v>仅改表格不会修改游戏资源</x:v>
      </x:c>
      <x:c r="G18" s="6"/>
      <x:c r="H18" s="6"/>
      <x:c r="I18" s="6"/>
      <x:c r="J18" s="6"/>
      <x:c r="K18" s="6"/>
      <x:c r="L18" s="6"/>
      <x:c r="M18" s="6"/>
      <x:c r="N18" s="6"/>
    </x:row>
    <x:row r="19" ht="24" customHeight="1">
      <x:c r="A19" s="6" t="str">
        <x:v>本局附加能量上限</x:v>
      </x:c>
      <x:c r="B19" s="17" t="n">
        <x:v>0</x:v>
      </x:c>
      <x:c r="C19" s="6" t="str">
        <x:v>点</x:v>
      </x:c>
      <x:c r="D19" s="6" t="str">
        <x:v>当前开局0，可试储能水晶+1</x:v>
      </x:c>
      <x:c r="E19" s="6"/>
      <x:c r="F19" s="6"/>
      <x:c r="G19" s="6"/>
      <x:c r="H19" s="6"/>
      <x:c r="I19" s="6"/>
      <x:c r="J19" s="6"/>
      <x:c r="K19" s="6"/>
      <x:c r="L19" s="6"/>
      <x:c r="M19" s="6"/>
      <x:c r="N19" s="6"/>
    </x:row>
    <x:row r="20" ht="24" customHeight="1">
      <x:c r="A20" s="6" t="str">
        <x:v>抽牌遗物阈值</x:v>
      </x:c>
      <x:c r="B20" s="17" t="n">
        <x:v>10</x:v>
      </x:c>
      <x:c r="C20" s="6" t="str">
        <x:v>张</x:v>
      </x:c>
      <x:c r="D20" s="6" t="str">
        <x:v>十抽引擎；模型从计数0开始</x:v>
      </x:c>
      <x:c r="E20" s="6"/>
      <x:c r="F20" s="6" t="str">
        <x:v>目前停用或价值受限的效果</x:v>
      </x:c>
      <x:c r="G20" s="6"/>
      <x:c r="H20" s="6"/>
      <x:c r="I20" s="6"/>
      <x:c r="J20" s="6"/>
      <x:c r="K20" s="6"/>
      <x:c r="L20" s="6"/>
      <x:c r="M20" s="6"/>
      <x:c r="N20" s="6"/>
    </x:row>
    <x:row r="21" ht="24" customHeight="1">
      <x:c r="A21" s="6" t="str">
        <x:v>抽牌遗物能量</x:v>
      </x:c>
      <x:c r="B21" s="17" t="n">
        <x:v>1</x:v>
      </x:c>
      <x:c r="C21" s="6" t="str">
        <x:v>点</x:v>
      </x:c>
      <x:c r="D21" s="6" t="str">
        <x:v>十抽引擎 amount</x:v>
      </x:c>
      <x:c r="E21" s="6"/>
      <x:c r="F21" s="6" t="str">
        <x:v>时长牌：运行时拒绝使用</x:v>
      </x:c>
      <x:c r="G21" s="6"/>
      <x:c r="H21" s="6"/>
      <x:c r="I21" s="6"/>
      <x:c r="J21" s="6"/>
      <x:c r="K21" s="6"/>
      <x:c r="L21" s="6"/>
      <x:c r="M21" s="6"/>
      <x:c r="N21" s="6"/>
    </x:row>
    <x:row r="22" ht="24" customHeight="1">
      <x:c r="A22" s="6" t="str">
        <x:v>牌组总张数</x:v>
      </x:c>
      <x:c r="B22" s="17" t="n">
        <x:v>10</x:v>
      </x:c>
      <x:c r="C22" s="6" t="str">
        <x:v>张</x:v>
      </x:c>
      <x:c r="D22" s="6" t="str">
        <x:v>开局3士兵+2弓手+2防御+3强化</x:v>
      </x:c>
      <x:c r="E22" s="6"/>
      <x:c r="F22" s="6" t="str">
        <x:v>治疗牌：准备阶段通常满血</x:v>
      </x:c>
      <x:c r="G22" s="6"/>
      <x:c r="H22" s="6"/>
      <x:c r="I22" s="6"/>
      <x:c r="J22" s="6"/>
      <x:c r="K22" s="6"/>
      <x:c r="L22" s="6"/>
      <x:c r="M22" s="6"/>
      <x:c r="N22" s="6"/>
    </x:row>
    <x:row r="23" ht="24" customHeight="1">
      <x:c r="A23" s="6" t="str">
        <x:v>征召牌张数</x:v>
      </x:c>
      <x:c r="B23" s="17" t="n">
        <x:v>5</x:v>
      </x:c>
      <x:c r="C23" s="6" t="str">
        <x:v>张</x:v>
      </x:c>
      <x:c r="D23" s="6" t="str">
        <x:v>开局3士兵+2弓手</x:v>
      </x:c>
      <x:c r="E23" s="6"/>
      <x:c r="F23" s="6" t="str">
        <x:v>毒伤：只在回合末扣幸存者</x:v>
      </x:c>
      <x:c r="G23" s="6"/>
      <x:c r="H23" s="6"/>
      <x:c r="I23" s="6"/>
      <x:c r="J23" s="6"/>
      <x:c r="K23" s="6"/>
      <x:c r="L23" s="6"/>
      <x:c r="M23" s="6"/>
      <x:c r="N23" s="6"/>
    </x:row>
    <x:row r="24" ht="24" customHeight="1">
      <x:c r="A24" s="6" t="str">
        <x:v>前排征召牌张数</x:v>
      </x:c>
      <x:c r="B24" s="17" t="n">
        <x:v>3</x:v>
      </x:c>
      <x:c r="C24" s="6" t="str">
        <x:v>张</x:v>
      </x:c>
      <x:c r="D24" s="6" t="str">
        <x:v>开局3士兵</x:v>
      </x:c>
      <x:c r="E24" s="6"/>
      <x:c r="F24" s="6" t="str">
        <x:v>开局护甲：只影响首次开打队伍</x:v>
      </x:c>
      <x:c r="G24" s="6"/>
      <x:c r="H24" s="6"/>
      <x:c r="I24" s="6"/>
      <x:c r="J24" s="6"/>
      <x:c r="K24" s="6"/>
      <x:c r="L24" s="6"/>
      <x:c r="M24" s="6"/>
      <x:c r="N24" s="6"/>
    </x:row>
    <x:row r="25" ht="24" customHeight="1">
      <x:c r="A25" s="6" t="str">
        <x:v>能量用于有效征召的比例</x:v>
      </x:c>
      <x:c r="B25" s="13" t="n">
        <x:v>0.7</x:v>
      </x:c>
      <x:c r="C25" s="6" t="str">
        <x:v>比例</x:v>
      </x:c>
      <x:c r="D25" s="6" t="str">
        <x:v>假设；剩余能量分配给效果牌或未使用</x:v>
      </x:c>
      <x:c r="E25" s="6"/>
      <x:c r="F25" s="6"/>
      <x:c r="G25" s="6"/>
      <x:c r="H25" s="6"/>
      <x:c r="I25" s="6"/>
      <x:c r="J25" s="6"/>
      <x:c r="K25" s="6"/>
      <x:c r="L25" s="6"/>
      <x:c r="M25" s="6"/>
      <x:c r="N25" s="6"/>
    </x:row>
    <x:row r="26" ht="24" customHeight="1">
      <x:c r="A26" s="6" t="str">
        <x:v>每张征召牌每轮平均退场次数</x:v>
      </x:c>
      <x:c r="B26" s="12" t="n">
        <x:v>0.35</x:v>
      </x:c>
      <x:c r="C26" s="6" t="str">
        <x:v>次/轮</x:v>
      </x:c>
      <x:c r="D26" s="6" t="str">
        <x:v>估算输入，实际依赖洗牌和使用率</x:v>
      </x:c>
      <x:c r="E26" s="6"/>
      <x:c r="F26" s="6"/>
      <x:c r="G26" s="6"/>
      <x:c r="H26" s="6"/>
      <x:c r="I26" s="6"/>
      <x:c r="J26" s="6"/>
      <x:c r="K26" s="6"/>
      <x:c r="L26" s="6"/>
      <x:c r="M26" s="6"/>
      <x:c r="N26" s="6"/>
    </x:row>
    <x:row r="27" ht="24" customHeight="1">
      <x:c r="A27" s="6" t="str">
        <x:v>高费单位额外预算</x:v>
      </x:c>
      <x:c r="B27" s="12" t="n">
        <x:v>0.08</x:v>
      </x:c>
      <x:c r="C27" s="6" t="str">
        <x:v>比例/费</x:v>
      </x:c>
      <x:c r="D27" s="6" t="str">
        <x:v>设计假设，用来补偿占一张手牌与高费难出</x:v>
      </x:c>
      <x:c r="E27" s="6"/>
      <x:c r="F27" s="6"/>
      <x:c r="G27" s="6"/>
      <x:c r="H27" s="6"/>
      <x:c r="I27" s="6"/>
      <x:c r="J27" s="6"/>
      <x:c r="K27" s="6"/>
      <x:c r="L27" s="6"/>
      <x:c r="M27" s="6"/>
      <x:c r="N27" s="6"/>
    </x:row>
    <x:row r="28" ht="24" customHeight="1">
      <x:c r="A28" s="6" t="str">
        <x:v>单位每费效率低阈值</x:v>
      </x:c>
      <x:c r="B28" s="12" t="n">
        <x:v>0.75</x:v>
      </x:c>
      <x:c r="C28" s="6" t="str">
        <x:v>倍率</x:v>
      </x:c>
      <x:c r="D28" s="6" t="str">
        <x:v>设计诊断阈值，不能代替实战胜率</x:v>
      </x:c>
      <x:c r="E28" s="6"/>
      <x:c r="F28" s="6"/>
      <x:c r="G28" s="6"/>
      <x:c r="H28" s="6"/>
      <x:c r="I28" s="6"/>
      <x:c r="J28" s="6"/>
      <x:c r="K28" s="6"/>
      <x:c r="L28" s="6"/>
      <x:c r="M28" s="6"/>
      <x:c r="N28" s="6"/>
    </x:row>
    <x:row r="29" ht="24" customHeight="1">
      <x:c r="A29" s="6" t="str">
        <x:v>单位每费效率高阈值</x:v>
      </x:c>
      <x:c r="B29" s="12" t="n">
        <x:v>1.35</x:v>
      </x:c>
      <x:c r="C29" s="6" t="str">
        <x:v>倍率</x:v>
      </x:c>
      <x:c r="D29" s="6" t="str">
        <x:v>设计诊断阈值</x:v>
      </x:c>
      <x:c r="E29" s="6"/>
      <x:c r="F29" s="6"/>
      <x:c r="G29" s="6"/>
      <x:c r="H29" s="6"/>
      <x:c r="I29" s="6"/>
      <x:c r="J29" s="6"/>
      <x:c r="K29" s="6"/>
      <x:c r="L29" s="6"/>
      <x:c r="M29" s="6"/>
      <x:c r="N29" s="6"/>
    </x:row>
    <x:row r="30" ht="24" customHeight="1">
      <x:c r="A30" s="6" t="str">
        <x:v>治疗折算输出权重</x:v>
      </x:c>
      <x:c r="B30" s="12" t="n">
        <x:v>0.5</x:v>
      </x:c>
      <x:c r="C30" s="6" t="str">
        <x:v>系数</x:v>
      </x:c>
      <x:c r="D30" s="6" t="str">
        <x:v>假设；过量治疗和抢占攻击动画另在技能表控制</x:v>
      </x:c>
      <x:c r="E30" s="6"/>
      <x:c r="F30" s="6"/>
      <x:c r="G30" s="6"/>
      <x:c r="H30" s="6"/>
      <x:c r="I30" s="6"/>
      <x:c r="J30" s="6"/>
      <x:c r="K30" s="6"/>
      <x:c r="L30" s="6"/>
      <x:c r="M30" s="6"/>
      <x:c r="N30" s="6"/>
    </x:row>
    <x:row r="31" ht="24" customHeight="1">
      <x:c r="A31" s="6" t="str">
        <x:v>开局实际生命</x:v>
      </x:c>
      <x:c r="B31" s="17" t="n">
        <x:v>100</x:v>
      </x:c>
      <x:c r="C31" s="6" t="str">
        <x:v>点</x:v>
      </x:c>
      <x:c r="D31" s="6" t="str">
        <x:v>引擎导出80基础+坚城之心20；城防铁壁被拒绝</x:v>
      </x:c>
      <x:c r="E31" s="6"/>
      <x:c r="F31" s="6"/>
      <x:c r="G31" s="6"/>
      <x:c r="H31" s="6"/>
      <x:c r="I31" s="6"/>
      <x:c r="J31" s="6"/>
      <x:c r="K31" s="6"/>
      <x:c r="L31" s="6"/>
      <x:c r="M31" s="6"/>
      <x:c r="N31" s="6"/>
    </x:row>
    <x:row r="32" ht="24" customHeight="1">
      <x:c r="A32" s="6" t="str">
        <x:v>开局金币</x:v>
      </x:c>
      <x:c r="B32" s="17" t="n">
        <x:v>99</x:v>
      </x:c>
      <x:c r="C32" s="6" t="str">
        <x:v>金币</x:v>
      </x:c>
      <x:c r="D32" s="6" t="str">
        <x:v>RunStartData默认，尚无完整商店消耗闭环</x:v>
      </x:c>
      <x:c r="E32" s="6"/>
      <x:c r="F32" s="6"/>
      <x:c r="G32" s="6"/>
      <x:c r="H32" s="6"/>
      <x:c r="I32" s="6"/>
      <x:c r="J32" s="6"/>
      <x:c r="K32" s="6"/>
      <x:c r="L32" s="6"/>
      <x:c r="M32" s="6"/>
      <x:c r="N32" s="6"/>
    </x:row>
    <x:row r="33" ht="24" customHeight="1">
      <x:c r="A33" s="6" t="str">
        <x:v>每点玩家生命的能量估值</x:v>
      </x:c>
      <x:c r="B33" s="12" t="n">
        <x:v>0.25</x:v>
      </x:c>
      <x:c r="C33" s="6" t="str">
        <x:v>能量/点</x:v>
      </x:c>
      <x:c r="D33" s="6" t="str">
        <x:v>仅估价假设，依据少掉的生命和额外能量校准</x:v>
      </x:c>
      <x:c r="E33" s="6"/>
      <x:c r="F33" s="6"/>
      <x:c r="G33" s="6"/>
      <x:c r="H33" s="6"/>
      <x:c r="I33" s="6"/>
      <x:c r="J33" s="6"/>
      <x:c r="K33" s="6"/>
      <x:c r="L33" s="6"/>
      <x:c r="M33" s="6"/>
      <x:c r="N33" s="6"/>
    </x:row>
    <x:row r="34" ht="24" customHeight="1">
      <x:c r="A34" s="6" t="str">
        <x:v>模型参考征召初费</x:v>
      </x:c>
      <x:c r="B34" s="17" t="n">
        <x:v>1</x:v>
      </x:c>
      <x:c r="C34" s="6" t="str">
        <x:v>点</x:v>
      </x:c>
      <x:c r="D34" s="6" t="str">
        <x:v>士兵当前基础费用</x:v>
      </x:c>
      <x:c r="E34" s="6"/>
      <x:c r="F34" s="6"/>
      <x:c r="G34" s="6"/>
      <x:c r="H34" s="6"/>
      <x:c r="I34" s="6"/>
      <x:c r="J34" s="6"/>
      <x:c r="K34" s="6"/>
      <x:c r="L34" s="6"/>
      <x:c r="M34" s="6"/>
      <x:c r="N34" s="6"/>
    </x:row>
    <x:row r="35" ht="24" customHeight="1">
      <x:c r="A35" s="6" t="str">
        <x:v>95%区间 z 值</x:v>
      </x:c>
      <x:c r="B35" s="12" t="n">
        <x:v>1.96</x:v>
      </x:c>
      <x:c r="C35" s="6" t="str">
        <x:v>系数</x:v>
      </x:c>
      <x:c r="D35" s="6" t="str">
        <x:v>Wilson 区间</x:v>
      </x:c>
      <x:c r="E35" s="6"/>
      <x:c r="F35" s="6"/>
      <x:c r="G35" s="6"/>
      <x:c r="H35" s="6"/>
      <x:c r="I35" s="6"/>
      <x:c r="J35" s="6"/>
      <x:c r="K35" s="6"/>
      <x:c r="L35" s="6"/>
      <x:c r="M35" s="6"/>
      <x:c r="N35" s="6"/>
    </x:row>
    <x:row r="36" ht="24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</x:row>
    <x:row r="37" ht="24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</x:row>
    <x:row r="38" ht="24" customHeight="1">
      <x:c r="A38" s="6" t="str">
        <x:v>概率依据：https://docs.scipy.org/doc/scipy/reference/generated/scipy.stats.hypergeom.html</x:v>
      </x:c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</x:row>
    <x:row r="39" ht="24" customHeight="1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</x:row>
    <x:row r="40" ht="24" customHeight="1">
      <x:c r="A40" s="6" t="str">
        <x:v>调参时保持参考来袭与防御一致，避免把模型条件改变误认为单位本身被加强。</x:v>
      </x:c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</x:row>
    <x:row r="41" ht="24" customHeight="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</x:row>
    <x:row r="42" ht="24" customHeight="1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</x:row>
    <x:row r="43" ht="24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</x:row>
    <x:row r="44" ht="24" customHeight="1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</x:row>
    <x:row r="45" ht="34" customHeight="1">
      <x:c r="A45" s="10" t="str">
        <x:v>回合</x:v>
      </x:c>
      <x:c r="B45" s="10" t="str">
        <x:v>基础能量</x:v>
      </x:c>
      <x:c r="C45" s="10" t="str">
        <x:v>抽牌附加</x:v>
      </x:c>
      <x:c r="D45" s="10" t="str">
        <x:v>压力比</x:v>
      </x:c>
      <x:c r="E45" s="6"/>
      <x:c r="F45" s="6"/>
      <x:c r="G45" s="6"/>
      <x:c r="H45" s="6"/>
      <x:c r="I45" s="6"/>
      <x:c r="J45" s="6"/>
      <x:c r="K45" s="6"/>
      <x:c r="L45" s="6"/>
      <x:c r="M45" s="6"/>
      <x:c r="N45" s="6"/>
    </x:row>
    <x:row r="46" ht="24" customHeight="1">
      <x:c r="A46" s="6" t="str">
        <x:v>1</x:v>
      </x:c>
      <x:c r="B46" s="6" t="n">
        <x:f>'波次压力'!F7</x:f>
        <x:v>3</x:v>
      </x:c>
      <x:c r="C46" s="6" t="n">
        <x:f>'波次压力'!G7</x:f>
        <x:v>0</x:v>
      </x:c>
      <x:c r="D46" s="6" t="n">
        <x:f>'波次压力'!L7</x:f>
        <x:v>1.107325372299278</x:v>
      </x:c>
      <x:c r="E46" s="6"/>
      <x:c r="F46" s="6"/>
      <x:c r="G46" s="6"/>
      <x:c r="H46" s="6"/>
      <x:c r="I46" s="6"/>
      <x:c r="J46" s="6"/>
      <x:c r="K46" s="6"/>
      <x:c r="L46" s="6"/>
      <x:c r="M46" s="6"/>
      <x:c r="N46" s="6"/>
    </x:row>
    <x:row r="47" ht="24" customHeight="1">
      <x:c r="A47" s="6" t="str">
        <x:v>2</x:v>
      </x:c>
      <x:c r="B47" s="6" t="n">
        <x:f>'波次压力'!F8</x:f>
        <x:v>4</x:v>
      </x:c>
      <x:c r="C47" s="6" t="n">
        <x:f>'波次压力'!G8</x:f>
        <x:v>1</x:v>
      </x:c>
      <x:c r="D47" s="6" t="n">
        <x:f>'波次压力'!L8</x:f>
        <x:v>0.9301533127313932</x:v>
      </x:c>
      <x:c r="E47" s="6"/>
      <x:c r="F47" s="6"/>
      <x:c r="G47" s="6"/>
      <x:c r="H47" s="6"/>
      <x:c r="I47" s="6"/>
      <x:c r="J47" s="6"/>
      <x:c r="K47" s="6"/>
      <x:c r="L47" s="6"/>
      <x:c r="M47" s="6"/>
      <x:c r="N47" s="6"/>
    </x:row>
    <x:row r="48" ht="24" customHeight="1">
      <x:c r="A48" s="6" t="str">
        <x:v>3</x:v>
      </x:c>
      <x:c r="B48" s="6" t="n">
        <x:f>'波次压力'!F9</x:f>
        <x:v>5</x:v>
      </x:c>
      <x:c r="C48" s="6" t="n">
        <x:f>'波次压力'!G9</x:f>
        <x:v>0</x:v>
      </x:c>
      <x:c r="D48" s="6" t="n">
        <x:f>'波次压力'!L9</x:f>
        <x:v>1.7095754903651368</x:v>
      </x:c>
      <x:c r="E48" s="6"/>
      <x:c r="F48" s="6"/>
      <x:c r="G48" s="6"/>
      <x:c r="H48" s="6"/>
      <x:c r="I48" s="6"/>
      <x:c r="J48" s="6"/>
      <x:c r="K48" s="6"/>
      <x:c r="L48" s="6"/>
      <x:c r="M48" s="6"/>
      <x:c r="N48" s="6"/>
    </x:row>
    <x:row r="49" ht="24" customHeight="1">
      <x:c r="A49" s="6" t="str">
        <x:v>4</x:v>
      </x:c>
      <x:c r="B49" s="6" t="n">
        <x:f>'波次压力'!F10</x:f>
        <x:v>6</x:v>
      </x:c>
      <x:c r="C49" s="6" t="n">
        <x:f>'波次压力'!G10</x:f>
        <x:v>1</x:v>
      </x:c>
      <x:c r="D49" s="6" t="n">
        <x:f>'波次压力'!L10</x:f>
        <x:v>0</x:v>
      </x:c>
      <x:c r="E49" s="6"/>
      <x:c r="F49" s="6"/>
      <x:c r="G49" s="6"/>
      <x:c r="H49" s="6"/>
      <x:c r="I49" s="6"/>
      <x:c r="J49" s="6"/>
      <x:c r="K49" s="6"/>
      <x:c r="L49" s="6"/>
      <x:c r="M49" s="6"/>
      <x:c r="N49" s="6"/>
    </x:row>
    <x:row r="50" ht="24" customHeight="1">
      <x:c r="A50" s="6" t="str">
        <x:v>5</x:v>
      </x:c>
      <x:c r="B50" s="6" t="n">
        <x:f>'波次压力'!F11</x:f>
        <x:v>7</x:v>
      </x:c>
      <x:c r="C50" s="6" t="n">
        <x:f>'波次压力'!G11</x:f>
        <x:v>0</x:v>
      </x:c>
      <x:c r="D50" s="6" t="n">
        <x:f>'波次压力'!L11</x:f>
        <x:v>2.277926480158514</x:v>
      </x:c>
      <x:c r="E50" s="6"/>
      <x:c r="F50" s="6"/>
      <x:c r="G50" s="6"/>
      <x:c r="H50" s="6"/>
      <x:c r="I50" s="6"/>
      <x:c r="J50" s="6"/>
      <x:c r="K50" s="6"/>
      <x:c r="L50" s="6"/>
      <x:c r="M50" s="6"/>
      <x:c r="N50" s="6"/>
    </x:row>
    <x:row r="51" ht="24" customHeight="1">
      <x:c r="A51" s="6" t="str">
        <x:v>6</x:v>
      </x:c>
      <x:c r="B51" s="6" t="n">
        <x:f>'波次压力'!F12</x:f>
        <x:v>8</x:v>
      </x:c>
      <x:c r="C51" s="6" t="n">
        <x:f>'波次压力'!G12</x:f>
        <x:v>1</x:v>
      </x:c>
      <x:c r="D51" s="6" t="n">
        <x:f>'波次压力'!L12</x:f>
        <x:v>2.030096515882009</x:v>
      </x:c>
      <x:c r="E51" s="6"/>
      <x:c r="F51" s="6"/>
      <x:c r="G51" s="6"/>
      <x:c r="H51" s="6"/>
      <x:c r="I51" s="6"/>
      <x:c r="J51" s="6"/>
      <x:c r="K51" s="6"/>
      <x:c r="L51" s="6"/>
      <x:c r="M51" s="6"/>
      <x:c r="N51" s="6"/>
    </x:row>
    <x:row r="52" ht="24" customHeight="1">
      <x:c r="A52" s="6" t="str">
        <x:v>7</x:v>
      </x:c>
      <x:c r="B52" s="6" t="n">
        <x:f>'波次压力'!F13</x:f>
        <x:v>9</x:v>
      </x:c>
      <x:c r="C52" s="6" t="n">
        <x:f>'波次压力'!G13</x:f>
        <x:v>0</x:v>
      </x:c>
      <x:c r="D52" s="6" t="n">
        <x:f>'波次压力'!L13</x:f>
        <x:v>2.288472436085174</x:v>
      </x:c>
      <x:c r="E52" s="6"/>
      <x:c r="F52" s="6"/>
      <x:c r="G52" s="6"/>
      <x:c r="H52" s="6"/>
      <x:c r="I52" s="6"/>
      <x:c r="J52" s="6"/>
      <x:c r="K52" s="6"/>
      <x:c r="L52" s="6"/>
      <x:c r="M52" s="6"/>
      <x:c r="N52" s="6"/>
    </x:row>
    <x:row r="53" ht="24" customHeight="1">
      <x:c r="A53" s="6" t="str">
        <x:v>8</x:v>
      </x:c>
      <x:c r="B53" s="6" t="n">
        <x:f>'波次压力'!F14</x:f>
        <x:v>10</x:v>
      </x:c>
      <x:c r="C53" s="6" t="n">
        <x:f>'波次压力'!G14</x:f>
        <x:v>1</x:v>
      </x:c>
      <x:c r="D53" s="6" t="n">
        <x:f>'波次压力'!L14</x:f>
        <x:v>2.083785018781368</x:v>
      </x:c>
      <x:c r="E53" s="6"/>
      <x:c r="F53" s="6"/>
      <x:c r="G53" s="6"/>
      <x:c r="H53" s="6"/>
      <x:c r="I53" s="6"/>
      <x:c r="J53" s="6"/>
      <x:c r="K53" s="6"/>
      <x:c r="L53" s="6"/>
      <x:c r="M53" s="6"/>
      <x:c r="N53" s="6"/>
    </x:row>
    <x:row r="54" ht="24" customHeight="1">
      <x:c r="A54" s="6" t="str">
        <x:v>9</x:v>
      </x:c>
      <x:c r="B54" s="6" t="n">
        <x:f>'波次压力'!F15</x:f>
        <x:v>10</x:v>
      </x:c>
      <x:c r="C54" s="6" t="n">
        <x:f>'波次压力'!G15</x:f>
        <x:v>0</x:v>
      </x:c>
      <x:c r="D54" s="6" t="n">
        <x:f>'波次压力'!L15</x:f>
        <x:v>2.524701848842353</x:v>
      </x:c>
      <x:c r="E54" s="6"/>
      <x:c r="F54" s="6"/>
      <x:c r="G54" s="6"/>
      <x:c r="H54" s="6"/>
      <x:c r="I54" s="6"/>
      <x:c r="J54" s="6"/>
      <x:c r="K54" s="6"/>
      <x:c r="L54" s="6"/>
      <x:c r="M54" s="6"/>
      <x:c r="N54" s="6"/>
    </x:row>
    <x:row r="55" ht="24" customHeight="1">
      <x:c r="A55" s="6" t="str">
        <x:v>10</x:v>
      </x:c>
      <x:c r="B55" s="6" t="n">
        <x:f>'波次压力'!F16</x:f>
        <x:v>10</x:v>
      </x:c>
      <x:c r="C55" s="6" t="n">
        <x:f>'波次压力'!G16</x:f>
        <x:v>1</x:v>
      </x:c>
      <x:c r="D55" s="6" t="n">
        <x:f>'波次压力'!L16</x:f>
        <x:v>2.50658197911382</x:v>
      </x:c>
      <x:c r="E55" s="6"/>
      <x:c r="F55" s="6"/>
      <x:c r="G55" s="6"/>
      <x:c r="H55" s="6"/>
      <x:c r="I55" s="6"/>
      <x:c r="J55" s="6"/>
      <x:c r="K55" s="6"/>
      <x:c r="L55" s="6"/>
      <x:c r="M55" s="6"/>
      <x:c r="N55" s="6"/>
    </x:row>
    <x:row r="56" ht="24" customHeight="1">
      <x:c r="A56" s="6" t="str">
        <x:v>11</x:v>
      </x:c>
      <x:c r="B56" s="6" t="n">
        <x:f>'波次压力'!F17</x:f>
        <x:v>10</x:v>
      </x:c>
      <x:c r="C56" s="6" t="n">
        <x:f>'波次压力'!G17</x:f>
        <x:v>0</x:v>
      </x:c>
      <x:c r="D56" s="6" t="n">
        <x:f>'波次压力'!L17</x:f>
        <x:v>2.98977850520805</x:v>
      </x:c>
      <x:c r="E56" s="6"/>
      <x:c r="F56" s="6"/>
      <x:c r="G56" s="6"/>
      <x:c r="H56" s="6"/>
      <x:c r="I56" s="6"/>
      <x:c r="J56" s="6"/>
      <x:c r="K56" s="6"/>
      <x:c r="L56" s="6"/>
      <x:c r="M56" s="6"/>
      <x:c r="N56" s="6"/>
    </x:row>
    <x:row r="57" ht="24" customHeight="1">
      <x:c r="A57" s="6" t="str">
        <x:v>12</x:v>
      </x:c>
      <x:c r="B57" s="6" t="n">
        <x:f>'波次压力'!F18</x:f>
        <x:v>10</x:v>
      </x:c>
      <x:c r="C57" s="6" t="n">
        <x:f>'波次压力'!G18</x:f>
        <x:v>1</x:v>
      </x:c>
      <x:c r="D57" s="6" t="n">
        <x:f>'波次压力'!L18</x:f>
        <x:v>2.9293789394462713</x:v>
      </x:c>
      <x:c r="E57" s="6"/>
      <x:c r="F57" s="6"/>
      <x:c r="G57" s="6"/>
      <x:c r="H57" s="6"/>
      <x:c r="I57" s="6"/>
      <x:c r="J57" s="6"/>
      <x:c r="K57" s="6"/>
      <x:c r="L57" s="6"/>
      <x:c r="M57" s="6"/>
      <x:c r="N57" s="6"/>
    </x:row>
    <x:row r="58" ht="24" customHeight="1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</x:row>
    <x:row r="59" ht="24" customHeight="1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</x:row>
    <x:row r="60" ht="24" customHeight="1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</x:row>
    <x:row r="61" ht="24" customHeight="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</x:row>
    <x:row r="62" ht="24" customHeight="1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</x:row>
    <x:row r="63" ht="24" customHeight="1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</x:row>
    <x:row r="64" ht="24" customHeight="1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</x:row>
    <x:row r="65" ht="24" customHeight="1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</x:row>
  </x:sheetData>
  <x:pageMargins left="0.7" right="0.7" top="0.75" bottom="0.75" header="0.3" footer="0.3"/>
  <x:drawing xmlns:r="http://schemas.openxmlformats.org/officeDocument/2006/relationships" r:id="R8ea79c8216b34360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3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8" hidden="0" customWidth="1"/>
    <x:col min="21" max="21" width="55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4" customHeight="1">
      <x:c r="A2" s="4" t="str">
        <x:v>单位战力与费用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30" customHeight="1">
      <x:c r="A4" s="2" t="str">
        <x:v>士兵为1战力。这里只反推生命；治疗、反击和召唤另行折算。原始配置保留在W:AB。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40" customHeight="1">
      <x:c r="A6" s="10" t="str">
        <x:v>ID</x:v>
      </x:c>
      <x:c r="B6" s="10" t="str">
        <x:v>单位</x:v>
      </x:c>
      <x:c r="C6" s="10" t="str">
        <x:v>费用</x:v>
      </x:c>
      <x:c r="D6" s="10" t="str">
        <x:v>生命</x:v>
      </x:c>
      <x:c r="E6" s="10" t="str">
        <x:v>攻击</x:v>
      </x:c>
      <x:c r="F6" s="10" t="str">
        <x:v>防御</x:v>
      </x:c>
      <x:c r="G6" s="10" t="str">
        <x:v>闪避</x:v>
      </x:c>
      <x:c r="H6" s="10" t="str">
        <x:v>扣血值</x:v>
      </x:c>
      <x:c r="I6" s="10" t="str">
        <x:v>输出在线率</x:v>
      </x:c>
      <x:c r="J6" s="10" t="str">
        <x:v>阵型系数</x:v>
      </x:c>
      <x:c r="K6" s="10" t="str">
        <x:v>召唤附加战力</x:v>
      </x:c>
      <x:c r="L6" s="10" t="str">
        <x:v>反击DPS</x:v>
      </x:c>
      <x:c r="M6" s="10" t="str">
        <x:v>有效DPS</x:v>
      </x:c>
      <x:c r="N6" s="10" t="str">
        <x:v>有效HPS</x:v>
      </x:c>
      <x:c r="O6" s="10" t="str">
        <x:v>有效生命</x:v>
      </x:c>
      <x:c r="P6" s="10" t="str">
        <x:v>相对战力</x:v>
      </x:c>
      <x:c r="Q6" s="10" t="str">
        <x:v>每费战力</x:v>
      </x:c>
      <x:c r="R6" s="10" t="str">
        <x:v>目标战力</x:v>
      </x:c>
      <x:c r="S6" s="10" t="str">
        <x:v>反推生命</x:v>
      </x:c>
      <x:c r="T6" s="10" t="str">
        <x:v>诊断</x:v>
      </x:c>
      <x:c r="U6" s="10" t="str">
        <x:v>来源</x:v>
      </x:c>
      <x:c r="V6" s="10" t="str"/>
      <x:c r="W6" s="10" t="str">
        <x:v>原始费用</x:v>
      </x:c>
      <x:c r="X6" s="10" t="str">
        <x:v>原始生命</x:v>
      </x:c>
      <x:c r="Y6" s="10" t="str">
        <x:v>原始攻击</x:v>
      </x:c>
      <x:c r="Z6" s="10" t="str">
        <x:v>原始防御</x:v>
      </x:c>
      <x:c r="AA6" s="10" t="str">
        <x:v>原始闪避</x:v>
      </x:c>
      <x:c r="AB6" s="10" t="str">
        <x:v>原始扣血</x:v>
      </x:c>
    </x:row>
    <x:row r="7" ht="24" customHeight="1">
      <x:c r="A7" s="6" t="str">
        <x:v>archer</x:v>
      </x:c>
      <x:c r="B7" s="6" t="str">
        <x:v>弓箭手</x:v>
      </x:c>
      <x:c r="C7" s="17" t="n">
        <x:v>1</x:v>
      </x:c>
      <x:c r="D7" s="17" t="n">
        <x:v>80</x:v>
      </x:c>
      <x:c r="E7" s="17" t="n">
        <x:v>13</x:v>
      </x:c>
      <x:c r="F7" s="17" t="n">
        <x:v>3</x:v>
      </x:c>
      <x:c r="G7" s="13" t="n">
        <x:v>0</x:v>
      </x:c>
      <x:c r="H7" s="17" t="n">
        <x:v>2</x:v>
      </x:c>
      <x:c r="I7" s="13" t="n">
        <x:v>1</x:v>
      </x:c>
      <x:c r="J7" s="12" t="n">
        <x:v>1</x:v>
      </x:c>
      <x:c r="K7" s="12" t="n">
        <x:v>0</x:v>
      </x:c>
      <x:c r="L7" s="12" t="n">
        <x:v>0</x:v>
      </x:c>
      <x:c r="M7" s="6" t="n">
        <x:f>('技能输出'!O7+'技能输出'!O8)*I7+L7</x:f>
        <x:v>7.833333333333334</x:v>
      </x:c>
      <x:c r="N7" s="6" t="n">
        <x:f>('技能输出'!P7+'技能输出'!P8)*I7</x:f>
        <x:v>0</x:v>
      </x:c>
      <x:c r="O7" s="6" t="n">
        <x:f>IF(OR(D7&lt;=0,G7&lt;0,G7&gt;=1,'调参总览'!$B$10&lt;=0),"输入无效",D7*'调参总览'!$B$10/MAX('调参总览'!$B$10-F7,1)/(1-G7*'调参总览'!$B$13))</x:f>
        <x:v>100</x:v>
      </x:c>
      <x:c r="P7" s="6" t="n">
        <x:f>SQRT(O7/$O$23*(M7+N7*'调参总览'!$B$30)/($M$23+$N$23*'调参总览'!$B$30))*J7+K7</x:f>
        <x:v>0.8516505398197718</x:v>
      </x:c>
      <x:c r="Q7" s="6" t="n">
        <x:f>IF(C7&lt;=0,"单独估价",P7/C7)</x:f>
        <x:v>0.8516505398197718</x:v>
      </x:c>
      <x:c r="R7" s="6" t="n">
        <x:f>C7*(1+'调参总览'!$B$27*(C7-1))</x:f>
        <x:v>1</x:v>
      </x:c>
      <x:c r="S7" s="18" t="n">
        <x:f>IF(P7&lt;=K7,"待实测",MAX(5,ROUND(D7*((MAX(0,R7-K7))/(P7-K7))^2/5,0)*5))</x:f>
        <x:v>110</x:v>
      </x:c>
      <x:c r="T7" s="6" t="str">
        <x:f>IF(Q7&gt;'调参总览'!$B$29,"效率偏高",IF(Q7&lt;'调参总览'!$B$28,"效率偏低","参考区间内"))</x:f>
        <x:v>参考区间内</x:v>
      </x:c>
      <x:c r="U7" s="6" t="str">
        <x:v>res://data/units/archer.tres</x:v>
      </x:c>
      <x:c r="V7" s="6"/>
      <x:c r="W7" s="19" t="n">
        <x:v>1</x:v>
      </x:c>
      <x:c r="X7" s="19" t="n">
        <x:v>80</x:v>
      </x:c>
      <x:c r="Y7" s="19" t="n">
        <x:v>13</x:v>
      </x:c>
      <x:c r="Z7" s="19" t="n">
        <x:v>3</x:v>
      </x:c>
      <x:c r="AA7" s="20" t="n">
        <x:v>0</x:v>
      </x:c>
      <x:c r="AB7" s="19" t="n">
        <x:v>2</x:v>
      </x:c>
    </x:row>
    <x:row r="8" ht="24" customHeight="1">
      <x:c r="A8" s="6" t="str">
        <x:v>armored_axeman</x:v>
      </x:c>
      <x:c r="B8" s="6" t="str">
        <x:v>装甲斧手</x:v>
      </x:c>
      <x:c r="C8" s="17" t="n">
        <x:v>1</x:v>
      </x:c>
      <x:c r="D8" s="17" t="n">
        <x:v>200</x:v>
      </x:c>
      <x:c r="E8" s="17" t="n">
        <x:v>8</x:v>
      </x:c>
      <x:c r="F8" s="17" t="n">
        <x:v>7</x:v>
      </x:c>
      <x:c r="G8" s="13" t="n">
        <x:v>0</x:v>
      </x:c>
      <x:c r="H8" s="17" t="n">
        <x:v>1</x:v>
      </x:c>
      <x:c r="I8" s="13" t="n">
        <x:v>0.8</x:v>
      </x:c>
      <x:c r="J8" s="12" t="n">
        <x:v>1</x:v>
      </x:c>
      <x:c r="K8" s="12" t="n">
        <x:v>0</x:v>
      </x:c>
      <x:c r="L8" s="12" t="n">
        <x:v>0</x:v>
      </x:c>
      <x:c r="M8" s="6" t="n">
        <x:f>('技能输出'!O9+'技能输出'!O10+'技能输出'!O11)*I8+L8</x:f>
        <x:v>2.8266666666666667</x:v>
      </x:c>
      <x:c r="N8" s="6" t="n">
        <x:f>('技能输出'!P9+'技能输出'!P10+'技能输出'!P11)*I8</x:f>
        <x:v>0</x:v>
      </x:c>
      <x:c r="O8" s="6" t="n">
        <x:f>IF(OR(D8&lt;=0,G8&lt;0,G8&gt;=1,'调参总览'!$B$10&lt;=0),"输入无效",D8*'调参总览'!$B$10/MAX('调参总览'!$B$10-F8,1)/(1-G8*'调参总览'!$B$13))</x:f>
        <x:v>375</x:v>
      </x:c>
      <x:c r="P8" s="6" t="n">
        <x:f>SQRT(O8/$O$23*(M8+N8*'调参总览'!$B$30)/($M$23+$N$23*'调参总览'!$B$30))*J8+K8</x:f>
        <x:v>0.9906974722292782</x:v>
      </x:c>
      <x:c r="Q8" s="6" t="n">
        <x:f>IF(C8&lt;=0,"单独估价",P8/C8)</x:f>
        <x:v>0.9906974722292782</x:v>
      </x:c>
      <x:c r="R8" s="6" t="n">
        <x:f>C8*(1+'调参总览'!$B$27*(C8-1))</x:f>
        <x:v>1</x:v>
      </x:c>
      <x:c r="S8" s="18" t="n">
        <x:f>IF(P8&lt;=K8,"待实测",MAX(5,ROUND(D8*((MAX(0,R8-K8))/(P8-K8))^2/5,0)*5))</x:f>
        <x:v>205</x:v>
      </x:c>
      <x:c r="T8" s="6" t="str">
        <x:f>IF(Q8&gt;'调参总览'!$B$29,"效率偏高",IF(Q8&lt;'调参总览'!$B$28,"效率偏低","参考区间内"))</x:f>
        <x:v>参考区间内</x:v>
      </x:c>
      <x:c r="U8" s="6" t="str">
        <x:v>res://data/units/armored_axeman.tres</x:v>
      </x:c>
      <x:c r="V8" s="6"/>
      <x:c r="W8" s="19" t="n">
        <x:v>1</x:v>
      </x:c>
      <x:c r="X8" s="19" t="n">
        <x:v>200</x:v>
      </x:c>
      <x:c r="Y8" s="19" t="n">
        <x:v>8</x:v>
      </x:c>
      <x:c r="Z8" s="19" t="n">
        <x:v>7</x:v>
      </x:c>
      <x:c r="AA8" s="20" t="n">
        <x:v>0</x:v>
      </x:c>
      <x:c r="AB8" s="19" t="n">
        <x:v>1</x:v>
      </x:c>
    </x:row>
    <x:row r="9" ht="24" customHeight="1">
      <x:c r="A9" s="6" t="str">
        <x:v>armored_orc</x:v>
      </x:c>
      <x:c r="B9" s="6" t="str">
        <x:v>武装哥布林</x:v>
      </x:c>
      <x:c r="C9" s="17" t="n">
        <x:v>1</x:v>
      </x:c>
      <x:c r="D9" s="17" t="n">
        <x:v>100</x:v>
      </x:c>
      <x:c r="E9" s="17" t="n">
        <x:v>15</x:v>
      </x:c>
      <x:c r="F9" s="17" t="n">
        <x:v>5</x:v>
      </x:c>
      <x:c r="G9" s="13" t="n">
        <x:v>0.2</x:v>
      </x:c>
      <x:c r="H9" s="17" t="n">
        <x:v>1</x:v>
      </x:c>
      <x:c r="I9" s="13" t="n">
        <x:v>0.8</x:v>
      </x:c>
      <x:c r="J9" s="12" t="n">
        <x:v>1</x:v>
      </x:c>
      <x:c r="K9" s="12" t="n">
        <x:v>0</x:v>
      </x:c>
      <x:c r="L9" s="12" t="n">
        <x:v>0</x:v>
      </x:c>
      <x:c r="M9" s="6" t="n">
        <x:f>('技能输出'!O12+'技能输出'!O13)*I9+L9</x:f>
        <x:v>9.950000000000001</x:v>
      </x:c>
      <x:c r="N9" s="6" t="n">
        <x:f>('技能输出'!P12+'技能输出'!P13)*I9</x:f>
        <x:v>0</x:v>
      </x:c>
      <x:c r="O9" s="6" t="n">
        <x:f>IF(OR(D9&lt;=0,G9&lt;0,G9&gt;=1,'调参总览'!$B$10&lt;=0),"输入无效",D9*'调参总览'!$B$10/MAX('调参总览'!$B$10-F9,1)/(1-G9*'调参总览'!$B$13))</x:f>
        <x:v>174.41860465116278</x:v>
      </x:c>
      <x:c r="P9" s="6" t="n">
        <x:f>SQRT(O9/$O$23*(M9+N9*'调参总览'!$B$30)/($M$23+$N$23*'调参总览'!$B$30))*J9+K9</x:f>
        <x:v>1.2676403846134132</x:v>
      </x:c>
      <x:c r="Q9" s="6" t="n">
        <x:f>IF(C9&lt;=0,"单独估价",P9/C9)</x:f>
        <x:v>1.2676403846134132</x:v>
      </x:c>
      <x:c r="R9" s="6" t="n">
        <x:f>C9*(1+'调参总览'!$B$27*(C9-1))</x:f>
        <x:v>1</x:v>
      </x:c>
      <x:c r="S9" s="18" t="n">
        <x:f>IF(P9&lt;=K9,"待实测",MAX(5,ROUND(D9*((MAX(0,R9-K9))/(P9-K9))^2/5,0)*5))</x:f>
        <x:v>60</x:v>
      </x:c>
      <x:c r="T9" s="6" t="str">
        <x:f>IF(Q9&gt;'调参总览'!$B$29,"效率偏高",IF(Q9&lt;'调参总览'!$B$28,"效率偏低","参考区间内"))</x:f>
        <x:v>参考区间内</x:v>
      </x:c>
      <x:c r="U9" s="6" t="str">
        <x:v>res://data/units/armored_orc.tres</x:v>
      </x:c>
      <x:c r="V9" s="6"/>
      <x:c r="W9" s="19" t="n">
        <x:v>1</x:v>
      </x:c>
      <x:c r="X9" s="19" t="n">
        <x:v>100</x:v>
      </x:c>
      <x:c r="Y9" s="19" t="n">
        <x:v>15</x:v>
      </x:c>
      <x:c r="Z9" s="19" t="n">
        <x:v>5</x:v>
      </x:c>
      <x:c r="AA9" s="20" t="n">
        <x:v>0.2</x:v>
      </x:c>
      <x:c r="AB9" s="19" t="n">
        <x:v>1</x:v>
      </x:c>
    </x:row>
    <x:row r="10" ht="24" customHeight="1">
      <x:c r="A10" s="6" t="str">
        <x:v>bat</x:v>
      </x:c>
      <x:c r="B10" s="6" t="str">
        <x:v>蝙蝠</x:v>
      </x:c>
      <x:c r="C10" s="17" t="n">
        <x:v>1</x:v>
      </x:c>
      <x:c r="D10" s="17" t="n">
        <x:v>60</x:v>
      </x:c>
      <x:c r="E10" s="17" t="n">
        <x:v>10</x:v>
      </x:c>
      <x:c r="F10" s="17" t="n">
        <x:v>3</x:v>
      </x:c>
      <x:c r="G10" s="13" t="n">
        <x:v>0</x:v>
      </x:c>
      <x:c r="H10" s="17" t="n">
        <x:v>1</x:v>
      </x:c>
      <x:c r="I10" s="13" t="n">
        <x:v>0.8</x:v>
      </x:c>
      <x:c r="J10" s="12" t="n">
        <x:v>1</x:v>
      </x:c>
      <x:c r="K10" s="12" t="n">
        <x:v>0</x:v>
      </x:c>
      <x:c r="L10" s="12" t="n">
        <x:v>0</x:v>
      </x:c>
      <x:c r="M10" s="6" t="n">
        <x:f>('技能输出'!O14+'技能输出'!O15)*I10+L10</x:f>
        <x:v>4.933333333333334</x:v>
      </x:c>
      <x:c r="N10" s="6" t="n">
        <x:f>('技能输出'!P14+'技能输出'!P15)*I10</x:f>
        <x:v>0.9333333333333332</x:v>
      </x:c>
      <x:c r="O10" s="6" t="n">
        <x:f>IF(OR(D10&lt;=0,G10&lt;0,G10&gt;=1,'调参总览'!$B$10&lt;=0),"输入无效",D10*'调参总览'!$B$10/MAX('调参总览'!$B$10-F10,1)/(1-G10*'调参总览'!$B$13))</x:f>
        <x:v>75</x:v>
      </x:c>
      <x:c r="P10" s="6" t="n">
        <x:f>SQRT(O10/$O$23*(M10+N10*'调参总览'!$B$30)/($M$23+$N$23*'调参总览'!$B$30))*J10+K10</x:f>
        <x:v>0.6123724356957945</x:v>
      </x:c>
      <x:c r="Q10" s="6" t="n">
        <x:f>IF(C10&lt;=0,"单独估价",P10/C10)</x:f>
        <x:v>0.6123724356957945</x:v>
      </x:c>
      <x:c r="R10" s="6" t="n">
        <x:f>C10*(1+'调参总览'!$B$27*(C10-1))</x:f>
        <x:v>1</x:v>
      </x:c>
      <x:c r="S10" s="18" t="n">
        <x:f>IF(P10&lt;=K10,"待实测",MAX(5,ROUND(D10*((MAX(0,R10-K10))/(P10-K10))^2/5,0)*5))</x:f>
        <x:v>160</x:v>
      </x:c>
      <x:c r="T10" s="6" t="str">
        <x:f>IF(Q10&gt;'调参总览'!$B$29,"效率偏高",IF(Q10&lt;'调参总览'!$B$28,"效率偏低","参考区间内"))</x:f>
        <x:v>效率偏低</x:v>
      </x:c>
      <x:c r="U10" s="6" t="str">
        <x:v>res://data/units/bat.tres</x:v>
      </x:c>
      <x:c r="V10" s="6"/>
      <x:c r="W10" s="19" t="n">
        <x:v>1</x:v>
      </x:c>
      <x:c r="X10" s="19" t="n">
        <x:v>60</x:v>
      </x:c>
      <x:c r="Y10" s="19" t="n">
        <x:v>10</x:v>
      </x:c>
      <x:c r="Z10" s="19" t="n">
        <x:v>3</x:v>
      </x:c>
      <x:c r="AA10" s="20" t="n">
        <x:v>0</x:v>
      </x:c>
      <x:c r="AB10" s="19" t="n">
        <x:v>1</x:v>
      </x:c>
    </x:row>
    <x:row r="11" ht="24" customHeight="1">
      <x:c r="A11" s="6" t="str">
        <x:v>elite_orc</x:v>
      </x:c>
      <x:c r="B11" s="6" t="str">
        <x:v>精英哥布林</x:v>
      </x:c>
      <x:c r="C11" s="17" t="n">
        <x:v>1</x:v>
      </x:c>
      <x:c r="D11" s="17" t="n">
        <x:v>150</x:v>
      </x:c>
      <x:c r="E11" s="17" t="n">
        <x:v>17</x:v>
      </x:c>
      <x:c r="F11" s="17" t="n">
        <x:v>7</x:v>
      </x:c>
      <x:c r="G11" s="13" t="n">
        <x:v>0</x:v>
      </x:c>
      <x:c r="H11" s="17" t="n">
        <x:v>1</x:v>
      </x:c>
      <x:c r="I11" s="13" t="n">
        <x:v>0.8</x:v>
      </x:c>
      <x:c r="J11" s="12" t="n">
        <x:v>1</x:v>
      </x:c>
      <x:c r="K11" s="12" t="n">
        <x:v>0</x:v>
      </x:c>
      <x:c r="L11" s="12" t="n">
        <x:v>0</x:v>
      </x:c>
      <x:c r="M11" s="6" t="n">
        <x:f>('技能输出'!O16+'技能输出'!O17+'技能输出'!O18)*I11+L11</x:f>
        <x:v>15.12</x:v>
      </x:c>
      <x:c r="N11" s="6" t="n">
        <x:f>('技能输出'!P16+'技能输出'!P17+'技能输出'!P18)*I11</x:f>
        <x:v>0</x:v>
      </x:c>
      <x:c r="O11" s="6" t="n">
        <x:f>IF(OR(D11&lt;=0,G11&lt;0,G11&gt;=1,'调参总览'!$B$10&lt;=0),"输入无效",D11*'调参总览'!$B$10/MAX('调参总览'!$B$10-F11,1)/(1-G11*'调参总览'!$B$13))</x:f>
        <x:v>281.25</x:v>
      </x:c>
      <x:c r="P11" s="6" t="n">
        <x:f>SQRT(O11/$O$23*(M11+N11*'调参总览'!$B$30)/($M$23+$N$23*'调参总览'!$B$30))*J11+K11</x:f>
        <x:v>1.9843134832984428</x:v>
      </x:c>
      <x:c r="Q11" s="6" t="n">
        <x:f>IF(C11&lt;=0,"单独估价",P11/C11)</x:f>
        <x:v>1.9843134832984428</x:v>
      </x:c>
      <x:c r="R11" s="6" t="n">
        <x:f>C11*(1+'调参总览'!$B$27*(C11-1))</x:f>
        <x:v>1</x:v>
      </x:c>
      <x:c r="S11" s="18" t="n">
        <x:f>IF(P11&lt;=K11,"待实测",MAX(5,ROUND(D11*((MAX(0,R11-K11))/(P11-K11))^2/5,0)*5))</x:f>
        <x:v>40</x:v>
      </x:c>
      <x:c r="T11" s="6" t="str">
        <x:f>IF(Q11&gt;'调参总览'!$B$29,"效率偏高",IF(Q11&lt;'调参总览'!$B$28,"效率偏低","参考区间内"))</x:f>
        <x:v>效率偏高</x:v>
      </x:c>
      <x:c r="U11" s="6" t="str">
        <x:v>res://data/units/elite_orc.tres</x:v>
      </x:c>
      <x:c r="V11" s="6"/>
      <x:c r="W11" s="19" t="n">
        <x:v>1</x:v>
      </x:c>
      <x:c r="X11" s="19" t="n">
        <x:v>150</x:v>
      </x:c>
      <x:c r="Y11" s="19" t="n">
        <x:v>17</x:v>
      </x:c>
      <x:c r="Z11" s="19" t="n">
        <x:v>7</x:v>
      </x:c>
      <x:c r="AA11" s="20" t="n">
        <x:v>0</x:v>
      </x:c>
      <x:c r="AB11" s="19" t="n">
        <x:v>1</x:v>
      </x:c>
    </x:row>
    <x:row r="12" ht="24" customHeight="1">
      <x:c r="A12" s="6" t="str">
        <x:v>greatsword_skeleton</x:v>
      </x:c>
      <x:c r="B12" s="6" t="str">
        <x:v>骷髅剑士</x:v>
      </x:c>
      <x:c r="C12" s="17" t="n">
        <x:v>1</x:v>
      </x:c>
      <x:c r="D12" s="17" t="n">
        <x:v>80</x:v>
      </x:c>
      <x:c r="E12" s="17" t="n">
        <x:v>13</x:v>
      </x:c>
      <x:c r="F12" s="17" t="n">
        <x:v>4</x:v>
      </x:c>
      <x:c r="G12" s="13" t="n">
        <x:v>0</x:v>
      </x:c>
      <x:c r="H12" s="17" t="n">
        <x:v>1</x:v>
      </x:c>
      <x:c r="I12" s="13" t="n">
        <x:v>0.8</x:v>
      </x:c>
      <x:c r="J12" s="12" t="n">
        <x:v>1</x:v>
      </x:c>
      <x:c r="K12" s="12" t="n">
        <x:v>0</x:v>
      </x:c>
      <x:c r="L12" s="12" t="n">
        <x:v>0</x:v>
      </x:c>
      <x:c r="M12" s="6" t="n">
        <x:f>('技能输出'!O19+'技能输出'!O20+'技能输出'!O21)*I12+L12</x:f>
        <x:v>6.977777777777778</x:v>
      </x:c>
      <x:c r="N12" s="6" t="n">
        <x:f>('技能输出'!P19+'技能输出'!P20+'技能输出'!P21)*I12</x:f>
        <x:v>0</x:v>
      </x:c>
      <x:c r="O12" s="6" t="n">
        <x:f>IF(OR(D12&lt;=0,G12&lt;0,G12&gt;=1,'调参总览'!$B$10&lt;=0),"输入无效",D12*'调参总览'!$B$10/MAX('调参总览'!$B$10-F12,1)/(1-G12*'调参总览'!$B$13))</x:f>
        <x:v>109.0909090909091</x:v>
      </x:c>
      <x:c r="P12" s="6" t="n">
        <x:f>SQRT(O12/$O$23*(M12+N12*'调参总览'!$B$30)/($M$23+$N$23*'调参总览'!$B$30))*J12+K12</x:f>
        <x:v>0.8395391820274808</x:v>
      </x:c>
      <x:c r="Q12" s="6" t="n">
        <x:f>IF(C12&lt;=0,"单独估价",P12/C12)</x:f>
        <x:v>0.8395391820274808</x:v>
      </x:c>
      <x:c r="R12" s="6" t="n">
        <x:f>C12*(1+'调参总览'!$B$27*(C12-1))</x:f>
        <x:v>1</x:v>
      </x:c>
      <x:c r="S12" s="18" t="n">
        <x:f>IF(P12&lt;=K12,"待实测",MAX(5,ROUND(D12*((MAX(0,R12-K12))/(P12-K12))^2/5,0)*5))</x:f>
        <x:v>115</x:v>
      </x:c>
      <x:c r="T12" s="6" t="str">
        <x:f>IF(Q12&gt;'调参总览'!$B$29,"效率偏高",IF(Q12&lt;'调参总览'!$B$28,"效率偏低","参考区间内"))</x:f>
        <x:v>参考区间内</x:v>
      </x:c>
      <x:c r="U12" s="6" t="str">
        <x:v>res://data/units/greatsword_skeleton.tres</x:v>
      </x:c>
      <x:c r="V12" s="6"/>
      <x:c r="W12" s="19" t="n">
        <x:v>1</x:v>
      </x:c>
      <x:c r="X12" s="19" t="n">
        <x:v>80</x:v>
      </x:c>
      <x:c r="Y12" s="19" t="n">
        <x:v>13</x:v>
      </x:c>
      <x:c r="Z12" s="19" t="n">
        <x:v>4</x:v>
      </x:c>
      <x:c r="AA12" s="20" t="n">
        <x:v>0</x:v>
      </x:c>
      <x:c r="AB12" s="19" t="n">
        <x:v>1</x:v>
      </x:c>
    </x:row>
    <x:row r="13" ht="24" customHeight="1">
      <x:c r="A13" s="6" t="str">
        <x:v>knight</x:v>
      </x:c>
      <x:c r="B13" s="6" t="str">
        <x:v>骑士</x:v>
      </x:c>
      <x:c r="C13" s="17" t="n">
        <x:v>2</x:v>
      </x:c>
      <x:c r="D13" s="17" t="n">
        <x:v>800</x:v>
      </x:c>
      <x:c r="E13" s="17" t="n">
        <x:v>15</x:v>
      </x:c>
      <x:c r="F13" s="17" t="n">
        <x:v>5</x:v>
      </x:c>
      <x:c r="G13" s="13" t="n">
        <x:v>0.2</x:v>
      </x:c>
      <x:c r="H13" s="17" t="n">
        <x:v>3</x:v>
      </x:c>
      <x:c r="I13" s="13" t="n">
        <x:v>0.8</x:v>
      </x:c>
      <x:c r="J13" s="12" t="n">
        <x:v>1</x:v>
      </x:c>
      <x:c r="K13" s="12" t="n">
        <x:v>0</x:v>
      </x:c>
      <x:c r="L13" s="12" t="n">
        <x:v>0</x:v>
      </x:c>
      <x:c r="M13" s="6" t="n">
        <x:f>('技能输出'!O22+'技能输出'!O23)*I13+L13</x:f>
        <x:v>11.200000000000001</x:v>
      </x:c>
      <x:c r="N13" s="6" t="n">
        <x:f>('技能输出'!P22+'技能输出'!P23)*I13</x:f>
        <x:v>0</x:v>
      </x:c>
      <x:c r="O13" s="6" t="n">
        <x:f>IF(OR(D13&lt;=0,G13&lt;0,G13&gt;=1,'调参总览'!$B$10&lt;=0),"输入无效",D13*'调参总览'!$B$10/MAX('调参总览'!$B$10-F13,1)/(1-G13*'调参总览'!$B$13))</x:f>
        <x:v>1395.3488372093022</x:v>
      </x:c>
      <x:c r="P13" s="6" t="n">
        <x:f>SQRT(O13/$O$23*(M13+N13*'调参总览'!$B$30)/($M$23+$N$23*'调参总览'!$B$30))*J13+K13</x:f>
        <x:v>3.8039826810497046</x:v>
      </x:c>
      <x:c r="Q13" s="6" t="n">
        <x:f>IF(C13&lt;=0,"单独估价",P13/C13)</x:f>
        <x:v>1.9019913405248523</x:v>
      </x:c>
      <x:c r="R13" s="6" t="n">
        <x:f>C13*(1+'调参总览'!$B$27*(C13-1))</x:f>
        <x:v>2.16</x:v>
      </x:c>
      <x:c r="S13" s="18" t="n">
        <x:f>IF(P13&lt;=K13,"待实测",MAX(5,ROUND(D13*((MAX(0,R13-K13))/(P13-K13))^2/5,0)*5))</x:f>
        <x:v>260</x:v>
      </x:c>
      <x:c r="T13" s="6" t="str">
        <x:f>IF(Q13&gt;'调参总览'!$B$29,"效率偏高",IF(Q13&lt;'调参总览'!$B$28,"效率偏低","参考区间内"))</x:f>
        <x:v>效率偏高</x:v>
      </x:c>
      <x:c r="U13" s="6" t="str">
        <x:v>res://data/units/knight.tres</x:v>
      </x:c>
      <x:c r="V13" s="6"/>
      <x:c r="W13" s="19" t="n">
        <x:v>2</x:v>
      </x:c>
      <x:c r="X13" s="19" t="n">
        <x:v>800</x:v>
      </x:c>
      <x:c r="Y13" s="19" t="n">
        <x:v>15</x:v>
      </x:c>
      <x:c r="Z13" s="19" t="n">
        <x:v>5</x:v>
      </x:c>
      <x:c r="AA13" s="20" t="n">
        <x:v>0.2</x:v>
      </x:c>
      <x:c r="AB13" s="19" t="n">
        <x:v>3</x:v>
      </x:c>
    </x:row>
    <x:row r="14" ht="24" customHeight="1">
      <x:c r="A14" s="6" t="str">
        <x:v>knight_templar</x:v>
      </x:c>
      <x:c r="B14" s="6" t="str">
        <x:v>圣殿骑士</x:v>
      </x:c>
      <x:c r="C14" s="17" t="n">
        <x:v>2</x:v>
      </x:c>
      <x:c r="D14" s="17" t="n">
        <x:v>1000</x:v>
      </x:c>
      <x:c r="E14" s="17" t="n">
        <x:v>15</x:v>
      </x:c>
      <x:c r="F14" s="17" t="n">
        <x:v>5</x:v>
      </x:c>
      <x:c r="G14" s="13" t="n">
        <x:v>0.2</x:v>
      </x:c>
      <x:c r="H14" s="17" t="n">
        <x:v>3</x:v>
      </x:c>
      <x:c r="I14" s="13" t="n">
        <x:v>0.8</x:v>
      </x:c>
      <x:c r="J14" s="12" t="n">
        <x:v>1</x:v>
      </x:c>
      <x:c r="K14" s="12" t="n">
        <x:v>0</x:v>
      </x:c>
      <x:c r="L14" s="12" t="n">
        <x:v>0</x:v>
      </x:c>
      <x:c r="M14" s="6" t="n">
        <x:f>('技能输出'!O24+'技能输出'!O25)*I14+L14</x:f>
        <x:v>10.240000000000002</x:v>
      </x:c>
      <x:c r="N14" s="6" t="n">
        <x:f>('技能输出'!P24+'技能输出'!P25)*I14</x:f>
        <x:v>0</x:v>
      </x:c>
      <x:c r="O14" s="6" t="n">
        <x:f>IF(OR(D14&lt;=0,G14&lt;0,G14&gt;=1,'调参总览'!$B$10&lt;=0),"输入无效",D14*'调参总览'!$B$10/MAX('调参总览'!$B$10-F14,1)/(1-G14*'调参总览'!$B$13))</x:f>
        <x:v>1744.1860465116279</x:v>
      </x:c>
      <x:c r="P14" s="6" t="n">
        <x:f>SQRT(O14/$O$23*(M14+N14*'调参总览'!$B$30)/($M$23+$N$23*'调参总览'!$B$30))*J14+K14</x:f>
        <x:v>4.066628542202792</x:v>
      </x:c>
      <x:c r="Q14" s="6" t="n">
        <x:f>IF(C14&lt;=0,"单独估价",P14/C14)</x:f>
        <x:v>2.033314271101396</x:v>
      </x:c>
      <x:c r="R14" s="6" t="n">
        <x:f>C14*(1+'调参总览'!$B$27*(C14-1))</x:f>
        <x:v>2.16</x:v>
      </x:c>
      <x:c r="S14" s="18" t="n">
        <x:f>IF(P14&lt;=K14,"待实测",MAX(5,ROUND(D14*((MAX(0,R14-K14))/(P14-K14))^2/5,0)*5))</x:f>
        <x:v>280</x:v>
      </x:c>
      <x:c r="T14" s="6" t="str">
        <x:f>IF(Q14&gt;'调参总览'!$B$29,"效率偏高",IF(Q14&lt;'调参总览'!$B$28,"效率偏低","参考区间内"))</x:f>
        <x:v>效率偏高</x:v>
      </x:c>
      <x:c r="U14" s="6" t="str">
        <x:v>res://data/units/knight_templar.tres</x:v>
      </x:c>
      <x:c r="V14" s="6"/>
      <x:c r="W14" s="19" t="n">
        <x:v>2</x:v>
      </x:c>
      <x:c r="X14" s="19" t="n">
        <x:v>1000</x:v>
      </x:c>
      <x:c r="Y14" s="19" t="n">
        <x:v>15</x:v>
      </x:c>
      <x:c r="Z14" s="19" t="n">
        <x:v>5</x:v>
      </x:c>
      <x:c r="AA14" s="20" t="n">
        <x:v>0.2</x:v>
      </x:c>
      <x:c r="AB14" s="19" t="n">
        <x:v>3</x:v>
      </x:c>
    </x:row>
    <x:row r="15" ht="24" customHeight="1">
      <x:c r="A15" s="6" t="str">
        <x:v>lancer</x:v>
      </x:c>
      <x:c r="B15" s="6" t="str">
        <x:v>骑兵</x:v>
      </x:c>
      <x:c r="C15" s="17" t="n">
        <x:v>3</x:v>
      </x:c>
      <x:c r="D15" s="17" t="n">
        <x:v>1000</x:v>
      </x:c>
      <x:c r="E15" s="17" t="n">
        <x:v>15</x:v>
      </x:c>
      <x:c r="F15" s="17" t="n">
        <x:v>5</x:v>
      </x:c>
      <x:c r="G15" s="13" t="n">
        <x:v>0</x:v>
      </x:c>
      <x:c r="H15" s="17" t="n">
        <x:v>1</x:v>
      </x:c>
      <x:c r="I15" s="13" t="n">
        <x:v>1</x:v>
      </x:c>
      <x:c r="J15" s="12" t="n">
        <x:v>1</x:v>
      </x:c>
      <x:c r="K15" s="12" t="n">
        <x:v>0</x:v>
      </x:c>
      <x:c r="L15" s="12" t="n">
        <x:v>0</x:v>
      </x:c>
      <x:c r="M15" s="6" t="n">
        <x:f>('技能输出'!O26+'技能输出'!O27+'技能输出'!O28)*I15+L15</x:f>
        <x:v>13.625</x:v>
      </x:c>
      <x:c r="N15" s="6" t="n">
        <x:f>('技能输出'!P26+'技能输出'!P27+'技能输出'!P28)*I15</x:f>
        <x:v>0</x:v>
      </x:c>
      <x:c r="O15" s="6" t="n">
        <x:f>IF(OR(D15&lt;=0,G15&lt;0,G15&gt;=1,'调参总览'!$B$10&lt;=0),"输入无效",D15*'调参总览'!$B$10/MAX('调参总览'!$B$10-F15,1)/(1-G15*'调参总览'!$B$13))</x:f>
        <x:v>1500</x:v>
      </x:c>
      <x:c r="P15" s="6" t="n">
        <x:f>SQRT(O15/$O$23*(M15+N15*'调参总览'!$B$30)/($M$23+$N$23*'调参总览'!$B$30))*J15+K15</x:f>
        <x:v>4.350127712046063</x:v>
      </x:c>
      <x:c r="Q15" s="6" t="n">
        <x:f>IF(C15&lt;=0,"单独估价",P15/C15)</x:f>
        <x:v>1.4500425706820208</x:v>
      </x:c>
      <x:c r="R15" s="6" t="n">
        <x:f>C15*(1+'调参总览'!$B$27*(C15-1))</x:f>
        <x:v>3.4799999999999995</x:v>
      </x:c>
      <x:c r="S15" s="18" t="n">
        <x:f>IF(P15&lt;=K15,"待实测",MAX(5,ROUND(D15*((MAX(0,R15-K15))/(P15-K15))^2/5,0)*5))</x:f>
        <x:v>640</x:v>
      </x:c>
      <x:c r="T15" s="6" t="str">
        <x:f>IF(Q15&gt;'调参总览'!$B$29,"效率偏高",IF(Q15&lt;'调参总览'!$B$28,"效率偏低","参考区间内"))</x:f>
        <x:v>效率偏高</x:v>
      </x:c>
      <x:c r="U15" s="6" t="str">
        <x:v>res://data/units/lancer.tres</x:v>
      </x:c>
      <x:c r="V15" s="6"/>
      <x:c r="W15" s="19" t="n">
        <x:v>3</x:v>
      </x:c>
      <x:c r="X15" s="19" t="n">
        <x:v>1000</x:v>
      </x:c>
      <x:c r="Y15" s="19" t="n">
        <x:v>15</x:v>
      </x:c>
      <x:c r="Z15" s="19" t="n">
        <x:v>5</x:v>
      </x:c>
      <x:c r="AA15" s="20" t="n">
        <x:v>0</x:v>
      </x:c>
      <x:c r="AB15" s="19" t="n">
        <x:v>1</x:v>
      </x:c>
    </x:row>
    <x:row r="16" ht="24" customHeight="1">
      <x:c r="A16" s="6" t="str">
        <x:v>necromancer</x:v>
      </x:c>
      <x:c r="B16" s="6" t="str">
        <x:v>死灵法师</x:v>
      </x:c>
      <x:c r="C16" s="17" t="n">
        <x:v>1</x:v>
      </x:c>
      <x:c r="D16" s="17" t="n">
        <x:v>100</x:v>
      </x:c>
      <x:c r="E16" s="17" t="n">
        <x:v>15</x:v>
      </x:c>
      <x:c r="F16" s="17" t="n">
        <x:v>5</x:v>
      </x:c>
      <x:c r="G16" s="13" t="n">
        <x:v>0</x:v>
      </x:c>
      <x:c r="H16" s="17" t="n">
        <x:v>1</x:v>
      </x:c>
      <x:c r="I16" s="13" t="n">
        <x:v>1</x:v>
      </x:c>
      <x:c r="J16" s="12" t="n">
        <x:v>1</x:v>
      </x:c>
      <x:c r="K16" s="12" t="n">
        <x:v>0</x:v>
      </x:c>
      <x:c r="L16" s="12" t="n">
        <x:v>0</x:v>
      </x:c>
      <x:c r="M16" s="6" t="n">
        <x:f>('技能输出'!O29+'技能输出'!O30+'技能输出'!O31)*I16+L16</x:f>
        <x:v>9.444444444444445</x:v>
      </x:c>
      <x:c r="N16" s="6" t="n">
        <x:f>('技能输出'!P29+'技能输出'!P30+'技能输出'!P31)*I16</x:f>
        <x:v>0</x:v>
      </x:c>
      <x:c r="O16" s="6" t="n">
        <x:f>IF(OR(D16&lt;=0,G16&lt;0,G16&gt;=1,'调参总览'!$B$10&lt;=0),"输入无效",D16*'调参总览'!$B$10/MAX('调参总览'!$B$10-F16,1)/(1-G16*'调参总览'!$B$13))</x:f>
        <x:v>150</x:v>
      </x:c>
      <x:c r="P16" s="6" t="n">
        <x:f>SQRT(O16/$O$23*(M16+N16*'调参总览'!$B$30)/($M$23+$N$23*'调参总览'!$B$30))*J16+K16</x:f>
        <x:v>1.145307118227128</x:v>
      </x:c>
      <x:c r="Q16" s="6" t="n">
        <x:f>IF(C16&lt;=0,"单独估价",P16/C16)</x:f>
        <x:v>1.145307118227128</x:v>
      </x:c>
      <x:c r="R16" s="6" t="n">
        <x:f>C16*(1+'调参总览'!$B$27*(C16-1))</x:f>
        <x:v>1</x:v>
      </x:c>
      <x:c r="S16" s="18" t="n">
        <x:f>IF(P16&lt;=K16,"待实测",MAX(5,ROUND(D16*((MAX(0,R16-K16))/(P16-K16))^2/5,0)*5))</x:f>
        <x:v>75</x:v>
      </x:c>
      <x:c r="T16" s="6" t="str">
        <x:f>IF(Q16&gt;'调参总览'!$B$29,"效率偏高",IF(Q16&lt;'调参总览'!$B$28,"效率偏低","参考区间内"))</x:f>
        <x:v>参考区间内</x:v>
      </x:c>
      <x:c r="U16" s="6" t="str">
        <x:v>res://data/units/necromancer.tres</x:v>
      </x:c>
      <x:c r="V16" s="6"/>
      <x:c r="W16" s="19" t="n">
        <x:v>1</x:v>
      </x:c>
      <x:c r="X16" s="19" t="n">
        <x:v>100</x:v>
      </x:c>
      <x:c r="Y16" s="19" t="n">
        <x:v>15</x:v>
      </x:c>
      <x:c r="Z16" s="19" t="n">
        <x:v>5</x:v>
      </x:c>
      <x:c r="AA16" s="20" t="n">
        <x:v>0</x:v>
      </x:c>
      <x:c r="AB16" s="19" t="n">
        <x:v>1</x:v>
      </x:c>
    </x:row>
    <x:row r="17" ht="24" customHeight="1">
      <x:c r="A17" s="6" t="str">
        <x:v>orc</x:v>
      </x:c>
      <x:c r="B17" s="6" t="str">
        <x:v>哥布林</x:v>
      </x:c>
      <x:c r="C17" s="17" t="n">
        <x:v>1</x:v>
      </x:c>
      <x:c r="D17" s="17" t="n">
        <x:v>100</x:v>
      </x:c>
      <x:c r="E17" s="17" t="n">
        <x:v>15</x:v>
      </x:c>
      <x:c r="F17" s="17" t="n">
        <x:v>5</x:v>
      </x:c>
      <x:c r="G17" s="13" t="n">
        <x:v>0</x:v>
      </x:c>
      <x:c r="H17" s="17" t="n">
        <x:v>1</x:v>
      </x:c>
      <x:c r="I17" s="13" t="n">
        <x:v>0.8</x:v>
      </x:c>
      <x:c r="J17" s="12" t="n">
        <x:v>1</x:v>
      </x:c>
      <x:c r="K17" s="12" t="n">
        <x:v>0</x:v>
      </x:c>
      <x:c r="L17" s="12" t="n">
        <x:v>0</x:v>
      </x:c>
      <x:c r="M17" s="6" t="n">
        <x:f>('技能输出'!O32+'技能输出'!O33)*I17+L17</x:f>
        <x:v>11.4</x:v>
      </x:c>
      <x:c r="N17" s="6" t="n">
        <x:f>('技能输出'!P32+'技能输出'!P33)*I17</x:f>
        <x:v>0</x:v>
      </x:c>
      <x:c r="O17" s="6" t="n">
        <x:f>IF(OR(D17&lt;=0,G17&lt;0,G17&gt;=1,'调参总览'!$B$10&lt;=0),"输入无效",D17*'调参总览'!$B$10/MAX('调参总览'!$B$10-F17,1)/(1-G17*'调参总览'!$B$13))</x:f>
        <x:v>150</x:v>
      </x:c>
      <x:c r="P17" s="6" t="n">
        <x:f>SQRT(O17/$O$23*(M17+N17*'调参总览'!$B$30)/($M$23+$N$23*'调参总览'!$B$30))*J17+K17</x:f>
        <x:v>1.2583057392117916</x:v>
      </x:c>
      <x:c r="Q17" s="6" t="n">
        <x:f>IF(C17&lt;=0,"单独估价",P17/C17)</x:f>
        <x:v>1.2583057392117916</x:v>
      </x:c>
      <x:c r="R17" s="6" t="n">
        <x:f>C17*(1+'调参总览'!$B$27*(C17-1))</x:f>
        <x:v>1</x:v>
      </x:c>
      <x:c r="S17" s="18" t="n">
        <x:f>IF(P17&lt;=K17,"待实测",MAX(5,ROUND(D17*((MAX(0,R17-K17))/(P17-K17))^2/5,0)*5))</x:f>
        <x:v>65</x:v>
      </x:c>
      <x:c r="T17" s="6" t="str">
        <x:f>IF(Q17&gt;'调参总览'!$B$29,"效率偏高",IF(Q17&lt;'调参总览'!$B$28,"效率偏低","参考区间内"))</x:f>
        <x:v>参考区间内</x:v>
      </x:c>
      <x:c r="U17" s="6" t="str">
        <x:v>res://data/units/orc.tres</x:v>
      </x:c>
      <x:c r="V17" s="6"/>
      <x:c r="W17" s="19" t="n">
        <x:v>1</x:v>
      </x:c>
      <x:c r="X17" s="19" t="n">
        <x:v>100</x:v>
      </x:c>
      <x:c r="Y17" s="19" t="n">
        <x:v>15</x:v>
      </x:c>
      <x:c r="Z17" s="19" t="n">
        <x:v>5</x:v>
      </x:c>
      <x:c r="AA17" s="20" t="n">
        <x:v>0</x:v>
      </x:c>
      <x:c r="AB17" s="19" t="n">
        <x:v>1</x:v>
      </x:c>
    </x:row>
    <x:row r="18" ht="24" customHeight="1">
      <x:c r="A18" s="6" t="str">
        <x:v>orc_rider</x:v>
      </x:c>
      <x:c r="B18" s="6" t="str">
        <x:v>哥布林骑手</x:v>
      </x:c>
      <x:c r="C18" s="17" t="n">
        <x:v>1</x:v>
      </x:c>
      <x:c r="D18" s="17" t="n">
        <x:v>100</x:v>
      </x:c>
      <x:c r="E18" s="17" t="n">
        <x:v>15</x:v>
      </x:c>
      <x:c r="F18" s="17" t="n">
        <x:v>10</x:v>
      </x:c>
      <x:c r="G18" s="13" t="n">
        <x:v>0.2</x:v>
      </x:c>
      <x:c r="H18" s="17" t="n">
        <x:v>1</x:v>
      </x:c>
      <x:c r="I18" s="13" t="n">
        <x:v>0.8</x:v>
      </x:c>
      <x:c r="J18" s="12" t="n">
        <x:v>1</x:v>
      </x:c>
      <x:c r="K18" s="12" t="n">
        <x:v>0</x:v>
      </x:c>
      <x:c r="L18" s="12" t="n">
        <x:v>0</x:v>
      </x:c>
      <x:c r="M18" s="6" t="n">
        <x:f>('技能输出'!O34+'技能输出'!O35)*I18+L18</x:f>
        <x:v>11.149999999999999</x:v>
      </x:c>
      <x:c r="N18" s="6" t="n">
        <x:f>('技能输出'!P34+'技能输出'!P35)*I18</x:f>
        <x:v>0</x:v>
      </x:c>
      <x:c r="O18" s="6" t="n">
        <x:f>IF(OR(D18&lt;=0,G18&lt;0,G18&gt;=1,'调参总览'!$B$10&lt;=0),"输入无效",D18*'调参总览'!$B$10/MAX('调参总览'!$B$10-F18,1)/(1-G18*'调参总览'!$B$13))</x:f>
        <x:v>348.83720930232556</x:v>
      </x:c>
      <x:c r="P18" s="6" t="n">
        <x:f>SQRT(O18/$O$23*(M18+N18*'调参总览'!$B$30)/($M$23+$N$23*'调参总览'!$B$30))*J18+K18</x:f>
        <x:v>1.8977410752340504</x:v>
      </x:c>
      <x:c r="Q18" s="6" t="n">
        <x:f>IF(C18&lt;=0,"单独估价",P18/C18)</x:f>
        <x:v>1.8977410752340504</x:v>
      </x:c>
      <x:c r="R18" s="6" t="n">
        <x:f>C18*(1+'调参总览'!$B$27*(C18-1))</x:f>
        <x:v>1</x:v>
      </x:c>
      <x:c r="S18" s="18" t="n">
        <x:f>IF(P18&lt;=K18,"待实测",MAX(5,ROUND(D18*((MAX(0,R18-K18))/(P18-K18))^2/5,0)*5))</x:f>
        <x:v>30</x:v>
      </x:c>
      <x:c r="T18" s="6" t="str">
        <x:f>IF(Q18&gt;'调参总览'!$B$29,"效率偏高",IF(Q18&lt;'调参总览'!$B$28,"效率偏低","参考区间内"))</x:f>
        <x:v>效率偏高</x:v>
      </x:c>
      <x:c r="U18" s="6" t="str">
        <x:v>res://data/units/orc_rider.tres</x:v>
      </x:c>
      <x:c r="V18" s="6"/>
      <x:c r="W18" s="19" t="n">
        <x:v>1</x:v>
      </x:c>
      <x:c r="X18" s="19" t="n">
        <x:v>100</x:v>
      </x:c>
      <x:c r="Y18" s="19" t="n">
        <x:v>15</x:v>
      </x:c>
      <x:c r="Z18" s="19" t="n">
        <x:v>10</x:v>
      </x:c>
      <x:c r="AA18" s="20" t="n">
        <x:v>0.2</x:v>
      </x:c>
      <x:c r="AB18" s="19" t="n">
        <x:v>1</x:v>
      </x:c>
    </x:row>
    <x:row r="19" ht="24" customHeight="1">
      <x:c r="A19" s="6" t="str">
        <x:v>priest</x:v>
      </x:c>
      <x:c r="B19" s="6" t="str">
        <x:v>牧师</x:v>
      </x:c>
      <x:c r="C19" s="17" t="n">
        <x:v>1</x:v>
      </x:c>
      <x:c r="D19" s="17" t="n">
        <x:v>100</x:v>
      </x:c>
      <x:c r="E19" s="17" t="n">
        <x:v>15</x:v>
      </x:c>
      <x:c r="F19" s="17" t="n">
        <x:v>5</x:v>
      </x:c>
      <x:c r="G19" s="13" t="n">
        <x:v>0</x:v>
      </x:c>
      <x:c r="H19" s="17" t="n">
        <x:v>1</x:v>
      </x:c>
      <x:c r="I19" s="13" t="n">
        <x:v>1</x:v>
      </x:c>
      <x:c r="J19" s="12" t="n">
        <x:v>1</x:v>
      </x:c>
      <x:c r="K19" s="12" t="n">
        <x:v>0</x:v>
      </x:c>
      <x:c r="L19" s="12" t="n">
        <x:v>0</x:v>
      </x:c>
      <x:c r="M19" s="6" t="n">
        <x:f>('技能输出'!O36+'技能输出'!O37)*I19+L19</x:f>
        <x:v>10</x:v>
      </x:c>
      <x:c r="N19" s="6" t="n">
        <x:f>('技能输出'!P36+'技能输出'!P37)*I19</x:f>
        <x:v>1.5</x:v>
      </x:c>
      <x:c r="O19" s="6" t="n">
        <x:f>IF(OR(D19&lt;=0,G19&lt;0,G19&gt;=1,'调参总览'!$B$10&lt;=0),"输入无效",D19*'调参总览'!$B$10/MAX('调参总览'!$B$10-F19,1)/(1-G19*'调参总览'!$B$13))</x:f>
        <x:v>150</x:v>
      </x:c>
      <x:c r="P19" s="6" t="n">
        <x:f>SQRT(O19/$O$23*(M19+N19*'调参总览'!$B$30)/($M$23+$N$23*'调参总览'!$B$30))*J19+K19</x:f>
        <x:v>1.2219065248845984</x:v>
      </x:c>
      <x:c r="Q19" s="6" t="n">
        <x:f>IF(C19&lt;=0,"单独估价",P19/C19)</x:f>
        <x:v>1.2219065248845984</x:v>
      </x:c>
      <x:c r="R19" s="6" t="n">
        <x:f>C19*(1+'调参总览'!$B$27*(C19-1))</x:f>
        <x:v>1</x:v>
      </x:c>
      <x:c r="S19" s="18" t="n">
        <x:f>IF(P19&lt;=K19,"待实测",MAX(5,ROUND(D19*((MAX(0,R19-K19))/(P19-K19))^2/5,0)*5))</x:f>
        <x:v>65</x:v>
      </x:c>
      <x:c r="T19" s="6" t="str">
        <x:f>IF(Q19&gt;'调参总览'!$B$29,"效率偏高",IF(Q19&lt;'调参总览'!$B$28,"效率偏低","参考区间内"))</x:f>
        <x:v>参考区间内</x:v>
      </x:c>
      <x:c r="U19" s="6" t="str">
        <x:v>res://data/units/priest.tres</x:v>
      </x:c>
      <x:c r="V19" s="6"/>
      <x:c r="W19" s="19" t="n">
        <x:v>1</x:v>
      </x:c>
      <x:c r="X19" s="19" t="n">
        <x:v>100</x:v>
      </x:c>
      <x:c r="Y19" s="19" t="n">
        <x:v>15</x:v>
      </x:c>
      <x:c r="Z19" s="19" t="n">
        <x:v>5</x:v>
      </x:c>
      <x:c r="AA19" s="20" t="n">
        <x:v>0</x:v>
      </x:c>
      <x:c r="AB19" s="19" t="n">
        <x:v>1</x:v>
      </x:c>
    </x:row>
    <x:row r="20" ht="24" customHeight="1">
      <x:c r="A20" s="6" t="str">
        <x:v>skeleton</x:v>
      </x:c>
      <x:c r="B20" s="6" t="str">
        <x:v>骷髅兵</x:v>
      </x:c>
      <x:c r="C20" s="17" t="n">
        <x:v>1</x:v>
      </x:c>
      <x:c r="D20" s="17" t="n">
        <x:v>100</x:v>
      </x:c>
      <x:c r="E20" s="17" t="n">
        <x:v>15</x:v>
      </x:c>
      <x:c r="F20" s="17" t="n">
        <x:v>5</x:v>
      </x:c>
      <x:c r="G20" s="13" t="n">
        <x:v>0</x:v>
      </x:c>
      <x:c r="H20" s="17" t="n">
        <x:v>1</x:v>
      </x:c>
      <x:c r="I20" s="13" t="n">
        <x:v>0.8</x:v>
      </x:c>
      <x:c r="J20" s="12" t="n">
        <x:v>1</x:v>
      </x:c>
      <x:c r="K20" s="12" t="n">
        <x:v>0</x:v>
      </x:c>
      <x:c r="L20" s="12" t="n">
        <x:v>0</x:v>
      </x:c>
      <x:c r="M20" s="6" t="n">
        <x:f>('技能输出'!O38+'技能输出'!O39)*I20+L20</x:f>
        <x:v>9.733333333333334</x:v>
      </x:c>
      <x:c r="N20" s="6" t="n">
        <x:f>('技能输出'!P38+'技能输出'!P39)*I20</x:f>
        <x:v>0</x:v>
      </x:c>
      <x:c r="O20" s="6" t="n">
        <x:f>IF(OR(D20&lt;=0,G20&lt;0,G20&gt;=1,'调参总览'!$B$10&lt;=0),"输入无效",D20*'调参总览'!$B$10/MAX('调参总览'!$B$10-F20,1)/(1-G20*'调参总览'!$B$13))</x:f>
        <x:v>150</x:v>
      </x:c>
      <x:c r="P20" s="6" t="n">
        <x:f>SQRT(O20/$O$23*(M20+N20*'调参总览'!$B$30)/($M$23+$N$23*'调参总览'!$B$30))*J20+K20</x:f>
        <x:v>1.1626916409142416</x:v>
      </x:c>
      <x:c r="Q20" s="6" t="n">
        <x:f>IF(C20&lt;=0,"单独估价",P20/C20)</x:f>
        <x:v>1.1626916409142416</x:v>
      </x:c>
      <x:c r="R20" s="6" t="n">
        <x:f>C20*(1+'调参总览'!$B$27*(C20-1))</x:f>
        <x:v>1</x:v>
      </x:c>
      <x:c r="S20" s="18" t="n">
        <x:f>IF(P20&lt;=K20,"待实测",MAX(5,ROUND(D20*((MAX(0,R20-K20))/(P20-K20))^2/5,0)*5))</x:f>
        <x:v>75</x:v>
      </x:c>
      <x:c r="T20" s="6" t="str">
        <x:f>IF(Q20&gt;'调参总览'!$B$29,"效率偏高",IF(Q20&lt;'调参总览'!$B$28,"效率偏低","参考区间内"))</x:f>
        <x:v>参考区间内</x:v>
      </x:c>
      <x:c r="U20" s="6" t="str">
        <x:v>res://data/units/skeleton.tres</x:v>
      </x:c>
      <x:c r="V20" s="6"/>
      <x:c r="W20" s="19" t="n">
        <x:v>1</x:v>
      </x:c>
      <x:c r="X20" s="19" t="n">
        <x:v>100</x:v>
      </x:c>
      <x:c r="Y20" s="19" t="n">
        <x:v>15</x:v>
      </x:c>
      <x:c r="Z20" s="19" t="n">
        <x:v>5</x:v>
      </x:c>
      <x:c r="AA20" s="20" t="n">
        <x:v>0</x:v>
      </x:c>
      <x:c r="AB20" s="19" t="n">
        <x:v>1</x:v>
      </x:c>
    </x:row>
    <x:row r="21" ht="24" customHeight="1">
      <x:c r="A21" s="6" t="str">
        <x:v>skeleton_archer</x:v>
      </x:c>
      <x:c r="B21" s="6" t="str">
        <x:v>弓箭手哥布林</x:v>
      </x:c>
      <x:c r="C21" s="17" t="n">
        <x:v>1</x:v>
      </x:c>
      <x:c r="D21" s="17" t="n">
        <x:v>100</x:v>
      </x:c>
      <x:c r="E21" s="17" t="n">
        <x:v>15</x:v>
      </x:c>
      <x:c r="F21" s="17" t="n">
        <x:v>5</x:v>
      </x:c>
      <x:c r="G21" s="13" t="n">
        <x:v>0</x:v>
      </x:c>
      <x:c r="H21" s="17" t="n">
        <x:v>2</x:v>
      </x:c>
      <x:c r="I21" s="13" t="n">
        <x:v>1</x:v>
      </x:c>
      <x:c r="J21" s="12" t="n">
        <x:v>1</x:v>
      </x:c>
      <x:c r="K21" s="12" t="n">
        <x:v>0</x:v>
      </x:c>
      <x:c r="L21" s="12" t="n">
        <x:v>0</x:v>
      </x:c>
      <x:c r="M21" s="6" t="n">
        <x:f>('技能输出'!O40)*I21+L21</x:f>
        <x:v>10</x:v>
      </x:c>
      <x:c r="N21" s="6" t="n">
        <x:f>('技能输出'!P40)*I21</x:f>
        <x:v>0</x:v>
      </x:c>
      <x:c r="O21" s="6" t="n">
        <x:f>IF(OR(D21&lt;=0,G21&lt;0,G21&gt;=1,'调参总览'!$B$10&lt;=0),"输入无效",D21*'调参总览'!$B$10/MAX('调参总览'!$B$10-F21,1)/(1-G21*'调参总览'!$B$13))</x:f>
        <x:v>150</x:v>
      </x:c>
      <x:c r="P21" s="6" t="n">
        <x:f>SQRT(O21/$O$23*(M21+N21*'调参总览'!$B$30)/($M$23+$N$23*'调参总览'!$B$30))*J21+K21</x:f>
        <x:v>1.1785113019775793</x:v>
      </x:c>
      <x:c r="Q21" s="6" t="n">
        <x:f>IF(C21&lt;=0,"单独估价",P21/C21)</x:f>
        <x:v>1.1785113019775793</x:v>
      </x:c>
      <x:c r="R21" s="6" t="n">
        <x:f>C21*(1+'调参总览'!$B$27*(C21-1))</x:f>
        <x:v>1</x:v>
      </x:c>
      <x:c r="S21" s="18" t="n">
        <x:f>IF(P21&lt;=K21,"待实测",MAX(5,ROUND(D21*((MAX(0,R21-K21))/(P21-K21))^2/5,0)*5))</x:f>
        <x:v>70</x:v>
      </x:c>
      <x:c r="T21" s="6" t="str">
        <x:f>IF(Q21&gt;'调参总览'!$B$29,"效率偏高",IF(Q21&lt;'调参总览'!$B$28,"效率偏低","参考区间内"))</x:f>
        <x:v>参考区间内</x:v>
      </x:c>
      <x:c r="U21" s="6" t="str">
        <x:v>res://data/units/skeleton_archer.tres</x:v>
      </x:c>
      <x:c r="V21" s="6"/>
      <x:c r="W21" s="19" t="n">
        <x:v>1</x:v>
      </x:c>
      <x:c r="X21" s="19" t="n">
        <x:v>100</x:v>
      </x:c>
      <x:c r="Y21" s="19" t="n">
        <x:v>15</x:v>
      </x:c>
      <x:c r="Z21" s="19" t="n">
        <x:v>5</x:v>
      </x:c>
      <x:c r="AA21" s="20" t="n">
        <x:v>0</x:v>
      </x:c>
      <x:c r="AB21" s="19" t="n">
        <x:v>2</x:v>
      </x:c>
    </x:row>
    <x:row r="22" ht="24" customHeight="1">
      <x:c r="A22" s="6" t="str">
        <x:v>slime</x:v>
      </x:c>
      <x:c r="B22" s="6" t="str">
        <x:v>史莱姆</x:v>
      </x:c>
      <x:c r="C22" s="17" t="n">
        <x:v>1</x:v>
      </x:c>
      <x:c r="D22" s="17" t="n">
        <x:v>100</x:v>
      </x:c>
      <x:c r="E22" s="17" t="n">
        <x:v>15</x:v>
      </x:c>
      <x:c r="F22" s="17" t="n">
        <x:v>5</x:v>
      </x:c>
      <x:c r="G22" s="13" t="n">
        <x:v>0</x:v>
      </x:c>
      <x:c r="H22" s="17" t="n">
        <x:v>1</x:v>
      </x:c>
      <x:c r="I22" s="13" t="n">
        <x:v>0.8</x:v>
      </x:c>
      <x:c r="J22" s="12" t="n">
        <x:v>1</x:v>
      </x:c>
      <x:c r="K22" s="12" t="n">
        <x:v>0</x:v>
      </x:c>
      <x:c r="L22" s="12" t="n">
        <x:v>0</x:v>
      </x:c>
      <x:c r="M22" s="6" t="n">
        <x:f>('技能输出'!O41+'技能输出'!O42)*I22+L22</x:f>
        <x:v>10.133333333333333</x:v>
      </x:c>
      <x:c r="N22" s="6" t="n">
        <x:f>('技能输出'!P41+'技能输出'!P42)*I22</x:f>
        <x:v>0</x:v>
      </x:c>
      <x:c r="O22" s="6" t="n">
        <x:f>IF(OR(D22&lt;=0,G22&lt;0,G22&gt;=1,'调参总览'!$B$10&lt;=0),"输入无效",D22*'调参总览'!$B$10/MAX('调参总览'!$B$10-F22,1)/(1-G22*'调参总览'!$B$13))</x:f>
        <x:v>150</x:v>
      </x:c>
      <x:c r="P22" s="6" t="n">
        <x:f>SQRT(O22/$O$23*(M22+N22*'调参总览'!$B$30)/($M$23+$N$23*'调参总览'!$B$30))*J22+K22</x:f>
        <x:v>1.1863420280034789</x:v>
      </x:c>
      <x:c r="Q22" s="6" t="n">
        <x:f>IF(C22&lt;=0,"单独估价",P22/C22)</x:f>
        <x:v>1.1863420280034789</x:v>
      </x:c>
      <x:c r="R22" s="6" t="n">
        <x:f>C22*(1+'调参总览'!$B$27*(C22-1))</x:f>
        <x:v>1</x:v>
      </x:c>
      <x:c r="S22" s="18" t="n">
        <x:f>IF(P22&lt;=K22,"待实测",MAX(5,ROUND(D22*((MAX(0,R22-K22))/(P22-K22))^2/5,0)*5))</x:f>
        <x:v>70</x:v>
      </x:c>
      <x:c r="T22" s="6" t="str">
        <x:f>IF(Q22&gt;'调参总览'!$B$29,"效率偏高",IF(Q22&lt;'调参总览'!$B$28,"效率偏低","参考区间内"))</x:f>
        <x:v>参考区间内</x:v>
      </x:c>
      <x:c r="U22" s="6" t="str">
        <x:v>res://data/units/slime.tres</x:v>
      </x:c>
      <x:c r="V22" s="6"/>
      <x:c r="W22" s="19" t="n">
        <x:v>1</x:v>
      </x:c>
      <x:c r="X22" s="19" t="n">
        <x:v>100</x:v>
      </x:c>
      <x:c r="Y22" s="19" t="n">
        <x:v>15</x:v>
      </x:c>
      <x:c r="Z22" s="19" t="n">
        <x:v>5</x:v>
      </x:c>
      <x:c r="AA22" s="20" t="n">
        <x:v>0</x:v>
      </x:c>
      <x:c r="AB22" s="19" t="n">
        <x:v>1</x:v>
      </x:c>
    </x:row>
    <x:row r="23" ht="24" customHeight="1">
      <x:c r="A23" s="6" t="str">
        <x:v>soldier</x:v>
      </x:c>
      <x:c r="B23" s="6" t="str">
        <x:v>士兵</x:v>
      </x:c>
      <x:c r="C23" s="17" t="n">
        <x:v>1</x:v>
      </x:c>
      <x:c r="D23" s="17" t="n">
        <x:v>100</x:v>
      </x:c>
      <x:c r="E23" s="17" t="n">
        <x:v>10</x:v>
      </x:c>
      <x:c r="F23" s="17" t="n">
        <x:v>5</x:v>
      </x:c>
      <x:c r="G23" s="13" t="n">
        <x:v>0</x:v>
      </x:c>
      <x:c r="H23" s="17" t="n">
        <x:v>1</x:v>
      </x:c>
      <x:c r="I23" s="13" t="n">
        <x:v>0.8</x:v>
      </x:c>
      <x:c r="J23" s="12" t="n">
        <x:v>1</x:v>
      </x:c>
      <x:c r="K23" s="12" t="n">
        <x:v>0</x:v>
      </x:c>
      <x:c r="L23" s="12" t="n">
        <x:v>0</x:v>
      </x:c>
      <x:c r="M23" s="6" t="n">
        <x:f>('技能输出'!O43+'技能输出'!O44)*I23+L23</x:f>
        <x:v>7.2</x:v>
      </x:c>
      <x:c r="N23" s="6" t="n">
        <x:f>('技能输出'!P43+'技能输出'!P44)*I23</x:f>
        <x:v>0</x:v>
      </x:c>
      <x:c r="O23" s="6" t="n">
        <x:f>IF(OR(D23&lt;=0,G23&lt;0,G23&gt;=1,'调参总览'!$B$10&lt;=0),"输入无效",D23*'调参总览'!$B$10/MAX('调参总览'!$B$10-F23,1)/(1-G23*'调参总览'!$B$13))</x:f>
        <x:v>150</x:v>
      </x:c>
      <x:c r="P23" s="6" t="n">
        <x:f>SQRT(O23/$O$23*(M23+N23*'调参总览'!$B$30)/($M$23+$N$23*'调参总览'!$B$30))*J23+K23</x:f>
        <x:v>1</x:v>
      </x:c>
      <x:c r="Q23" s="6" t="n">
        <x:f>IF(C23&lt;=0,"单独估价",P23/C23)</x:f>
        <x:v>1</x:v>
      </x:c>
      <x:c r="R23" s="6" t="n">
        <x:f>C23*(1+'调参总览'!$B$27*(C23-1))</x:f>
        <x:v>1</x:v>
      </x:c>
      <x:c r="S23" s="18" t="n">
        <x:f>IF(P23&lt;=K23,"待实测",MAX(5,ROUND(D23*((MAX(0,R23-K23))/(P23-K23))^2/5,0)*5))</x:f>
        <x:v>100</x:v>
      </x:c>
      <x:c r="T23" s="6" t="str">
        <x:f>IF(Q23&gt;'调参总览'!$B$29,"效率偏高",IF(Q23&lt;'调参总览'!$B$28,"效率偏低","参考区间内"))</x:f>
        <x:v>参考区间内</x:v>
      </x:c>
      <x:c r="U23" s="6" t="str">
        <x:v>res://data/units/soldier.tres</x:v>
      </x:c>
      <x:c r="V23" s="6"/>
      <x:c r="W23" s="19" t="n">
        <x:v>1</x:v>
      </x:c>
      <x:c r="X23" s="19" t="n">
        <x:v>100</x:v>
      </x:c>
      <x:c r="Y23" s="19" t="n">
        <x:v>10</x:v>
      </x:c>
      <x:c r="Z23" s="19" t="n">
        <x:v>5</x:v>
      </x:c>
      <x:c r="AA23" s="20" t="n">
        <x:v>0</x:v>
      </x:c>
      <x:c r="AB23" s="19" t="n">
        <x:v>1</x:v>
      </x:c>
    </x:row>
    <x:row r="24" ht="24" customHeight="1">
      <x:c r="A24" s="6" t="str">
        <x:v>swords_man</x:v>
      </x:c>
      <x:c r="B24" s="6" t="str">
        <x:v>剑士</x:v>
      </x:c>
      <x:c r="C24" s="17" t="n">
        <x:v>3</x:v>
      </x:c>
      <x:c r="D24" s="17" t="n">
        <x:v>1000</x:v>
      </x:c>
      <x:c r="E24" s="17" t="n">
        <x:v>15</x:v>
      </x:c>
      <x:c r="F24" s="17" t="n">
        <x:v>5</x:v>
      </x:c>
      <x:c r="G24" s="13" t="n">
        <x:v>0</x:v>
      </x:c>
      <x:c r="H24" s="17" t="n">
        <x:v>1</x:v>
      </x:c>
      <x:c r="I24" s="13" t="n">
        <x:v>0.8</x:v>
      </x:c>
      <x:c r="J24" s="12" t="n">
        <x:v>1</x:v>
      </x:c>
      <x:c r="K24" s="12" t="n">
        <x:v>0</x:v>
      </x:c>
      <x:c r="L24" s="12" t="n">
        <x:v>0</x:v>
      </x:c>
      <x:c r="M24" s="6" t="n">
        <x:f>('技能输出'!O45+'技能输出'!O46+'技能输出'!O47)*I24+L24</x:f>
        <x:v>8.09142857142857</x:v>
      </x:c>
      <x:c r="N24" s="6" t="n">
        <x:f>('技能输出'!P45+'技能输出'!P46+'技能输出'!P47)*I24</x:f>
        <x:v>0</x:v>
      </x:c>
      <x:c r="O24" s="6" t="n">
        <x:f>IF(OR(D24&lt;=0,G24&lt;0,G24&gt;=1,'调参总览'!$B$10&lt;=0),"输入无效",D24*'调参总览'!$B$10/MAX('调参总览'!$B$10-F24,1)/(1-G24*'调参总览'!$B$13))</x:f>
        <x:v>1500</x:v>
      </x:c>
      <x:c r="P24" s="6" t="n">
        <x:f>SQRT(O24/$O$23*(M24+N24*'调参总览'!$B$30)/($M$23+$N$23*'调参总览'!$B$30))*J24+K24</x:f>
        <x:v>3.352326839390103</x:v>
      </x:c>
      <x:c r="Q24" s="6" t="n">
        <x:f>IF(C24&lt;=0,"单独估价",P24/C24)</x:f>
        <x:v>1.117442279796701</x:v>
      </x:c>
      <x:c r="R24" s="6" t="n">
        <x:f>C24*(1+'调参总览'!$B$27*(C24-1))</x:f>
        <x:v>3.4799999999999995</x:v>
      </x:c>
      <x:c r="S24" s="18" t="n">
        <x:f>IF(P24&lt;=K24,"待实测",MAX(5,ROUND(D24*((MAX(0,R24-K24))/(P24-K24))^2/5,0)*5))</x:f>
        <x:v>1080</x:v>
      </x:c>
      <x:c r="T24" s="6" t="str">
        <x:f>IF(Q24&gt;'调参总览'!$B$29,"效率偏高",IF(Q24&lt;'调参总览'!$B$28,"效率偏低","参考区间内"))</x:f>
        <x:v>参考区间内</x:v>
      </x:c>
      <x:c r="U24" s="6" t="str">
        <x:v>res://data/units/swords_man.tres</x:v>
      </x:c>
      <x:c r="V24" s="6"/>
      <x:c r="W24" s="19" t="n">
        <x:v>3</x:v>
      </x:c>
      <x:c r="X24" s="19" t="n">
        <x:v>1000</x:v>
      </x:c>
      <x:c r="Y24" s="19" t="n">
        <x:v>15</x:v>
      </x:c>
      <x:c r="Z24" s="19" t="n">
        <x:v>5</x:v>
      </x:c>
      <x:c r="AA24" s="20" t="n">
        <x:v>0</x:v>
      </x:c>
      <x:c r="AB24" s="19" t="n">
        <x:v>1</x:v>
      </x:c>
    </x:row>
    <x:row r="25" ht="24" customHeight="1">
      <x:c r="A25" s="6" t="str">
        <x:v>were_bear</x:v>
      </x:c>
      <x:c r="B25" s="6" t="str">
        <x:v>熊人</x:v>
      </x:c>
      <x:c r="C25" s="17" t="n">
        <x:v>2</x:v>
      </x:c>
      <x:c r="D25" s="17" t="n">
        <x:v>100</x:v>
      </x:c>
      <x:c r="E25" s="17" t="n">
        <x:v>15</x:v>
      </x:c>
      <x:c r="F25" s="17" t="n">
        <x:v>5</x:v>
      </x:c>
      <x:c r="G25" s="13" t="n">
        <x:v>0</x:v>
      </x:c>
      <x:c r="H25" s="17" t="n">
        <x:v>1</x:v>
      </x:c>
      <x:c r="I25" s="13" t="n">
        <x:v>0.8</x:v>
      </x:c>
      <x:c r="J25" s="12" t="n">
        <x:v>1</x:v>
      </x:c>
      <x:c r="K25" s="12" t="n">
        <x:v>0</x:v>
      </x:c>
      <x:c r="L25" s="12" t="n">
        <x:v>0</x:v>
      </x:c>
      <x:c r="M25" s="6" t="n">
        <x:f>('技能输出'!O48+'技能输出'!O49+'技能输出'!O50)*I25+L25</x:f>
        <x:v>10.837037037037035</x:v>
      </x:c>
      <x:c r="N25" s="6" t="n">
        <x:f>('技能输出'!P48+'技能输出'!P49+'技能输出'!P50)*I25</x:f>
        <x:v>0</x:v>
      </x:c>
      <x:c r="O25" s="6" t="n">
        <x:f>IF(OR(D25&lt;=0,G25&lt;0,G25&gt;=1,'调参总览'!$B$10&lt;=0),"输入无效",D25*'调参总览'!$B$10/MAX('调参总览'!$B$10-F25,1)/(1-G25*'调参总览'!$B$13))</x:f>
        <x:v>150</x:v>
      </x:c>
      <x:c r="P25" s="6" t="n">
        <x:f>SQRT(O25/$O$23*(M25+N25*'调参总览'!$B$30)/($M$23+$N$23*'调参总览'!$B$30))*J25+K25</x:f>
        <x:v>1.2268431166705098</x:v>
      </x:c>
      <x:c r="Q25" s="6" t="n">
        <x:f>IF(C25&lt;=0,"单独估价",P25/C25)</x:f>
        <x:v>0.6134215583352549</x:v>
      </x:c>
      <x:c r="R25" s="6" t="n">
        <x:f>C25*(1+'调参总览'!$B$27*(C25-1))</x:f>
        <x:v>2.16</x:v>
      </x:c>
      <x:c r="S25" s="18" t="n">
        <x:f>IF(P25&lt;=K25,"待实测",MAX(5,ROUND(D25*((MAX(0,R25-K25))/(P25-K25))^2/5,0)*5))</x:f>
        <x:v>310</x:v>
      </x:c>
      <x:c r="T25" s="6" t="str">
        <x:f>IF(Q25&gt;'调参总览'!$B$29,"效率偏高",IF(Q25&lt;'调参总览'!$B$28,"效率偏低","参考区间内"))</x:f>
        <x:v>效率偏低</x:v>
      </x:c>
      <x:c r="U25" s="6" t="str">
        <x:v>res://data/units/were_bear.tres</x:v>
      </x:c>
      <x:c r="V25" s="6"/>
      <x:c r="W25" s="19" t="n">
        <x:v>2</x:v>
      </x:c>
      <x:c r="X25" s="19" t="n">
        <x:v>100</x:v>
      </x:c>
      <x:c r="Y25" s="19" t="n">
        <x:v>15</x:v>
      </x:c>
      <x:c r="Z25" s="19" t="n">
        <x:v>5</x:v>
      </x:c>
      <x:c r="AA25" s="20" t="n">
        <x:v>0</x:v>
      </x:c>
      <x:c r="AB25" s="19" t="n">
        <x:v>1</x:v>
      </x:c>
    </x:row>
    <x:row r="26" ht="24" customHeight="1">
      <x:c r="A26" s="6" t="str">
        <x:v>were_wolf</x:v>
      </x:c>
      <x:c r="B26" s="6" t="str">
        <x:v>狼人</x:v>
      </x:c>
      <x:c r="C26" s="17" t="n">
        <x:v>2</x:v>
      </x:c>
      <x:c r="D26" s="17" t="n">
        <x:v>100</x:v>
      </x:c>
      <x:c r="E26" s="17" t="n">
        <x:v>15</x:v>
      </x:c>
      <x:c r="F26" s="17" t="n">
        <x:v>5</x:v>
      </x:c>
      <x:c r="G26" s="13" t="n">
        <x:v>0</x:v>
      </x:c>
      <x:c r="H26" s="17" t="n">
        <x:v>1</x:v>
      </x:c>
      <x:c r="I26" s="13" t="n">
        <x:v>0.8</x:v>
      </x:c>
      <x:c r="J26" s="12" t="n">
        <x:v>1</x:v>
      </x:c>
      <x:c r="K26" s="12" t="n">
        <x:v>0</x:v>
      </x:c>
      <x:c r="L26" s="12" t="n">
        <x:v>0</x:v>
      </x:c>
      <x:c r="M26" s="6" t="n">
        <x:f>('技能输出'!O51+'技能输出'!O52)*I26+L26</x:f>
        <x:v>9.523809523809524</x:v>
      </x:c>
      <x:c r="N26" s="6" t="n">
        <x:f>('技能输出'!P51+'技能输出'!P52)*I26</x:f>
        <x:v>0</x:v>
      </x:c>
      <x:c r="O26" s="6" t="n">
        <x:f>IF(OR(D26&lt;=0,G26&lt;0,G26&gt;=1,'调参总览'!$B$10&lt;=0),"输入无效",D26*'调参总览'!$B$10/MAX('调参总览'!$B$10-F26,1)/(1-G26*'调参总览'!$B$13))</x:f>
        <x:v>150</x:v>
      </x:c>
      <x:c r="P26" s="6" t="n">
        <x:f>SQRT(O26/$O$23*(M26+N26*'调参总览'!$B$30)/($M$23+$N$23*'调参总览'!$B$30))*J26+K26</x:f>
        <x:v>1.1501092655705905</x:v>
      </x:c>
      <x:c r="Q26" s="6" t="n">
        <x:f>IF(C26&lt;=0,"单独估价",P26/C26)</x:f>
        <x:v>0.5750546327852952</x:v>
      </x:c>
      <x:c r="R26" s="6" t="n">
        <x:f>C26*(1+'调参总览'!$B$27*(C26-1))</x:f>
        <x:v>2.16</x:v>
      </x:c>
      <x:c r="S26" s="18" t="n">
        <x:f>IF(P26&lt;=K26,"待实测",MAX(5,ROUND(D26*((MAX(0,R26-K26))/(P26-K26))^2/5,0)*5))</x:f>
        <x:v>355</x:v>
      </x:c>
      <x:c r="T26" s="6" t="str">
        <x:f>IF(Q26&gt;'调参总览'!$B$29,"效率偏高",IF(Q26&lt;'调参总览'!$B$28,"效率偏低","参考区间内"))</x:f>
        <x:v>效率偏低</x:v>
      </x:c>
      <x:c r="U26" s="6" t="str">
        <x:v>res://data/units/were_wolf.tres</x:v>
      </x:c>
      <x:c r="V26" s="6"/>
      <x:c r="W26" s="19" t="n">
        <x:v>2</x:v>
      </x:c>
      <x:c r="X26" s="19" t="n">
        <x:v>100</x:v>
      </x:c>
      <x:c r="Y26" s="19" t="n">
        <x:v>15</x:v>
      </x:c>
      <x:c r="Z26" s="19" t="n">
        <x:v>5</x:v>
      </x:c>
      <x:c r="AA26" s="20" t="n">
        <x:v>0</x:v>
      </x:c>
      <x:c r="AB26" s="19" t="n">
        <x:v>1</x:v>
      </x:c>
    </x:row>
    <x:row r="27" ht="24" customHeight="1">
      <x:c r="A27" s="6" t="str">
        <x:v>wizard</x:v>
      </x:c>
      <x:c r="B27" s="6" t="str">
        <x:v>巫师</x:v>
      </x:c>
      <x:c r="C27" s="17" t="n">
        <x:v>3</x:v>
      </x:c>
      <x:c r="D27" s="17" t="n">
        <x:v>100</x:v>
      </x:c>
      <x:c r="E27" s="17" t="n">
        <x:v>15</x:v>
      </x:c>
      <x:c r="F27" s="17" t="n">
        <x:v>5</x:v>
      </x:c>
      <x:c r="G27" s="13" t="n">
        <x:v>0</x:v>
      </x:c>
      <x:c r="H27" s="17" t="n">
        <x:v>1</x:v>
      </x:c>
      <x:c r="I27" s="13" t="n">
        <x:v>1</x:v>
      </x:c>
      <x:c r="J27" s="12" t="n">
        <x:v>1</x:v>
      </x:c>
      <x:c r="K27" s="12" t="n">
        <x:v>0</x:v>
      </x:c>
      <x:c r="L27" s="12" t="n">
        <x:v>0</x:v>
      </x:c>
      <x:c r="M27" s="6" t="n">
        <x:f>('技能输出'!O53+'技能输出'!O54)*I27+L27</x:f>
        <x:v>11.625</x:v>
      </x:c>
      <x:c r="N27" s="6" t="n">
        <x:f>('技能输出'!P53+'技能输出'!P54)*I27</x:f>
        <x:v>0</x:v>
      </x:c>
      <x:c r="O27" s="6" t="n">
        <x:f>IF(OR(D27&lt;=0,G27&lt;0,G27&gt;=1,'调参总览'!$B$10&lt;=0),"输入无效",D27*'调参总览'!$B$10/MAX('调参总览'!$B$10-F27,1)/(1-G27*'调参总览'!$B$13))</x:f>
        <x:v>150</x:v>
      </x:c>
      <x:c r="P27" s="6" t="n">
        <x:f>SQRT(O27/$O$23*(M27+N27*'调参总览'!$B$30)/($M$23+$N$23*'调参总览'!$B$30))*J27+K27</x:f>
        <x:v>1.2706625568314087</x:v>
      </x:c>
      <x:c r="Q27" s="6" t="n">
        <x:f>IF(C27&lt;=0,"单独估价",P27/C27)</x:f>
        <x:v>0.4235541856104696</x:v>
      </x:c>
      <x:c r="R27" s="6" t="n">
        <x:f>C27*(1+'调参总览'!$B$27*(C27-1))</x:f>
        <x:v>3.4799999999999995</x:v>
      </x:c>
      <x:c r="S27" s="18" t="n">
        <x:f>IF(P27&lt;=K27,"待实测",MAX(5,ROUND(D27*((MAX(0,R27-K27))/(P27-K27))^2/5,0)*5))</x:f>
        <x:v>750</x:v>
      </x:c>
      <x:c r="T27" s="6" t="str">
        <x:f>IF(Q27&gt;'调参总览'!$B$29,"效率偏高",IF(Q27&lt;'调参总览'!$B$28,"效率偏低","参考区间内"))</x:f>
        <x:v>效率偏低</x:v>
      </x:c>
      <x:c r="U27" s="6" t="str">
        <x:v>res://data/units/wizard.tres</x:v>
      </x:c>
      <x:c r="V27" s="6"/>
      <x:c r="W27" s="19" t="n">
        <x:v>3</x:v>
      </x:c>
      <x:c r="X27" s="19" t="n">
        <x:v>100</x:v>
      </x:c>
      <x:c r="Y27" s="19" t="n">
        <x:v>15</x:v>
      </x:c>
      <x:c r="Z27" s="19" t="n">
        <x:v>5</x:v>
      </x:c>
      <x:c r="AA27" s="20" t="n">
        <x:v>0</x:v>
      </x:c>
      <x:c r="AB27" s="19" t="n">
        <x:v>1</x:v>
      </x:c>
    </x:row>
    <x:row r="28" ht="24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  <x:c r="U28" s="6"/>
      <x:c r="V28" s="6"/>
      <x:c r="W28" s="6"/>
      <x:c r="X28" s="6"/>
      <x:c r="Y28" s="6"/>
      <x:c r="Z28" s="6"/>
      <x:c r="AA28" s="6"/>
      <x:c r="AB28" s="6"/>
    </x:row>
    <x:row r="29" ht="24" customHeight="1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/>
      <x:c r="V29" s="6"/>
      <x:c r="W29" s="6"/>
      <x:c r="X29" s="6"/>
      <x:c r="Y29" s="6"/>
      <x:c r="Z29" s="6"/>
      <x:c r="AA29" s="6"/>
      <x:c r="AB29" s="6"/>
    </x:row>
    <x:row r="30" ht="24" customHeight="1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  <x:c r="W30" s="6"/>
      <x:c r="X30" s="6"/>
      <x:c r="Y30" s="6"/>
      <x:c r="Z30" s="6"/>
      <x:c r="AA30" s="6"/>
      <x:c r="AB30" s="6"/>
    </x:row>
  </x:sheetData>
  <x:conditionalFormatting sqref="Q7:Q27">
    <x:cfRule type="expression" dxfId="0" priority="1">
      <x:formula>Q7&gt;'调参总览'!$B$29</x:formula>
    </x:cfRule>
    <x:cfRule type="expression" dxfId="1" priority="2">
      <x:formula>Q7&lt;'调参总览'!$B$28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65" hidden="0" customWidth="1"/>
    <x:col min="18" max="18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4" customHeight="1">
      <x:c r="A2" s="4" t="str">
        <x:v>技能输出与动画占用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30" customHeight="1">
      <x:c r="A4" s="2" t="str">
        <x:v>按优先级分配动画时间的长期近似。特殊攻击与普通攻击不会直接相加；开场爆发、走位与反击需试玩校准。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0" customHeight="1">
      <x:c r="A6" s="10" t="str">
        <x:v>单位</x:v>
      </x:c>
      <x:c r="B6" s="10" t="str">
        <x:v>技能</x:v>
      </x:c>
      <x:c r="C6" s="10" t="str">
        <x:v>类型</x:v>
      </x:c>
      <x:c r="D6" s="10" t="str">
        <x:v>优先级</x:v>
      </x:c>
      <x:c r="E6" s="10" t="str">
        <x:v>单位攻击</x:v>
      </x:c>
      <x:c r="F6" s="10" t="str">
        <x:v>攻击倍率</x:v>
      </x:c>
      <x:c r="G6" s="10" t="str">
        <x:v>冷却秒</x:v>
      </x:c>
      <x:c r="H6" s="10" t="str">
        <x:v>施法占用秒</x:v>
      </x:c>
      <x:c r="I6" s="10" t="str">
        <x:v>命中帧数</x:v>
      </x:c>
      <x:c r="J6" s="10" t="str">
        <x:v>平均目标数</x:v>
      </x:c>
      <x:c r="K6" s="10" t="str">
        <x:v>可用目标比例</x:v>
      </x:c>
      <x:c r="L6" s="10" t="str">
        <x:v>此前动画占用</x:v>
      </x:c>
      <x:c r="M6" s="10" t="str">
        <x:v>施放次数/秒</x:v>
      </x:c>
      <x:c r="N6" s="10" t="str">
        <x:v>每击有效伤害</x:v>
      </x:c>
      <x:c r="O6" s="10" t="str">
        <x:v>DPS</x:v>
      </x:c>
      <x:c r="P6" s="10" t="str">
        <x:v>有效HPS</x:v>
      </x:c>
      <x:c r="Q6" s="10" t="str">
        <x:v>技能来源</x:v>
      </x:c>
      <x:c r="R6" s="10" t="str">
        <x:v>说明</x:v>
      </x:c>
    </x:row>
    <x:row r="7" ht="24" customHeight="1">
      <x:c r="A7" s="6" t="str">
        <x:v>弓箭手</x:v>
      </x:c>
      <x:c r="B7" s="6" t="str">
        <x:v>强力射击</x:v>
      </x:c>
      <x:c r="C7" s="6" t="str">
        <x:v>远程</x:v>
      </x:c>
      <x:c r="D7" s="18" t="n">
        <x:v>2</x:v>
      </x:c>
      <x:c r="E7" s="18" t="n">
        <x:f>'单位战力'!E7</x:f>
        <x:v>13</x:v>
      </x:c>
      <x:c r="F7" s="12" t="n">
        <x:v>0.8</x:v>
      </x:c>
      <x:c r="G7" s="12" t="n">
        <x:v>3</x:v>
      </x:c>
      <x:c r="H7" s="12" t="n">
        <x:v>1.2</x:v>
      </x:c>
      <x:c r="I7" s="17" t="n">
        <x:v>1</x:v>
      </x:c>
      <x:c r="J7" s="21" t="n">
        <x:v>1.5</x:v>
      </x:c>
      <x:c r="K7" s="15" t="n">
        <x:v>1</x:v>
      </x:c>
      <x:c r="L7" s="14" t="n">
        <x:f>0</x:f>
        <x:v>0</x:v>
      </x:c>
      <x:c r="M7" s="6" t="n">
        <x:f>IF(OR(G7&lt;=0,H7&lt;=0,K7&lt;0,K7&gt;1),"输入无效",MIN(K7/G7,MAX(0,1-L7)/H7))</x:f>
        <x:v>0.3333333333333333</x:v>
      </x:c>
      <x:c r="N7" s="6" t="n">
        <x:f>MAX(INT(E7*F7)-'调参总览'!$B$11,1)*1</x:f>
        <x:v>5</x:v>
      </x:c>
      <x:c r="O7" s="6" t="n">
        <x:f>M7*N7*I7*J7</x:f>
        <x:v>2.5</x:v>
      </x:c>
      <x:c r="P7" s="6" t="n">
        <x:f>0</x:f>
        <x:v>0</x:v>
      </x:c>
      <x:c r="Q7" s="6" t="str">
        <x:v>res://data/skills/archer_power_shoot.tres</x:v>
      </x:c>
      <x:c r="R7" s="6" t="str">
        <x:v>技能初始可用；短战斗另看首发</x:v>
      </x:c>
    </x:row>
    <x:row r="8" ht="24" customHeight="1">
      <x:c r="A8" s="6" t="str">
        <x:v>弓箭手</x:v>
      </x:c>
      <x:c r="B8" s="6" t="str">
        <x:v>普通射击</x:v>
      </x:c>
      <x:c r="C8" s="6" t="str">
        <x:v>远程</x:v>
      </x:c>
      <x:c r="D8" s="18" t="n">
        <x:v>0</x:v>
      </x:c>
      <x:c r="E8" s="18" t="n">
        <x:f>'单位战力'!E7</x:f>
        <x:v>13</x:v>
      </x:c>
      <x:c r="F8" s="12" t="n">
        <x:v>1</x:v>
      </x:c>
      <x:c r="G8" s="12" t="n">
        <x:v>1</x:v>
      </x:c>
      <x:c r="H8" s="12" t="n">
        <x:v>0.9</x:v>
      </x:c>
      <x:c r="I8" s="17" t="n">
        <x:v>1</x:v>
      </x:c>
      <x:c r="J8" s="21" t="n">
        <x:v>1</x:v>
      </x:c>
      <x:c r="K8" s="15" t="n">
        <x:v>1</x:v>
      </x:c>
      <x:c r="L8" s="14" t="n">
        <x:f>L7+M7*H7</x:f>
        <x:v>0.39999999999999997</x:v>
      </x:c>
      <x:c r="M8" s="6" t="n">
        <x:f>IF(OR(G8&lt;=0,H8&lt;=0,K8&lt;0,K8&gt;1),"输入无效",MIN(K8/G8,MAX(0,1-L8)/H8))</x:f>
        <x:v>0.6666666666666667</x:v>
      </x:c>
      <x:c r="N8" s="6" t="n">
        <x:f>MAX(INT(E8*F8)-'调参总览'!$B$11,1)*1</x:f>
        <x:v>8</x:v>
      </x:c>
      <x:c r="O8" s="6" t="n">
        <x:f>M8*N8*I8*J8</x:f>
        <x:v>5.333333333333334</x:v>
      </x:c>
      <x:c r="P8" s="6" t="n">
        <x:f>0</x:f>
        <x:v>0</x:v>
      </x:c>
      <x:c r="Q8" s="6" t="str">
        <x:v>res://data/skills/archer_arrow_attack.tres</x:v>
      </x:c>
      <x:c r="R8" s="6" t="str">
        <x:v>技能初始可用；短战斗另看首发</x:v>
      </x:c>
    </x:row>
    <x:row r="9" ht="24" customHeight="1">
      <x:c r="A9" s="6" t="str">
        <x:v>装甲斧手</x:v>
      </x:c>
      <x:c r="B9" s="6" t="str">
        <x:v>劈砍攻击</x:v>
      </x:c>
      <x:c r="C9" s="6" t="str">
        <x:v>近战</x:v>
      </x:c>
      <x:c r="D9" s="18" t="n">
        <x:v>2</x:v>
      </x:c>
      <x:c r="E9" s="18" t="n">
        <x:f>'单位战力'!E8</x:f>
        <x:v>8</x:v>
      </x:c>
      <x:c r="F9" s="12" t="n">
        <x:v>1.2</x:v>
      </x:c>
      <x:c r="G9" s="12" t="n">
        <x:v>8</x:v>
      </x:c>
      <x:c r="H9" s="12" t="n">
        <x:v>1.2</x:v>
      </x:c>
      <x:c r="I9" s="17" t="n">
        <x:v>2</x:v>
      </x:c>
      <x:c r="J9" s="21" t="n">
        <x:v>1</x:v>
      </x:c>
      <x:c r="K9" s="15" t="n">
        <x:v>1</x:v>
      </x:c>
      <x:c r="L9" s="14" t="n">
        <x:f>0</x:f>
        <x:v>0</x:v>
      </x:c>
      <x:c r="M9" s="6" t="n">
        <x:f>IF(OR(G9&lt;=0,H9&lt;=0,K9&lt;0,K9&gt;1),"输入无效",MIN(K9/G9,MAX(0,1-L9)/H9))</x:f>
        <x:v>0.125</x:v>
      </x:c>
      <x:c r="N9" s="6" t="n">
        <x:f>MAX(INT(E9*F9)-'调参总览'!$B$11,1)*(1-'调参总览'!$B$12)</x:f>
        <x:v>4</x:v>
      </x:c>
      <x:c r="O9" s="6" t="n">
        <x:f>M9*N9*I9*J9</x:f>
        <x:v>1</x:v>
      </x:c>
      <x:c r="P9" s="6" t="n">
        <x:f>0</x:f>
        <x:v>0</x:v>
      </x:c>
      <x:c r="Q9" s="6" t="str">
        <x:v>res://data/skills/armored_examan_chop_attack.tres</x:v>
      </x:c>
      <x:c r="R9" s="6" t="str">
        <x:v>技能初始可用；短战斗另看首发</x:v>
      </x:c>
    </x:row>
    <x:row r="10" ht="24" customHeight="1">
      <x:c r="A10" s="6" t="str">
        <x:v>装甲斧手</x:v>
      </x:c>
      <x:c r="B10" s="6" t="str">
        <x:v>旋转攻击</x:v>
      </x:c>
      <x:c r="C10" s="6" t="str">
        <x:v>范围</x:v>
      </x:c>
      <x:c r="D10" s="18" t="n">
        <x:v>1</x:v>
      </x:c>
      <x:c r="E10" s="18" t="n">
        <x:f>'单位战力'!E8</x:f>
        <x:v>8</x:v>
      </x:c>
      <x:c r="F10" s="12" t="n">
        <x:v>0.4</x:v>
      </x:c>
      <x:c r="G10" s="12" t="n">
        <x:v>5</x:v>
      </x:c>
      <x:c r="H10" s="12" t="n">
        <x:v>0.9</x:v>
      </x:c>
      <x:c r="I10" s="17" t="n">
        <x:v>1</x:v>
      </x:c>
      <x:c r="J10" s="21" t="n">
        <x:v>1.5</x:v>
      </x:c>
      <x:c r="K10" s="15" t="n">
        <x:v>1</x:v>
      </x:c>
      <x:c r="L10" s="14" t="n">
        <x:f>L9+M9*H9</x:f>
        <x:v>0.15</x:v>
      </x:c>
      <x:c r="M10" s="6" t="n">
        <x:f>IF(OR(G10&lt;=0,H10&lt;=0,K10&lt;0,K10&gt;1),"输入无效",MIN(K10/G10,MAX(0,1-L10)/H10))</x:f>
        <x:v>0.2</x:v>
      </x:c>
      <x:c r="N10" s="6" t="n">
        <x:f>MAX(INT(E10*F10)-'调参总览'!$B$11,1)*(1-'调参总览'!$B$12)</x:f>
        <x:v>1</x:v>
      </x:c>
      <x:c r="O10" s="6" t="n">
        <x:f>M10*N10*I10*J10</x:f>
        <x:v>0.30000000000000004</x:v>
      </x:c>
      <x:c r="P10" s="6" t="n">
        <x:f>0</x:f>
        <x:v>0</x:v>
      </x:c>
      <x:c r="Q10" s="6" t="str">
        <x:v>res://data/skills/armored_examan_round_attack.tres</x:v>
      </x:c>
      <x:c r="R10" s="6" t="str">
        <x:v>技能初始可用；短战斗另看首发</x:v>
      </x:c>
    </x:row>
    <x:row r="11" ht="24" customHeight="1">
      <x:c r="A11" s="6" t="str">
        <x:v>装甲斧手</x:v>
      </x:c>
      <x:c r="B11" s="6" t="str">
        <x:v>普通攻击</x:v>
      </x:c>
      <x:c r="C11" s="6" t="str">
        <x:v>近战</x:v>
      </x:c>
      <x:c r="D11" s="18" t="n">
        <x:v>0</x:v>
      </x:c>
      <x:c r="E11" s="18" t="n">
        <x:f>'单位战力'!E8</x:f>
        <x:v>8</x:v>
      </x:c>
      <x:c r="F11" s="12" t="n">
        <x:v>1</x:v>
      </x:c>
      <x:c r="G11" s="12" t="n">
        <x:v>1</x:v>
      </x:c>
      <x:c r="H11" s="12" t="n">
        <x:v>0.9</x:v>
      </x:c>
      <x:c r="I11" s="17" t="n">
        <x:v>1</x:v>
      </x:c>
      <x:c r="J11" s="21" t="n">
        <x:v>1</x:v>
      </x:c>
      <x:c r="K11" s="15" t="n">
        <x:v>1</x:v>
      </x:c>
      <x:c r="L11" s="14" t="n">
        <x:f>L10+M10*H10</x:f>
        <x:v>0.33</x:v>
      </x:c>
      <x:c r="M11" s="6" t="n">
        <x:f>IF(OR(G11&lt;=0,H11&lt;=0,K11&lt;0,K11&gt;1),"输入无效",MIN(K11/G11,MAX(0,1-L11)/H11))</x:f>
        <x:v>0.7444444444444444</x:v>
      </x:c>
      <x:c r="N11" s="6" t="n">
        <x:f>MAX(INT(E11*F11)-'调参总览'!$B$11,1)*(1-'调参总览'!$B$12)</x:f>
        <x:v>3</x:v>
      </x:c>
      <x:c r="O11" s="6" t="n">
        <x:f>M11*N11*I11*J11</x:f>
        <x:v>2.233333333333333</x:v>
      </x:c>
      <x:c r="P11" s="6" t="n">
        <x:f>0</x:f>
        <x:v>0</x:v>
      </x:c>
      <x:c r="Q11" s="6" t="str">
        <x:v>res://data/skills/armored_examan_attack.tres</x:v>
      </x:c>
      <x:c r="R11" s="6" t="str">
        <x:v>技能初始可用；短战斗另看首发</x:v>
      </x:c>
    </x:row>
    <x:row r="12" ht="24" customHeight="1">
      <x:c r="A12" s="6" t="str">
        <x:v>武装哥布林</x:v>
      </x:c>
      <x:c r="B12" s="6" t="str">
        <x:v>撼地</x:v>
      </x:c>
      <x:c r="C12" s="6" t="str">
        <x:v>范围</x:v>
      </x:c>
      <x:c r="D12" s="18" t="n">
        <x:v>1</x:v>
      </x:c>
      <x:c r="E12" s="18" t="n">
        <x:f>'单位战力'!E9</x:f>
        <x:v>15</x:v>
      </x:c>
      <x:c r="F12" s="12" t="n">
        <x:v>1.2</x:v>
      </x:c>
      <x:c r="G12" s="12" t="n">
        <x:v>8</x:v>
      </x:c>
      <x:c r="H12" s="12" t="n">
        <x:v>0.9</x:v>
      </x:c>
      <x:c r="I12" s="17" t="n">
        <x:v>1</x:v>
      </x:c>
      <x:c r="J12" s="21" t="n">
        <x:v>1.5</x:v>
      </x:c>
      <x:c r="K12" s="15" t="n">
        <x:v>1</x:v>
      </x:c>
      <x:c r="L12" s="14" t="n">
        <x:f>0</x:f>
        <x:v>0</x:v>
      </x:c>
      <x:c r="M12" s="6" t="n">
        <x:f>IF(OR(G12&lt;=0,H12&lt;=0,K12&lt;0,K12&gt;1),"输入无效",MIN(K12/G12,MAX(0,1-L12)/H12))</x:f>
        <x:v>0.125</x:v>
      </x:c>
      <x:c r="N12" s="6" t="n">
        <x:f>MAX(INT(E12*F12)-'调参总览'!$B$11,1)*(1-'调参总览'!$B$12)</x:f>
        <x:v>13</x:v>
      </x:c>
      <x:c r="O12" s="6" t="n">
        <x:f>M12*N12*I12*J12</x:f>
        <x:v>2.4375</x:v>
      </x:c>
      <x:c r="P12" s="6" t="n">
        <x:f>0</x:f>
        <x:v>0</x:v>
      </x:c>
      <x:c r="Q12" s="6" t="str">
        <x:v>res://data/skills/armored_orc_power_attack.tres</x:v>
      </x:c>
      <x:c r="R12" s="6" t="str">
        <x:v>技能初始可用；短战斗另看首发</x:v>
      </x:c>
    </x:row>
    <x:row r="13" ht="24" customHeight="1">
      <x:c r="A13" s="6" t="str">
        <x:v>武装哥布林</x:v>
      </x:c>
      <x:c r="B13" s="6" t="str">
        <x:v>普通攻击</x:v>
      </x:c>
      <x:c r="C13" s="6" t="str">
        <x:v>近战</x:v>
      </x:c>
      <x:c r="D13" s="18" t="n">
        <x:v>0</x:v>
      </x:c>
      <x:c r="E13" s="18" t="n">
        <x:f>'单位战力'!E9</x:f>
        <x:v>15</x:v>
      </x:c>
      <x:c r="F13" s="12" t="n">
        <x:v>1</x:v>
      </x:c>
      <x:c r="G13" s="12" t="n">
        <x:v>1</x:v>
      </x:c>
      <x:c r="H13" s="12" t="n">
        <x:v>0.7</x:v>
      </x:c>
      <x:c r="I13" s="17" t="n">
        <x:v>1</x:v>
      </x:c>
      <x:c r="J13" s="21" t="n">
        <x:v>1</x:v>
      </x:c>
      <x:c r="K13" s="15" t="n">
        <x:v>1</x:v>
      </x:c>
      <x:c r="L13" s="14" t="n">
        <x:f>L12+M12*H12</x:f>
        <x:v>0.1125</x:v>
      </x:c>
      <x:c r="M13" s="6" t="n">
        <x:f>IF(OR(G13&lt;=0,H13&lt;=0,K13&lt;0,K13&gt;1),"输入无效",MIN(K13/G13,MAX(0,1-L13)/H13))</x:f>
        <x:v>1</x:v>
      </x:c>
      <x:c r="N13" s="6" t="n">
        <x:f>MAX(INT(E13*F13)-'调参总览'!$B$11,1)*(1-'调参总览'!$B$12)</x:f>
        <x:v>10</x:v>
      </x:c>
      <x:c r="O13" s="6" t="n">
        <x:f>M13*N13*I13*J13</x:f>
        <x:v>10</x:v>
      </x:c>
      <x:c r="P13" s="6" t="n">
        <x:f>0</x:f>
        <x:v>0</x:v>
      </x:c>
      <x:c r="Q13" s="6" t="str">
        <x:v>res://data/skills/armored_orc_attack.tres</x:v>
      </x:c>
      <x:c r="R13" s="6" t="str">
        <x:v>技能初始可用；短战斗另看首发</x:v>
      </x:c>
    </x:row>
    <x:row r="14" ht="24" customHeight="1">
      <x:c r="A14" s="6" t="str">
        <x:v>蝙蝠</x:v>
      </x:c>
      <x:c r="B14" s="6" t="str">
        <x:v>嗜血攻击</x:v>
      </x:c>
      <x:c r="C14" s="6" t="str">
        <x:v>吸血</x:v>
      </x:c>
      <x:c r="D14" s="18" t="n">
        <x:v>1</x:v>
      </x:c>
      <x:c r="E14" s="18" t="n">
        <x:f>'单位战力'!E10</x:f>
        <x:v>10</x:v>
      </x:c>
      <x:c r="F14" s="12" t="n">
        <x:v>1.2</x:v>
      </x:c>
      <x:c r="G14" s="12" t="n">
        <x:v>6</x:v>
      </x:c>
      <x:c r="H14" s="12" t="n">
        <x:v>0.7</x:v>
      </x:c>
      <x:c r="I14" s="17" t="n">
        <x:v>1</x:v>
      </x:c>
      <x:c r="J14" s="21" t="n">
        <x:v>1</x:v>
      </x:c>
      <x:c r="K14" s="15" t="n">
        <x:v>1</x:v>
      </x:c>
      <x:c r="L14" s="14" t="n">
        <x:f>0</x:f>
        <x:v>0</x:v>
      </x:c>
      <x:c r="M14" s="6" t="n">
        <x:f>IF(OR(G14&lt;=0,H14&lt;=0,K14&lt;0,K14&gt;1),"输入无效",MIN(K14/G14,MAX(0,1-L14)/H14))</x:f>
        <x:v>0.16666666666666666</x:v>
      </x:c>
      <x:c r="N14" s="6" t="n">
        <x:f>MAX(INT(E14*F14)-'调参总览'!$B$11,1)*(1-'调参总览'!$B$12)</x:f>
        <x:v>7</x:v>
      </x:c>
      <x:c r="O14" s="6" t="n">
        <x:f>M14*N14*I14*J14</x:f>
        <x:v>1.1666666666666665</x:v>
      </x:c>
      <x:c r="P14" s="6" t="n">
        <x:f>O14*K14</x:f>
        <x:v>1.1666666666666665</x:v>
      </x:c>
      <x:c r="Q14" s="6" t="str">
        <x:v>res://data/skills/bat_power_attack.tres</x:v>
      </x:c>
      <x:c r="R14" s="6" t="str">
        <x:v>技能初始可用；短战斗另看首发</x:v>
      </x:c>
    </x:row>
    <x:row r="15" ht="24" customHeight="1">
      <x:c r="A15" s="6" t="str">
        <x:v>蝙蝠</x:v>
      </x:c>
      <x:c r="B15" s="6" t="str">
        <x:v>普通攻击</x:v>
      </x:c>
      <x:c r="C15" s="6" t="str">
        <x:v>近战</x:v>
      </x:c>
      <x:c r="D15" s="18" t="n">
        <x:v>0</x:v>
      </x:c>
      <x:c r="E15" s="18" t="n">
        <x:f>'单位战力'!E10</x:f>
        <x:v>10</x:v>
      </x:c>
      <x:c r="F15" s="12" t="n">
        <x:v>1</x:v>
      </x:c>
      <x:c r="G15" s="12" t="n">
        <x:v>1</x:v>
      </x:c>
      <x:c r="H15" s="12" t="n">
        <x:v>0.6</x:v>
      </x:c>
      <x:c r="I15" s="17" t="n">
        <x:v>1</x:v>
      </x:c>
      <x:c r="J15" s="21" t="n">
        <x:v>1</x:v>
      </x:c>
      <x:c r="K15" s="15" t="n">
        <x:v>1</x:v>
      </x:c>
      <x:c r="L15" s="14" t="n">
        <x:f>L14+M14*H14</x:f>
        <x:v>0.11666666666666665</x:v>
      </x:c>
      <x:c r="M15" s="6" t="n">
        <x:f>IF(OR(G15&lt;=0,H15&lt;=0,K15&lt;0,K15&gt;1),"输入无效",MIN(K15/G15,MAX(0,1-L15)/H15))</x:f>
        <x:v>1</x:v>
      </x:c>
      <x:c r="N15" s="6" t="n">
        <x:f>MAX(INT(E15*F15)-'调参总览'!$B$11,1)*(1-'调参总览'!$B$12)</x:f>
        <x:v>5</x:v>
      </x:c>
      <x:c r="O15" s="6" t="n">
        <x:f>M15*N15*I15*J15</x:f>
        <x:v>5</x:v>
      </x:c>
      <x:c r="P15" s="6" t="n">
        <x:f>0</x:f>
        <x:v>0</x:v>
      </x:c>
      <x:c r="Q15" s="6" t="str">
        <x:v>res://data/skills/bat_attack.tres</x:v>
      </x:c>
      <x:c r="R15" s="6" t="str">
        <x:v>技能初始可用；短战斗另看首发</x:v>
      </x:c>
    </x:row>
    <x:row r="16" ht="24" customHeight="1">
      <x:c r="A16" s="6" t="str">
        <x:v>精英哥布林</x:v>
      </x:c>
      <x:c r="B16" s="6" t="str">
        <x:v>旋转攻击</x:v>
      </x:c>
      <x:c r="C16" s="6" t="str">
        <x:v>近战</x:v>
      </x:c>
      <x:c r="D16" s="18" t="n">
        <x:v>2</x:v>
      </x:c>
      <x:c r="E16" s="18" t="n">
        <x:f>'单位战力'!E11</x:f>
        <x:v>17</x:v>
      </x:c>
      <x:c r="F16" s="12" t="n">
        <x:v>0.8</x:v>
      </x:c>
      <x:c r="G16" s="12" t="n">
        <x:v>8</x:v>
      </x:c>
      <x:c r="H16" s="12" t="n">
        <x:v>1.1</x:v>
      </x:c>
      <x:c r="I16" s="17" t="n">
        <x:v>4</x:v>
      </x:c>
      <x:c r="J16" s="21" t="n">
        <x:v>1</x:v>
      </x:c>
      <x:c r="K16" s="15" t="n">
        <x:v>1</x:v>
      </x:c>
      <x:c r="L16" s="14" t="n">
        <x:f>0</x:f>
        <x:v>0</x:v>
      </x:c>
      <x:c r="M16" s="6" t="n">
        <x:f>IF(OR(G16&lt;=0,H16&lt;=0,K16&lt;0,K16&gt;1),"输入无效",MIN(K16/G16,MAX(0,1-L16)/H16))</x:f>
        <x:v>0.125</x:v>
      </x:c>
      <x:c r="N16" s="6" t="n">
        <x:f>MAX(INT(E16*F16)-'调参总览'!$B$11,1)*(1-'调参总览'!$B$12)</x:f>
        <x:v>8</x:v>
      </x:c>
      <x:c r="O16" s="6" t="n">
        <x:f>M16*N16*I16*J16</x:f>
        <x:v>4</x:v>
      </x:c>
      <x:c r="P16" s="6" t="n">
        <x:f>0</x:f>
        <x:v>0</x:v>
      </x:c>
      <x:c r="Q16" s="6" t="str">
        <x:v>res://data/skills/elite_orc_round_attack.tres</x:v>
      </x:c>
      <x:c r="R16" s="6" t="str">
        <x:v>技能初始可用；短战斗另看首发</x:v>
      </x:c>
    </x:row>
    <x:row r="17" ht="24" customHeight="1">
      <x:c r="A17" s="6" t="str">
        <x:v>精英哥布林</x:v>
      </x:c>
      <x:c r="B17" s="6" t="str">
        <x:v>强力攻击</x:v>
      </x:c>
      <x:c r="C17" s="6" t="str">
        <x:v>近战</x:v>
      </x:c>
      <x:c r="D17" s="18" t="n">
        <x:v>1</x:v>
      </x:c>
      <x:c r="E17" s="18" t="n">
        <x:f>'单位战力'!E11</x:f>
        <x:v>17</x:v>
      </x:c>
      <x:c r="F17" s="12" t="n">
        <x:v>2</x:v>
      </x:c>
      <x:c r="G17" s="12" t="n">
        <x:v>10</x:v>
      </x:c>
      <x:c r="H17" s="12" t="n">
        <x:v>0.9</x:v>
      </x:c>
      <x:c r="I17" s="17" t="n">
        <x:v>1</x:v>
      </x:c>
      <x:c r="J17" s="21" t="n">
        <x:v>1</x:v>
      </x:c>
      <x:c r="K17" s="15" t="n">
        <x:v>1</x:v>
      </x:c>
      <x:c r="L17" s="14" t="n">
        <x:f>L16+M16*H16</x:f>
        <x:v>0.1375</x:v>
      </x:c>
      <x:c r="M17" s="6" t="n">
        <x:f>IF(OR(G17&lt;=0,H17&lt;=0,K17&lt;0,K17&gt;1),"输入无效",MIN(K17/G17,MAX(0,1-L17)/H17))</x:f>
        <x:v>0.1</x:v>
      </x:c>
      <x:c r="N17" s="6" t="n">
        <x:f>MAX(INT(E17*F17)-'调参总览'!$B$11,1)*(1-'调参总览'!$B$12)</x:f>
        <x:v>29</x:v>
      </x:c>
      <x:c r="O17" s="6" t="n">
        <x:f>M17*N17*I17*J17</x:f>
        <x:v>2.9000000000000004</x:v>
      </x:c>
      <x:c r="P17" s="6" t="n">
        <x:f>0</x:f>
        <x:v>0</x:v>
      </x:c>
      <x:c r="Q17" s="6" t="str">
        <x:v>res://data/skills/elite_orc_power_attack.tres</x:v>
      </x:c>
      <x:c r="R17" s="6" t="str">
        <x:v>技能初始可用；短战斗另看首发</x:v>
      </x:c>
    </x:row>
    <x:row r="18" ht="24" customHeight="1">
      <x:c r="A18" s="6" t="str">
        <x:v>精英哥布林</x:v>
      </x:c>
      <x:c r="B18" s="6" t="str">
        <x:v>普通攻击</x:v>
      </x:c>
      <x:c r="C18" s="6" t="str">
        <x:v>近战</x:v>
      </x:c>
      <x:c r="D18" s="18" t="n">
        <x:v>0</x:v>
      </x:c>
      <x:c r="E18" s="18" t="n">
        <x:f>'单位战力'!E11</x:f>
        <x:v>17</x:v>
      </x:c>
      <x:c r="F18" s="12" t="n">
        <x:v>1</x:v>
      </x:c>
      <x:c r="G18" s="12" t="n">
        <x:v>1</x:v>
      </x:c>
      <x:c r="H18" s="12" t="n">
        <x:v>0.7</x:v>
      </x:c>
      <x:c r="I18" s="17" t="n">
        <x:v>1</x:v>
      </x:c>
      <x:c r="J18" s="21" t="n">
        <x:v>1</x:v>
      </x:c>
      <x:c r="K18" s="15" t="n">
        <x:v>1</x:v>
      </x:c>
      <x:c r="L18" s="14" t="n">
        <x:f>L17+M17*H17</x:f>
        <x:v>0.22750000000000004</x:v>
      </x:c>
      <x:c r="M18" s="6" t="n">
        <x:f>IF(OR(G18&lt;=0,H18&lt;=0,K18&lt;0,K18&gt;1),"输入无效",MIN(K18/G18,MAX(0,1-L18)/H18))</x:f>
        <x:v>1</x:v>
      </x:c>
      <x:c r="N18" s="6" t="n">
        <x:f>MAX(INT(E18*F18)-'调参总览'!$B$11,1)*(1-'调参总览'!$B$12)</x:f>
        <x:v>12</x:v>
      </x:c>
      <x:c r="O18" s="6" t="n">
        <x:f>M18*N18*I18*J18</x:f>
        <x:v>12</x:v>
      </x:c>
      <x:c r="P18" s="6" t="n">
        <x:f>0</x:f>
        <x:v>0</x:v>
      </x:c>
      <x:c r="Q18" s="6" t="str">
        <x:v>res://data/skills/elite_orc_attack.tres</x:v>
      </x:c>
      <x:c r="R18" s="6" t="str">
        <x:v>技能初始可用；短战斗另看首发</x:v>
      </x:c>
    </x:row>
    <x:row r="19" ht="24" customHeight="1">
      <x:c r="A19" s="6" t="str">
        <x:v>骷髅剑士</x:v>
      </x:c>
      <x:c r="B19" s="6" t="str">
        <x:v>下扫</x:v>
      </x:c>
      <x:c r="C19" s="6" t="str">
        <x:v>近战</x:v>
      </x:c>
      <x:c r="D19" s="18" t="n">
        <x:v>1</x:v>
      </x:c>
      <x:c r="E19" s="18" t="n">
        <x:f>'单位战力'!E12</x:f>
        <x:v>13</x:v>
      </x:c>
      <x:c r="F19" s="12" t="n">
        <x:v>1.2</x:v>
      </x:c>
      <x:c r="G19" s="12" t="n">
        <x:v>4</x:v>
      </x:c>
      <x:c r="H19" s="12" t="n">
        <x:v>1.2</x:v>
      </x:c>
      <x:c r="I19" s="17" t="n">
        <x:v>1</x:v>
      </x:c>
      <x:c r="J19" s="21" t="n">
        <x:v>1</x:v>
      </x:c>
      <x:c r="K19" s="15" t="n">
        <x:v>1</x:v>
      </x:c>
      <x:c r="L19" s="14" t="n">
        <x:f>0</x:f>
        <x:v>0</x:v>
      </x:c>
      <x:c r="M19" s="6" t="n">
        <x:f>IF(OR(G19&lt;=0,H19&lt;=0,K19&lt;0,K19&gt;1),"输入无效",MIN(K19/G19,MAX(0,1-L19)/H19))</x:f>
        <x:v>0.25</x:v>
      </x:c>
      <x:c r="N19" s="6" t="n">
        <x:f>MAX(INT(E19*F19)-'调参总览'!$B$11,1)*(1-'调参总览'!$B$12)</x:f>
        <x:v>10</x:v>
      </x:c>
      <x:c r="O19" s="6" t="n">
        <x:f>M19*N19*I19*J19</x:f>
        <x:v>2.5</x:v>
      </x:c>
      <x:c r="P19" s="6" t="n">
        <x:f>0</x:f>
        <x:v>0</x:v>
      </x:c>
      <x:c r="Q19" s="6" t="str">
        <x:v>res://data/skills/greatswords_skeleton_power_attack.tres</x:v>
      </x:c>
      <x:c r="R19" s="6" t="str">
        <x:v>技能初始可用；短战斗另看首发</x:v>
      </x:c>
    </x:row>
    <x:row r="20" ht="24" customHeight="1">
      <x:c r="A20" s="6" t="str">
        <x:v>骷髅剑士</x:v>
      </x:c>
      <x:c r="B20" s="6" t="str">
        <x:v>普通攻击</x:v>
      </x:c>
      <x:c r="C20" s="6" t="str">
        <x:v>近战</x:v>
      </x:c>
      <x:c r="D20" s="18" t="n">
        <x:v>0</x:v>
      </x:c>
      <x:c r="E20" s="18" t="n">
        <x:f>'单位战力'!E12</x:f>
        <x:v>13</x:v>
      </x:c>
      <x:c r="F20" s="12" t="n">
        <x:v>1</x:v>
      </x:c>
      <x:c r="G20" s="12" t="n">
        <x:v>1</x:v>
      </x:c>
      <x:c r="H20" s="12" t="n">
        <x:v>0.9</x:v>
      </x:c>
      <x:c r="I20" s="17" t="n">
        <x:v>1</x:v>
      </x:c>
      <x:c r="J20" s="21" t="n">
        <x:v>1</x:v>
      </x:c>
      <x:c r="K20" s="15" t="n">
        <x:v>1</x:v>
      </x:c>
      <x:c r="L20" s="14" t="n">
        <x:f>L19+M19*H19</x:f>
        <x:v>0.3</x:v>
      </x:c>
      <x:c r="M20" s="6" t="n">
        <x:f>IF(OR(G20&lt;=0,H20&lt;=0,K20&lt;0,K20&gt;1),"输入无效",MIN(K20/G20,MAX(0,1-L20)/H20))</x:f>
        <x:v>0.7777777777777777</x:v>
      </x:c>
      <x:c r="N20" s="6" t="n">
        <x:f>MAX(INT(E20*F20)-'调参总览'!$B$11,1)*(1-'调参总览'!$B$12)</x:f>
        <x:v>8</x:v>
      </x:c>
      <x:c r="O20" s="6" t="n">
        <x:f>M20*N20*I20*J20</x:f>
        <x:v>6.222222222222221</x:v>
      </x:c>
      <x:c r="P20" s="6" t="n">
        <x:f>0</x:f>
        <x:v>0</x:v>
      </x:c>
      <x:c r="Q20" s="6" t="str">
        <x:v>res://data/skills/greatswords_skeleton_attack.tres</x:v>
      </x:c>
      <x:c r="R20" s="6" t="str">
        <x:v>技能初始可用；短战斗另看首发</x:v>
      </x:c>
    </x:row>
    <x:row r="21" ht="24" customHeight="1">
      <x:c r="A21" s="6" t="str">
        <x:v>骷髅剑士</x:v>
      </x:c>
      <x:c r="B21" s="6" t="str">
        <x:v>刺击</x:v>
      </x:c>
      <x:c r="C21" s="6" t="str">
        <x:v>近战</x:v>
      </x:c>
      <x:c r="D21" s="18" t="n">
        <x:v>0</x:v>
      </x:c>
      <x:c r="E21" s="18" t="n">
        <x:f>'单位战力'!E12</x:f>
        <x:v>13</x:v>
      </x:c>
      <x:c r="F21" s="12" t="n">
        <x:v>1.4</x:v>
      </x:c>
      <x:c r="G21" s="12" t="n">
        <x:v>6</x:v>
      </x:c>
      <x:c r="H21" s="12" t="n">
        <x:v>0.8</x:v>
      </x:c>
      <x:c r="I21" s="17" t="n">
        <x:v>1</x:v>
      </x:c>
      <x:c r="J21" s="21" t="n">
        <x:v>1</x:v>
      </x:c>
      <x:c r="K21" s="15" t="n">
        <x:v>1</x:v>
      </x:c>
      <x:c r="L21" s="14" t="n">
        <x:f>L20+M20*H20</x:f>
        <x:v>1</x:v>
      </x:c>
      <x:c r="M21" s="6" t="n">
        <x:f>IF(OR(G21&lt;=0,H21&lt;=0,K21&lt;0,K21&gt;1),"输入无效",MIN(K21/G21,MAX(0,1-L21)/H21))</x:f>
        <x:v>0</x:v>
      </x:c>
      <x:c r="N21" s="6" t="n">
        <x:f>MAX(INT(E21*F21)-'调参总览'!$B$11,1)*(1-'调参总览'!$B$12)</x:f>
        <x:v>13</x:v>
      </x:c>
      <x:c r="O21" s="6" t="n">
        <x:f>M21*N21*I21*J21</x:f>
        <x:v>0</x:v>
      </x:c>
      <x:c r="P21" s="6" t="n">
        <x:f>0</x:f>
        <x:v>0</x:v>
      </x:c>
      <x:c r="Q21" s="6" t="str">
        <x:v>res://data/skills/greatswords_skeleton_stick_attack.tres</x:v>
      </x:c>
      <x:c r="R21" s="6" t="str">
        <x:v>技能初始可用；短战斗另看首发</x:v>
      </x:c>
    </x:row>
    <x:row r="22" ht="24" customHeight="1">
      <x:c r="A22" s="6" t="str">
        <x:v>骑士</x:v>
      </x:c>
      <x:c r="B22" s="6" t="str">
        <x:v>强力攻击</x:v>
      </x:c>
      <x:c r="C22" s="6" t="str">
        <x:v>近战</x:v>
      </x:c>
      <x:c r="D22" s="18" t="n">
        <x:v>1</x:v>
      </x:c>
      <x:c r="E22" s="18" t="n">
        <x:f>'单位战力'!E13</x:f>
        <x:v>15</x:v>
      </x:c>
      <x:c r="F22" s="12" t="n">
        <x:v>3</x:v>
      </x:c>
      <x:c r="G22" s="12" t="n">
        <x:v>10</x:v>
      </x:c>
      <x:c r="H22" s="12" t="n">
        <x:v>1.1</x:v>
      </x:c>
      <x:c r="I22" s="17" t="n">
        <x:v>1</x:v>
      </x:c>
      <x:c r="J22" s="21" t="n">
        <x:v>1</x:v>
      </x:c>
      <x:c r="K22" s="15" t="n">
        <x:v>1</x:v>
      </x:c>
      <x:c r="L22" s="14" t="n">
        <x:f>0</x:f>
        <x:v>0</x:v>
      </x:c>
      <x:c r="M22" s="6" t="n">
        <x:f>IF(OR(G22&lt;=0,H22&lt;=0,K22&lt;0,K22&gt;1),"输入无效",MIN(K22/G22,MAX(0,1-L22)/H22))</x:f>
        <x:v>0.1</x:v>
      </x:c>
      <x:c r="N22" s="6" t="n">
        <x:f>MAX(INT(E22*F22)-'调参总览'!$B$11,1)*(1-'调参总览'!$B$12)</x:f>
        <x:v>40</x:v>
      </x:c>
      <x:c r="O22" s="6" t="n">
        <x:f>M22*N22*I22*J22</x:f>
        <x:v>4</x:v>
      </x:c>
      <x:c r="P22" s="6" t="n">
        <x:f>0</x:f>
        <x:v>0</x:v>
      </x:c>
      <x:c r="Q22" s="6" t="str">
        <x:v>res://data/skills/knight_power_attack.tres</x:v>
      </x:c>
      <x:c r="R22" s="6" t="str">
        <x:v>技能初始可用；短战斗另看首发</x:v>
      </x:c>
    </x:row>
    <x:row r="23" ht="24" customHeight="1">
      <x:c r="A23" s="6" t="str">
        <x:v>骑士</x:v>
      </x:c>
      <x:c r="B23" s="6" t="str">
        <x:v>普通攻击</x:v>
      </x:c>
      <x:c r="C23" s="6" t="str">
        <x:v>近战</x:v>
      </x:c>
      <x:c r="D23" s="18" t="n">
        <x:v>0</x:v>
      </x:c>
      <x:c r="E23" s="18" t="n">
        <x:f>'单位战力'!E13</x:f>
        <x:v>15</x:v>
      </x:c>
      <x:c r="F23" s="12" t="n">
        <x:v>1</x:v>
      </x:c>
      <x:c r="G23" s="12" t="n">
        <x:v>1</x:v>
      </x:c>
      <x:c r="H23" s="12" t="n">
        <x:v>0.7</x:v>
      </x:c>
      <x:c r="I23" s="17" t="n">
        <x:v>1</x:v>
      </x:c>
      <x:c r="J23" s="21" t="n">
        <x:v>1</x:v>
      </x:c>
      <x:c r="K23" s="15" t="n">
        <x:v>1</x:v>
      </x:c>
      <x:c r="L23" s="14" t="n">
        <x:f>L22+M22*H22</x:f>
        <x:v>0.11000000000000001</x:v>
      </x:c>
      <x:c r="M23" s="6" t="n">
        <x:f>IF(OR(G23&lt;=0,H23&lt;=0,K23&lt;0,K23&gt;1),"输入无效",MIN(K23/G23,MAX(0,1-L23)/H23))</x:f>
        <x:v>1</x:v>
      </x:c>
      <x:c r="N23" s="6" t="n">
        <x:f>MAX(INT(E23*F23)-'调参总览'!$B$11,1)*(1-'调参总览'!$B$12)</x:f>
        <x:v>10</x:v>
      </x:c>
      <x:c r="O23" s="6" t="n">
        <x:f>M23*N23*I23*J23</x:f>
        <x:v>10</x:v>
      </x:c>
      <x:c r="P23" s="6" t="n">
        <x:f>0</x:f>
        <x:v>0</x:v>
      </x:c>
      <x:c r="Q23" s="6" t="str">
        <x:v>res://data/skills/knight_attack.tres</x:v>
      </x:c>
      <x:c r="R23" s="6" t="str">
        <x:v>技能初始可用；短战斗另看首发</x:v>
      </x:c>
    </x:row>
    <x:row r="24" ht="24" customHeight="1">
      <x:c r="A24" s="6" t="str">
        <x:v>圣殿骑士</x:v>
      </x:c>
      <x:c r="B24" s="6" t="str">
        <x:v>连续攻击</x:v>
      </x:c>
      <x:c r="C24" s="6" t="str">
        <x:v>近战</x:v>
      </x:c>
      <x:c r="D24" s="18" t="n">
        <x:v>1</x:v>
      </x:c>
      <x:c r="E24" s="18" t="n">
        <x:f>'单位战力'!E14</x:f>
        <x:v>15</x:v>
      </x:c>
      <x:c r="F24" s="12" t="n">
        <x:v>0.8</x:v>
      </x:c>
      <x:c r="G24" s="12" t="n">
        <x:v>5</x:v>
      </x:c>
      <x:c r="H24" s="12" t="n">
        <x:v>1.1</x:v>
      </x:c>
      <x:c r="I24" s="17" t="n">
        <x:v>2</x:v>
      </x:c>
      <x:c r="J24" s="21" t="n">
        <x:v>1</x:v>
      </x:c>
      <x:c r="K24" s="15" t="n">
        <x:v>1</x:v>
      </x:c>
      <x:c r="L24" s="14" t="n">
        <x:f>0</x:f>
        <x:v>0</x:v>
      </x:c>
      <x:c r="M24" s="6" t="n">
        <x:f>IF(OR(G24&lt;=0,H24&lt;=0,K24&lt;0,K24&gt;1),"输入无效",MIN(K24/G24,MAX(0,1-L24)/H24))</x:f>
        <x:v>0.2</x:v>
      </x:c>
      <x:c r="N24" s="6" t="n">
        <x:f>MAX(INT(E24*F24)-'调参总览'!$B$11,1)*(1-'调参总览'!$B$12)</x:f>
        <x:v>7</x:v>
      </x:c>
      <x:c r="O24" s="6" t="n">
        <x:f>M24*N24*I24*J24</x:f>
        <x:v>2.8000000000000003</x:v>
      </x:c>
      <x:c r="P24" s="6" t="n">
        <x:f>0</x:f>
        <x:v>0</x:v>
      </x:c>
      <x:c r="Q24" s="6" t="str">
        <x:v>res://data/skills/knight_templar_power_attack.tres</x:v>
      </x:c>
      <x:c r="R24" s="6" t="str">
        <x:v>技能初始可用；短战斗另看首发</x:v>
      </x:c>
    </x:row>
    <x:row r="25" ht="24" customHeight="1">
      <x:c r="A25" s="6" t="str">
        <x:v>圣殿骑士</x:v>
      </x:c>
      <x:c r="B25" s="6" t="str">
        <x:v>普通攻击</x:v>
      </x:c>
      <x:c r="C25" s="6" t="str">
        <x:v>近战</x:v>
      </x:c>
      <x:c r="D25" s="18" t="n">
        <x:v>0</x:v>
      </x:c>
      <x:c r="E25" s="18" t="n">
        <x:f>'单位战力'!E14</x:f>
        <x:v>15</x:v>
      </x:c>
      <x:c r="F25" s="12" t="n">
        <x:v>1</x:v>
      </x:c>
      <x:c r="G25" s="12" t="n">
        <x:v>1</x:v>
      </x:c>
      <x:c r="H25" s="12" t="n">
        <x:v>0.7</x:v>
      </x:c>
      <x:c r="I25" s="17" t="n">
        <x:v>1</x:v>
      </x:c>
      <x:c r="J25" s="21" t="n">
        <x:v>1</x:v>
      </x:c>
      <x:c r="K25" s="15" t="n">
        <x:v>1</x:v>
      </x:c>
      <x:c r="L25" s="14" t="n">
        <x:f>L24+M24*H24</x:f>
        <x:v>0.22000000000000003</x:v>
      </x:c>
      <x:c r="M25" s="6" t="n">
        <x:f>IF(OR(G25&lt;=0,H25&lt;=0,K25&lt;0,K25&gt;1),"输入无效",MIN(K25/G25,MAX(0,1-L25)/H25))</x:f>
        <x:v>1</x:v>
      </x:c>
      <x:c r="N25" s="6" t="n">
        <x:f>MAX(INT(E25*F25)-'调参总览'!$B$11,1)*(1-'调参总览'!$B$12)</x:f>
        <x:v>10</x:v>
      </x:c>
      <x:c r="O25" s="6" t="n">
        <x:f>M25*N25*I25*J25</x:f>
        <x:v>10</x:v>
      </x:c>
      <x:c r="P25" s="6" t="n">
        <x:f>0</x:f>
        <x:v>0</x:v>
      </x:c>
      <x:c r="Q25" s="6" t="str">
        <x:v>res://data/skills/knight_templar_attack.tres</x:v>
      </x:c>
      <x:c r="R25" s="6" t="str">
        <x:v>技能初始可用；短战斗另看首发</x:v>
      </x:c>
    </x:row>
    <x:row r="26" ht="24" customHeight="1">
      <x:c r="A26" s="6" t="str">
        <x:v>骑兵</x:v>
      </x:c>
      <x:c r="B26" s="6" t="str">
        <x:v>冲刺攻击</x:v>
      </x:c>
      <x:c r="C26" s="6" t="str">
        <x:v>范围</x:v>
      </x:c>
      <x:c r="D26" s="18" t="n">
        <x:v>2</x:v>
      </x:c>
      <x:c r="E26" s="18" t="n">
        <x:f>'单位战力'!E15</x:f>
        <x:v>15</x:v>
      </x:c>
      <x:c r="F26" s="12" t="n">
        <x:v>1</x:v>
      </x:c>
      <x:c r="G26" s="12" t="n">
        <x:v>10</x:v>
      </x:c>
      <x:c r="H26" s="12" t="n">
        <x:v>2.8</x:v>
      </x:c>
      <x:c r="I26" s="17" t="n">
        <x:v>1</x:v>
      </x:c>
      <x:c r="J26" s="21" t="n">
        <x:v>1.5</x:v>
      </x:c>
      <x:c r="K26" s="15" t="n">
        <x:v>1</x:v>
      </x:c>
      <x:c r="L26" s="14" t="n">
        <x:f>0</x:f>
        <x:v>0</x:v>
      </x:c>
      <x:c r="M26" s="6" t="n">
        <x:f>IF(OR(G26&lt;=0,H26&lt;=0,K26&lt;0,K26&gt;1),"输入无效",MIN(K26/G26,MAX(0,1-L26)/H26))</x:f>
        <x:v>0.1</x:v>
      </x:c>
      <x:c r="N26" s="6" t="n">
        <x:f>MAX(INT(E26*F26)-'调参总览'!$B$11,1)*(1-'调参总览'!$B$12)</x:f>
        <x:v>10</x:v>
      </x:c>
      <x:c r="O26" s="6" t="n">
        <x:f>M26*N26*I26*J26</x:f>
        <x:v>1.5</x:v>
      </x:c>
      <x:c r="P26" s="6" t="n">
        <x:f>0</x:f>
        <x:v>0</x:v>
      </x:c>
      <x:c r="Q26" s="6" t="str">
        <x:v>res://data/skills/lancer_dash_attack.tres</x:v>
      </x:c>
      <x:c r="R26" s="6" t="str">
        <x:v>手动结束；占用含冲刺估计</x:v>
      </x:c>
    </x:row>
    <x:row r="27" ht="24" customHeight="1">
      <x:c r="A27" s="6" t="str">
        <x:v>骑兵</x:v>
      </x:c>
      <x:c r="B27" s="6" t="str">
        <x:v>强力刺击</x:v>
      </x:c>
      <x:c r="C27" s="6" t="str">
        <x:v>近战</x:v>
      </x:c>
      <x:c r="D27" s="18" t="n">
        <x:v>1</x:v>
      </x:c>
      <x:c r="E27" s="18" t="n">
        <x:f>'单位战力'!E15</x:f>
        <x:v>15</x:v>
      </x:c>
      <x:c r="F27" s="12" t="n">
        <x:v>1.5</x:v>
      </x:c>
      <x:c r="G27" s="12" t="n">
        <x:v>8</x:v>
      </x:c>
      <x:c r="H27" s="12" t="n">
        <x:v>0.9</x:v>
      </x:c>
      <x:c r="I27" s="17" t="n">
        <x:v>1</x:v>
      </x:c>
      <x:c r="J27" s="21" t="n">
        <x:v>1</x:v>
      </x:c>
      <x:c r="K27" s="15" t="n">
        <x:v>1</x:v>
      </x:c>
      <x:c r="L27" s="14" t="n">
        <x:f>L26+M26*H26</x:f>
        <x:v>0.27999999999999997</x:v>
      </x:c>
      <x:c r="M27" s="6" t="n">
        <x:f>IF(OR(G27&lt;=0,H27&lt;=0,K27&lt;0,K27&gt;1),"输入无效",MIN(K27/G27,MAX(0,1-L27)/H27))</x:f>
        <x:v>0.125</x:v>
      </x:c>
      <x:c r="N27" s="6" t="n">
        <x:f>MAX(INT(E27*F27)-'调参总览'!$B$11,1)*(1-'调参总览'!$B$12)</x:f>
        <x:v>17</x:v>
      </x:c>
      <x:c r="O27" s="6" t="n">
        <x:f>M27*N27*I27*J27</x:f>
        <x:v>2.125</x:v>
      </x:c>
      <x:c r="P27" s="6" t="n">
        <x:f>0</x:f>
        <x:v>0</x:v>
      </x:c>
      <x:c r="Q27" s="6" t="str">
        <x:v>res://data/skills/lancer_power_attack.tres</x:v>
      </x:c>
      <x:c r="R27" s="6" t="str">
        <x:v>技能初始可用；短战斗另看首发</x:v>
      </x:c>
    </x:row>
    <x:row r="28" ht="24" customHeight="1">
      <x:c r="A28" s="6" t="str">
        <x:v>骑兵</x:v>
      </x:c>
      <x:c r="B28" s="6" t="str">
        <x:v>普通攻击</x:v>
      </x:c>
      <x:c r="C28" s="6" t="str">
        <x:v>近战</x:v>
      </x:c>
      <x:c r="D28" s="18" t="n">
        <x:v>0</x:v>
      </x:c>
      <x:c r="E28" s="18" t="n">
        <x:f>'单位战力'!E15</x:f>
        <x:v>15</x:v>
      </x:c>
      <x:c r="F28" s="12" t="n">
        <x:v>1</x:v>
      </x:c>
      <x:c r="G28" s="12" t="n">
        <x:v>1</x:v>
      </x:c>
      <x:c r="H28" s="12" t="n">
        <x:v>0.6</x:v>
      </x:c>
      <x:c r="I28" s="17" t="n">
        <x:v>1</x:v>
      </x:c>
      <x:c r="J28" s="21" t="n">
        <x:v>1</x:v>
      </x:c>
      <x:c r="K28" s="15" t="n">
        <x:v>1</x:v>
      </x:c>
      <x:c r="L28" s="14" t="n">
        <x:f>L27+M27*H27</x:f>
        <x:v>0.39249999999999996</x:v>
      </x:c>
      <x:c r="M28" s="6" t="n">
        <x:f>IF(OR(G28&lt;=0,H28&lt;=0,K28&lt;0,K28&gt;1),"输入无效",MIN(K28/G28,MAX(0,1-L28)/H28))</x:f>
        <x:v>1</x:v>
      </x:c>
      <x:c r="N28" s="6" t="n">
        <x:f>MAX(INT(E28*F28)-'调参总览'!$B$11,1)*(1-'调参总览'!$B$12)</x:f>
        <x:v>10</x:v>
      </x:c>
      <x:c r="O28" s="6" t="n">
        <x:f>M28*N28*I28*J28</x:f>
        <x:v>10</x:v>
      </x:c>
      <x:c r="P28" s="6" t="n">
        <x:f>0</x:f>
        <x:v>0</x:v>
      </x:c>
      <x:c r="Q28" s="6" t="str">
        <x:v>res://data/skills/lancer_attack.tres</x:v>
      </x:c>
      <x:c r="R28" s="6" t="str">
        <x:v>技能初始可用；短战斗另看首发</x:v>
      </x:c>
    </x:row>
    <x:row r="29" ht="24" customHeight="1">
      <x:c r="A29" s="6" t="str">
        <x:v>死灵法师</x:v>
      </x:c>
      <x:c r="B29" s="6" t="str">
        <x:v>蝙蝠召唤</x:v>
      </x:c>
      <x:c r="C29" s="6" t="str">
        <x:v>召唤</x:v>
      </x:c>
      <x:c r="D29" s="18" t="n">
        <x:v>2</x:v>
      </x:c>
      <x:c r="E29" s="18" t="n">
        <x:f>'单位战力'!E16</x:f>
        <x:v>15</x:v>
      </x:c>
      <x:c r="F29" s="12" t="n">
        <x:v>1</x:v>
      </x:c>
      <x:c r="G29" s="12" t="n">
        <x:v>8</x:v>
      </x:c>
      <x:c r="H29" s="12" t="n">
        <x:v>1</x:v>
      </x:c>
      <x:c r="I29" s="17" t="n">
        <x:v>1</x:v>
      </x:c>
      <x:c r="J29" s="21" t="n">
        <x:v>1</x:v>
      </x:c>
      <x:c r="K29" s="15" t="n">
        <x:v>1</x:v>
      </x:c>
      <x:c r="L29" s="14" t="n">
        <x:f>0</x:f>
        <x:v>0</x:v>
      </x:c>
      <x:c r="M29" s="6" t="n">
        <x:f>IF(OR(G29&lt;=0,H29&lt;=0,K29&lt;0,K29&gt;1),"输入无效",MIN(K29/G29,MAX(0,1-L29)/H29))</x:f>
        <x:v>0.125</x:v>
      </x:c>
      <x:c r="N29" s="6" t="n">
        <x:f>MAX(INT(E29*F29)-'调参总览'!$B$11,1)*(1-'调参总览'!$B$12)</x:f>
        <x:v>10</x:v>
      </x:c>
      <x:c r="O29" s="6" t="n">
        <x:f>0</x:f>
        <x:v>0</x:v>
      </x:c>
      <x:c r="P29" s="6" t="n">
        <x:f>0</x:f>
        <x:v>0</x:v>
      </x:c>
      <x:c r="Q29" s="6" t="str">
        <x:v>res://data/skills/necromancer_summon.tres</x:v>
      </x:c>
      <x:c r="R29" s="6" t="str">
        <x:v>技能初始可用；短战斗另看首发</x:v>
      </x:c>
    </x:row>
    <x:row r="30" ht="24" customHeight="1">
      <x:c r="A30" s="6" t="str">
        <x:v>死灵法师</x:v>
      </x:c>
      <x:c r="B30" s="6" t="str">
        <x:v>远程攻击</x:v>
      </x:c>
      <x:c r="C30" s="6" t="str">
        <x:v>近战</x:v>
      </x:c>
      <x:c r="D30" s="18" t="n">
        <x:v>1</x:v>
      </x:c>
      <x:c r="E30" s="18" t="n">
        <x:f>'单位战力'!E16</x:f>
        <x:v>15</x:v>
      </x:c>
      <x:c r="F30" s="12" t="n">
        <x:v>1</x:v>
      </x:c>
      <x:c r="G30" s="12" t="n">
        <x:v>4</x:v>
      </x:c>
      <x:c r="H30" s="12" t="n">
        <x:v>1</x:v>
      </x:c>
      <x:c r="I30" s="17" t="n">
        <x:v>1</x:v>
      </x:c>
      <x:c r="J30" s="21" t="n">
        <x:v>1</x:v>
      </x:c>
      <x:c r="K30" s="15" t="n">
        <x:v>1</x:v>
      </x:c>
      <x:c r="L30" s="14" t="n">
        <x:f>L29+M29*H29</x:f>
        <x:v>0.125</x:v>
      </x:c>
      <x:c r="M30" s="6" t="n">
        <x:f>IF(OR(G30&lt;=0,H30&lt;=0,K30&lt;0,K30&gt;1),"输入无效",MIN(K30/G30,MAX(0,1-L30)/H30))</x:f>
        <x:v>0.25</x:v>
      </x:c>
      <x:c r="N30" s="6" t="n">
        <x:f>MAX(INT(E30*F30)-'调参总览'!$B$11,1)*(1-'调参总览'!$B$12)</x:f>
        <x:v>10</x:v>
      </x:c>
      <x:c r="O30" s="6" t="n">
        <x:f>M30*N30*I30*J30</x:f>
        <x:v>2.5</x:v>
      </x:c>
      <x:c r="P30" s="6" t="n">
        <x:f>0</x:f>
        <x:v>0</x:v>
      </x:c>
      <x:c r="Q30" s="6" t="str">
        <x:v>res://data/skills/necromancer_power_attack.tres</x:v>
      </x:c>
      <x:c r="R30" s="6" t="str">
        <x:v>技能初始可用；短战斗另看首发</x:v>
      </x:c>
    </x:row>
    <x:row r="31" ht="24" customHeight="1">
      <x:c r="A31" s="6" t="str">
        <x:v>死灵法师</x:v>
      </x:c>
      <x:c r="B31" s="6" t="str">
        <x:v>普通攻击</x:v>
      </x:c>
      <x:c r="C31" s="6" t="str">
        <x:v>近战</x:v>
      </x:c>
      <x:c r="D31" s="18" t="n">
        <x:v>0</x:v>
      </x:c>
      <x:c r="E31" s="18" t="n">
        <x:f>'单位战力'!E16</x:f>
        <x:v>15</x:v>
      </x:c>
      <x:c r="F31" s="12" t="n">
        <x:v>1</x:v>
      </x:c>
      <x:c r="G31" s="12" t="n">
        <x:v>1</x:v>
      </x:c>
      <x:c r="H31" s="12" t="n">
        <x:v>0.9</x:v>
      </x:c>
      <x:c r="I31" s="17" t="n">
        <x:v>1</x:v>
      </x:c>
      <x:c r="J31" s="21" t="n">
        <x:v>1</x:v>
      </x:c>
      <x:c r="K31" s="15" t="n">
        <x:v>1</x:v>
      </x:c>
      <x:c r="L31" s="14" t="n">
        <x:f>L30+M30*H30</x:f>
        <x:v>0.375</x:v>
      </x:c>
      <x:c r="M31" s="6" t="n">
        <x:f>IF(OR(G31&lt;=0,H31&lt;=0,K31&lt;0,K31&gt;1),"输入无效",MIN(K31/G31,MAX(0,1-L31)/H31))</x:f>
        <x:v>0.6944444444444444</x:v>
      </x:c>
      <x:c r="N31" s="6" t="n">
        <x:f>MAX(INT(E31*F31)-'调参总览'!$B$11,1)*(1-'调参总览'!$B$12)</x:f>
        <x:v>10</x:v>
      </x:c>
      <x:c r="O31" s="6" t="n">
        <x:f>M31*N31*I31*J31</x:f>
        <x:v>6.944444444444445</x:v>
      </x:c>
      <x:c r="P31" s="6" t="n">
        <x:f>0</x:f>
        <x:v>0</x:v>
      </x:c>
      <x:c r="Q31" s="6" t="str">
        <x:v>res://data/skills/necromancer_attack.tres</x:v>
      </x:c>
      <x:c r="R31" s="6" t="str">
        <x:v>技能初始可用；短战斗另看首发</x:v>
      </x:c>
    </x:row>
    <x:row r="32" ht="24" customHeight="1">
      <x:c r="A32" s="6" t="str">
        <x:v>哥布林</x:v>
      </x:c>
      <x:c r="B32" s="6" t="str">
        <x:v>普通攻击</x:v>
      </x:c>
      <x:c r="C32" s="6" t="str">
        <x:v>近战</x:v>
      </x:c>
      <x:c r="D32" s="18" t="n">
        <x:v>0</x:v>
      </x:c>
      <x:c r="E32" s="18" t="n">
        <x:f>'单位战力'!E17</x:f>
        <x:v>15</x:v>
      </x:c>
      <x:c r="F32" s="12" t="n">
        <x:v>1</x:v>
      </x:c>
      <x:c r="G32" s="12" t="n">
        <x:v>1</x:v>
      </x:c>
      <x:c r="H32" s="12" t="n">
        <x:v>0.6</x:v>
      </x:c>
      <x:c r="I32" s="17" t="n">
        <x:v>1</x:v>
      </x:c>
      <x:c r="J32" s="21" t="n">
        <x:v>1</x:v>
      </x:c>
      <x:c r="K32" s="15" t="n">
        <x:v>1</x:v>
      </x:c>
      <x:c r="L32" s="14" t="n">
        <x:f>0</x:f>
        <x:v>0</x:v>
      </x:c>
      <x:c r="M32" s="6" t="n">
        <x:f>IF(OR(G32&lt;=0,H32&lt;=0,K32&lt;0,K32&gt;1),"输入无效",MIN(K32/G32,MAX(0,1-L32)/H32))</x:f>
        <x:v>1</x:v>
      </x:c>
      <x:c r="N32" s="6" t="n">
        <x:f>MAX(INT(E32*F32)-'调参总览'!$B$11,1)*(1-'调参总览'!$B$12)</x:f>
        <x:v>10</x:v>
      </x:c>
      <x:c r="O32" s="6" t="n">
        <x:f>M32*N32*I32*J32</x:f>
        <x:v>10</x:v>
      </x:c>
      <x:c r="P32" s="6" t="n">
        <x:f>0</x:f>
        <x:v>0</x:v>
      </x:c>
      <x:c r="Q32" s="6" t="str">
        <x:v>res://data/skills/orc_attack.tres</x:v>
      </x:c>
      <x:c r="R32" s="6" t="str">
        <x:v>技能初始可用；短战斗另看首发</x:v>
      </x:c>
    </x:row>
    <x:row r="33" ht="24" customHeight="1">
      <x:c r="A33" s="6" t="str">
        <x:v>哥布林</x:v>
      </x:c>
      <x:c r="B33" s="6" t="str">
        <x:v>强力攻击</x:v>
      </x:c>
      <x:c r="C33" s="6" t="str">
        <x:v>近战</x:v>
      </x:c>
      <x:c r="D33" s="18" t="n">
        <x:v>0</x:v>
      </x:c>
      <x:c r="E33" s="18" t="n">
        <x:f>'单位战力'!E17</x:f>
        <x:v>15</x:v>
      </x:c>
      <x:c r="F33" s="12" t="n">
        <x:v>1.5</x:v>
      </x:c>
      <x:c r="G33" s="12" t="n">
        <x:v>4</x:v>
      </x:c>
      <x:c r="H33" s="12" t="n">
        <x:v>0.6</x:v>
      </x:c>
      <x:c r="I33" s="17" t="n">
        <x:v>1</x:v>
      </x:c>
      <x:c r="J33" s="21" t="n">
        <x:v>1</x:v>
      </x:c>
      <x:c r="K33" s="15" t="n">
        <x:v>1</x:v>
      </x:c>
      <x:c r="L33" s="14" t="n">
        <x:f>L32+M32*H32</x:f>
        <x:v>0.6</x:v>
      </x:c>
      <x:c r="M33" s="6" t="n">
        <x:f>IF(OR(G33&lt;=0,H33&lt;=0,K33&lt;0,K33&gt;1),"输入无效",MIN(K33/G33,MAX(0,1-L33)/H33))</x:f>
        <x:v>0.25</x:v>
      </x:c>
      <x:c r="N33" s="6" t="n">
        <x:f>MAX(INT(E33*F33)-'调参总览'!$B$11,1)*(1-'调参总览'!$B$12)</x:f>
        <x:v>17</x:v>
      </x:c>
      <x:c r="O33" s="6" t="n">
        <x:f>M33*N33*I33*J33</x:f>
        <x:v>4.25</x:v>
      </x:c>
      <x:c r="P33" s="6" t="n">
        <x:f>0</x:f>
        <x:v>0</x:v>
      </x:c>
      <x:c r="Q33" s="6" t="str">
        <x:v>res://data/skills/orc_power_attack.tres</x:v>
      </x:c>
      <x:c r="R33" s="6" t="str">
        <x:v>技能初始可用；短战斗另看首发</x:v>
      </x:c>
    </x:row>
    <x:row r="34" ht="24" customHeight="1">
      <x:c r="A34" s="6" t="str">
        <x:v>哥布林骑手</x:v>
      </x:c>
      <x:c r="B34" s="6" t="str">
        <x:v>强力攻击</x:v>
      </x:c>
      <x:c r="C34" s="6" t="str">
        <x:v>范围</x:v>
      </x:c>
      <x:c r="D34" s="18" t="n">
        <x:v>1</x:v>
      </x:c>
      <x:c r="E34" s="18" t="n">
        <x:f>'单位战力'!E18</x:f>
        <x:v>15</x:v>
      </x:c>
      <x:c r="F34" s="12" t="n">
        <x:v>1.2</x:v>
      </x:c>
      <x:c r="G34" s="12" t="n">
        <x:v>4</x:v>
      </x:c>
      <x:c r="H34" s="12" t="n">
        <x:v>1.1</x:v>
      </x:c>
      <x:c r="I34" s="17" t="n">
        <x:v>1</x:v>
      </x:c>
      <x:c r="J34" s="21" t="n">
        <x:v>1.5</x:v>
      </x:c>
      <x:c r="K34" s="15" t="n">
        <x:v>1</x:v>
      </x:c>
      <x:c r="L34" s="14" t="n">
        <x:f>0</x:f>
        <x:v>0</x:v>
      </x:c>
      <x:c r="M34" s="6" t="n">
        <x:f>IF(OR(G34&lt;=0,H34&lt;=0,K34&lt;0,K34&gt;1),"输入无效",MIN(K34/G34,MAX(0,1-L34)/H34))</x:f>
        <x:v>0.25</x:v>
      </x:c>
      <x:c r="N34" s="6" t="n">
        <x:f>MAX(INT(E34*F34)-'调参总览'!$B$11,1)*(1-'调参总览'!$B$12)</x:f>
        <x:v>13</x:v>
      </x:c>
      <x:c r="O34" s="6" t="n">
        <x:f>M34*N34*I34*J34</x:f>
        <x:v>4.875</x:v>
      </x:c>
      <x:c r="P34" s="6" t="n">
        <x:f>0</x:f>
        <x:v>0</x:v>
      </x:c>
      <x:c r="Q34" s="6" t="str">
        <x:v>res://data/skills/orc_rider_power_attack.tres</x:v>
      </x:c>
      <x:c r="R34" s="6" t="str">
        <x:v>技能初始可用；短战斗另看首发</x:v>
      </x:c>
    </x:row>
    <x:row r="35" ht="24" customHeight="1">
      <x:c r="A35" s="6" t="str">
        <x:v>哥布林骑手</x:v>
      </x:c>
      <x:c r="B35" s="6" t="str">
        <x:v>普通攻击</x:v>
      </x:c>
      <x:c r="C35" s="6" t="str">
        <x:v>近战</x:v>
      </x:c>
      <x:c r="D35" s="18" t="n">
        <x:v>0</x:v>
      </x:c>
      <x:c r="E35" s="18" t="n">
        <x:f>'单位战力'!E18</x:f>
        <x:v>15</x:v>
      </x:c>
      <x:c r="F35" s="12" t="n">
        <x:v>1</x:v>
      </x:c>
      <x:c r="G35" s="12" t="n">
        <x:v>1</x:v>
      </x:c>
      <x:c r="H35" s="12" t="n">
        <x:v>0.8</x:v>
      </x:c>
      <x:c r="I35" s="17" t="n">
        <x:v>1</x:v>
      </x:c>
      <x:c r="J35" s="21" t="n">
        <x:v>1</x:v>
      </x:c>
      <x:c r="K35" s="15" t="n">
        <x:v>1</x:v>
      </x:c>
      <x:c r="L35" s="14" t="n">
        <x:f>L34+M34*H34</x:f>
        <x:v>0.275</x:v>
      </x:c>
      <x:c r="M35" s="6" t="n">
        <x:f>IF(OR(G35&lt;=0,H35&lt;=0,K35&lt;0,K35&gt;1),"输入无效",MIN(K35/G35,MAX(0,1-L35)/H35))</x:f>
        <x:v>0.9062499999999999</x:v>
      </x:c>
      <x:c r="N35" s="6" t="n">
        <x:f>MAX(INT(E35*F35)-'调参总览'!$B$11,1)*(1-'调参总览'!$B$12)</x:f>
        <x:v>10</x:v>
      </x:c>
      <x:c r="O35" s="6" t="n">
        <x:f>M35*N35*I35*J35</x:f>
        <x:v>9.062499999999998</x:v>
      </x:c>
      <x:c r="P35" s="6" t="n">
        <x:f>0</x:f>
        <x:v>0</x:v>
      </x:c>
      <x:c r="Q35" s="6" t="str">
        <x:v>res://data/skills/orc_rider_attack.tres</x:v>
      </x:c>
      <x:c r="R35" s="6" t="str">
        <x:v>技能初始可用；短战斗另看首发</x:v>
      </x:c>
    </x:row>
    <x:row r="36" ht="24" customHeight="1">
      <x:c r="A36" s="6" t="str">
        <x:v>牧师</x:v>
      </x:c>
      <x:c r="B36" s="6" t="str">
        <x:v>治疗</x:v>
      </x:c>
      <x:c r="C36" s="6" t="str">
        <x:v>治疗</x:v>
      </x:c>
      <x:c r="D36" s="18" t="n">
        <x:v>1</x:v>
      </x:c>
      <x:c r="E36" s="18" t="n">
        <x:f>'单位战力'!E19</x:f>
        <x:v>15</x:v>
      </x:c>
      <x:c r="F36" s="12" t="n">
        <x:v>0.6</x:v>
      </x:c>
      <x:c r="G36" s="12" t="n">
        <x:v>3</x:v>
      </x:c>
      <x:c r="H36" s="12" t="n">
        <x:v>0.6</x:v>
      </x:c>
      <x:c r="I36" s="17" t="n">
        <x:v>1</x:v>
      </x:c>
      <x:c r="J36" s="21" t="n">
        <x:v>1</x:v>
      </x:c>
      <x:c r="K36" s="15" t="n">
        <x:v>0.5</x:v>
      </x:c>
      <x:c r="L36" s="14" t="n">
        <x:f>0</x:f>
        <x:v>0</x:v>
      </x:c>
      <x:c r="M36" s="6" t="n">
        <x:f>IF(OR(G36&lt;=0,H36&lt;=0,K36&lt;0,K36&gt;1),"输入无效",MIN(K36/G36,MAX(0,1-L36)/H36))</x:f>
        <x:v>0.16666666666666666</x:v>
      </x:c>
      <x:c r="N36" s="6" t="n">
        <x:f>MAX(INT(E36*F36)-'调参总览'!$B$11,1)*(1-'调参总览'!$B$12)</x:f>
        <x:v>4</x:v>
      </x:c>
      <x:c r="O36" s="6" t="n">
        <x:f>0</x:f>
        <x:v>0</x:v>
      </x:c>
      <x:c r="P36" s="6" t="n">
        <x:f>M36*INT(E36*F36)*I36</x:f>
        <x:v>1.5</x:v>
      </x:c>
      <x:c r="Q36" s="6" t="str">
        <x:v>res://data/skills/priest_healer.tres</x:v>
      </x:c>
      <x:c r="R36" s="6" t="str">
        <x:v>技能初始可用；短战斗另看首发</x:v>
      </x:c>
    </x:row>
    <x:row r="37" ht="24" customHeight="1">
      <x:c r="A37" s="6" t="str">
        <x:v>牧师</x:v>
      </x:c>
      <x:c r="B37" s="6" t="str">
        <x:v>普通攻击</x:v>
      </x:c>
      <x:c r="C37" s="6" t="str">
        <x:v>近战</x:v>
      </x:c>
      <x:c r="D37" s="18" t="n">
        <x:v>0</x:v>
      </x:c>
      <x:c r="E37" s="18" t="n">
        <x:f>'单位战力'!E19</x:f>
        <x:v>15</x:v>
      </x:c>
      <x:c r="F37" s="12" t="n">
        <x:v>1</x:v>
      </x:c>
      <x:c r="G37" s="12" t="n">
        <x:v>1</x:v>
      </x:c>
      <x:c r="H37" s="12" t="n">
        <x:v>0.9</x:v>
      </x:c>
      <x:c r="I37" s="17" t="n">
        <x:v>1</x:v>
      </x:c>
      <x:c r="J37" s="21" t="n">
        <x:v>1</x:v>
      </x:c>
      <x:c r="K37" s="15" t="n">
        <x:v>1</x:v>
      </x:c>
      <x:c r="L37" s="14" t="n">
        <x:f>L36+M36*H36</x:f>
        <x:v>0.09999999999999999</x:v>
      </x:c>
      <x:c r="M37" s="6" t="n">
        <x:f>IF(OR(G37&lt;=0,H37&lt;=0,K37&lt;0,K37&gt;1),"输入无效",MIN(K37/G37,MAX(0,1-L37)/H37))</x:f>
        <x:v>1</x:v>
      </x:c>
      <x:c r="N37" s="6" t="n">
        <x:f>MAX(INT(E37*F37)-'调参总览'!$B$11,1)*(1-'调参总览'!$B$12)</x:f>
        <x:v>10</x:v>
      </x:c>
      <x:c r="O37" s="6" t="n">
        <x:f>M37*N37*I37*J37</x:f>
        <x:v>10</x:v>
      </x:c>
      <x:c r="P37" s="6" t="n">
        <x:f>0</x:f>
        <x:v>0</x:v>
      </x:c>
      <x:c r="Q37" s="6" t="str">
        <x:v>res://data/skills/priest_attack.tres</x:v>
      </x:c>
      <x:c r="R37" s="6" t="str">
        <x:v>技能初始可用；短战斗另看首发</x:v>
      </x:c>
    </x:row>
    <x:row r="38" ht="24" customHeight="1">
      <x:c r="A38" s="6" t="str">
        <x:v>骷髅兵</x:v>
      </x:c>
      <x:c r="B38" s="6" t="str">
        <x:v>普通攻击</x:v>
      </x:c>
      <x:c r="C38" s="6" t="str">
        <x:v>近战</x:v>
      </x:c>
      <x:c r="D38" s="18" t="n">
        <x:v>1</x:v>
      </x:c>
      <x:c r="E38" s="18" t="n">
        <x:f>'单位战力'!E20</x:f>
        <x:v>15</x:v>
      </x:c>
      <x:c r="F38" s="12" t="n">
        <x:v>1.2</x:v>
      </x:c>
      <x:c r="G38" s="12" t="n">
        <x:v>6</x:v>
      </x:c>
      <x:c r="H38" s="12" t="n">
        <x:v>0.7</x:v>
      </x:c>
      <x:c r="I38" s="17" t="n">
        <x:v>1</x:v>
      </x:c>
      <x:c r="J38" s="21" t="n">
        <x:v>1</x:v>
      </x:c>
      <x:c r="K38" s="15" t="n">
        <x:v>1</x:v>
      </x:c>
      <x:c r="L38" s="14" t="n">
        <x:f>0</x:f>
        <x:v>0</x:v>
      </x:c>
      <x:c r="M38" s="6" t="n">
        <x:f>IF(OR(G38&lt;=0,H38&lt;=0,K38&lt;0,K38&gt;1),"输入无效",MIN(K38/G38,MAX(0,1-L38)/H38))</x:f>
        <x:v>0.16666666666666666</x:v>
      </x:c>
      <x:c r="N38" s="6" t="n">
        <x:f>MAX(INT(E38*F38)-'调参总览'!$B$11,1)*(1-'调参总览'!$B$12)</x:f>
        <x:v>13</x:v>
      </x:c>
      <x:c r="O38" s="6" t="n">
        <x:f>M38*N38*I38*J38</x:f>
        <x:v>2.1666666666666665</x:v>
      </x:c>
      <x:c r="P38" s="6" t="n">
        <x:f>0</x:f>
        <x:v>0</x:v>
      </x:c>
      <x:c r="Q38" s="6" t="str">
        <x:v>res://data/skills/skeleton_power_attack.tres</x:v>
      </x:c>
      <x:c r="R38" s="6" t="str">
        <x:v>技能初始可用；短战斗另看首发</x:v>
      </x:c>
    </x:row>
    <x:row r="39" ht="24" customHeight="1">
      <x:c r="A39" s="6" t="str">
        <x:v>骷髅兵</x:v>
      </x:c>
      <x:c r="B39" s="6" t="str">
        <x:v>普通攻击</x:v>
      </x:c>
      <x:c r="C39" s="6" t="str">
        <x:v>近战</x:v>
      </x:c>
      <x:c r="D39" s="18" t="n">
        <x:v>0</x:v>
      </x:c>
      <x:c r="E39" s="18" t="n">
        <x:f>'单位战力'!E20</x:f>
        <x:v>15</x:v>
      </x:c>
      <x:c r="F39" s="12" t="n">
        <x:v>1</x:v>
      </x:c>
      <x:c r="G39" s="12" t="n">
        <x:v>1</x:v>
      </x:c>
      <x:c r="H39" s="12" t="n">
        <x:v>0.6</x:v>
      </x:c>
      <x:c r="I39" s="17" t="n">
        <x:v>1</x:v>
      </x:c>
      <x:c r="J39" s="21" t="n">
        <x:v>1</x:v>
      </x:c>
      <x:c r="K39" s="15" t="n">
        <x:v>1</x:v>
      </x:c>
      <x:c r="L39" s="14" t="n">
        <x:f>L38+M38*H38</x:f>
        <x:v>0.11666666666666665</x:v>
      </x:c>
      <x:c r="M39" s="6" t="n">
        <x:f>IF(OR(G39&lt;=0,H39&lt;=0,K39&lt;0,K39&gt;1),"输入无效",MIN(K39/G39,MAX(0,1-L39)/H39))</x:f>
        <x:v>1</x:v>
      </x:c>
      <x:c r="N39" s="6" t="n">
        <x:f>MAX(INT(E39*F39)-'调参总览'!$B$11,1)*(1-'调参总览'!$B$12)</x:f>
        <x:v>10</x:v>
      </x:c>
      <x:c r="O39" s="6" t="n">
        <x:f>M39*N39*I39*J39</x:f>
        <x:v>10</x:v>
      </x:c>
      <x:c r="P39" s="6" t="n">
        <x:f>0</x:f>
        <x:v>0</x:v>
      </x:c>
      <x:c r="Q39" s="6" t="str">
        <x:v>res://data/skills/skeleton_attack.tres</x:v>
      </x:c>
      <x:c r="R39" s="6" t="str">
        <x:v>技能初始可用；短战斗另看首发</x:v>
      </x:c>
    </x:row>
    <x:row r="40" ht="24" customHeight="1">
      <x:c r="A40" s="6" t="str">
        <x:v>弓箭手哥布林</x:v>
      </x:c>
      <x:c r="B40" s="6" t="str">
        <x:v>普通攻击</x:v>
      </x:c>
      <x:c r="C40" s="6" t="str">
        <x:v>远程</x:v>
      </x:c>
      <x:c r="D40" s="18" t="n">
        <x:v>0</x:v>
      </x:c>
      <x:c r="E40" s="18" t="n">
        <x:f>'单位战力'!E21</x:f>
        <x:v>15</x:v>
      </x:c>
      <x:c r="F40" s="12" t="n">
        <x:v>1</x:v>
      </x:c>
      <x:c r="G40" s="12" t="n">
        <x:v>1</x:v>
      </x:c>
      <x:c r="H40" s="12" t="n">
        <x:v>0.9</x:v>
      </x:c>
      <x:c r="I40" s="17" t="n">
        <x:v>1</x:v>
      </x:c>
      <x:c r="J40" s="21" t="n">
        <x:v>1</x:v>
      </x:c>
      <x:c r="K40" s="15" t="n">
        <x:v>1</x:v>
      </x:c>
      <x:c r="L40" s="14" t="n">
        <x:f>0</x:f>
        <x:v>0</x:v>
      </x:c>
      <x:c r="M40" s="6" t="n">
        <x:f>IF(OR(G40&lt;=0,H40&lt;=0,K40&lt;0,K40&gt;1),"输入无效",MIN(K40/G40,MAX(0,1-L40)/H40))</x:f>
        <x:v>1</x:v>
      </x:c>
      <x:c r="N40" s="6" t="n">
        <x:f>MAX(INT(E40*F40)-'调参总览'!$B$11,1)*1</x:f>
        <x:v>10</x:v>
      </x:c>
      <x:c r="O40" s="6" t="n">
        <x:f>M40*N40*I40*J40</x:f>
        <x:v>10</x:v>
      </x:c>
      <x:c r="P40" s="6" t="n">
        <x:f>0</x:f>
        <x:v>0</x:v>
      </x:c>
      <x:c r="Q40" s="6" t="str">
        <x:v>res://data/skills/skeleton_archer_attack.tres</x:v>
      </x:c>
      <x:c r="R40" s="6" t="str">
        <x:v>技能初始可用；短战斗另看首发</x:v>
      </x:c>
    </x:row>
    <x:row r="41" ht="24" customHeight="1">
      <x:c r="A41" s="6" t="str">
        <x:v>史莱姆</x:v>
      </x:c>
      <x:c r="B41" s="6" t="str">
        <x:v>普通攻击</x:v>
      </x:c>
      <x:c r="C41" s="6" t="str">
        <x:v>近战</x:v>
      </x:c>
      <x:c r="D41" s="18" t="n">
        <x:v>1</x:v>
      </x:c>
      <x:c r="E41" s="18" t="n">
        <x:f>'单位战力'!E22</x:f>
        <x:v>15</x:v>
      </x:c>
      <x:c r="F41" s="12" t="n">
        <x:v>1.4</x:v>
      </x:c>
      <x:c r="G41" s="12" t="n">
        <x:v>6</x:v>
      </x:c>
      <x:c r="H41" s="12" t="n">
        <x:v>1.2</x:v>
      </x:c>
      <x:c r="I41" s="17" t="n">
        <x:v>1</x:v>
      </x:c>
      <x:c r="J41" s="21" t="n">
        <x:v>1</x:v>
      </x:c>
      <x:c r="K41" s="15" t="n">
        <x:v>1</x:v>
      </x:c>
      <x:c r="L41" s="14" t="n">
        <x:f>0</x:f>
        <x:v>0</x:v>
      </x:c>
      <x:c r="M41" s="6" t="n">
        <x:f>IF(OR(G41&lt;=0,H41&lt;=0,K41&lt;0,K41&gt;1),"输入无效",MIN(K41/G41,MAX(0,1-L41)/H41))</x:f>
        <x:v>0.16666666666666666</x:v>
      </x:c>
      <x:c r="N41" s="6" t="n">
        <x:f>MAX(INT(E41*F41)-'调参总览'!$B$11,1)*(1-'调参总览'!$B$12)</x:f>
        <x:v>16</x:v>
      </x:c>
      <x:c r="O41" s="6" t="n">
        <x:f>M41*N41*I41*J41</x:f>
        <x:v>2.6666666666666665</x:v>
      </x:c>
      <x:c r="P41" s="6" t="n">
        <x:f>0</x:f>
        <x:v>0</x:v>
      </x:c>
      <x:c r="Q41" s="6" t="str">
        <x:v>res://data/skills/slime_power_attack.tres</x:v>
      </x:c>
      <x:c r="R41" s="6" t="str">
        <x:v>技能初始可用；短战斗另看首发</x:v>
      </x:c>
    </x:row>
    <x:row r="42" ht="24" customHeight="1">
      <x:c r="A42" s="6" t="str">
        <x:v>史莱姆</x:v>
      </x:c>
      <x:c r="B42" s="6" t="str">
        <x:v>普通攻击</x:v>
      </x:c>
      <x:c r="C42" s="6" t="str">
        <x:v>近战</x:v>
      </x:c>
      <x:c r="D42" s="18" t="n">
        <x:v>0</x:v>
      </x:c>
      <x:c r="E42" s="18" t="n">
        <x:f>'单位战力'!E22</x:f>
        <x:v>15</x:v>
      </x:c>
      <x:c r="F42" s="12" t="n">
        <x:v>1</x:v>
      </x:c>
      <x:c r="G42" s="12" t="n">
        <x:v>1</x:v>
      </x:c>
      <x:c r="H42" s="12" t="n">
        <x:v>0.6</x:v>
      </x:c>
      <x:c r="I42" s="17" t="n">
        <x:v>1</x:v>
      </x:c>
      <x:c r="J42" s="21" t="n">
        <x:v>1</x:v>
      </x:c>
      <x:c r="K42" s="15" t="n">
        <x:v>1</x:v>
      </x:c>
      <x:c r="L42" s="14" t="n">
        <x:f>L41+M41*H41</x:f>
        <x:v>0.19999999999999998</x:v>
      </x:c>
      <x:c r="M42" s="6" t="n">
        <x:f>IF(OR(G42&lt;=0,H42&lt;=0,K42&lt;0,K42&gt;1),"输入无效",MIN(K42/G42,MAX(0,1-L42)/H42))</x:f>
        <x:v>1</x:v>
      </x:c>
      <x:c r="N42" s="6" t="n">
        <x:f>MAX(INT(E42*F42)-'调参总览'!$B$11,1)*(1-'调参总览'!$B$12)</x:f>
        <x:v>10</x:v>
      </x:c>
      <x:c r="O42" s="6" t="n">
        <x:f>M42*N42*I42*J42</x:f>
        <x:v>10</x:v>
      </x:c>
      <x:c r="P42" s="6" t="n">
        <x:f>0</x:f>
        <x:v>0</x:v>
      </x:c>
      <x:c r="Q42" s="6" t="str">
        <x:v>res://data/skills/slime_attack.tres</x:v>
      </x:c>
      <x:c r="R42" s="6" t="str">
        <x:v>技能初始可用；短战斗另看首发</x:v>
      </x:c>
    </x:row>
    <x:row r="43" ht="24" customHeight="1">
      <x:c r="A43" s="6" t="str">
        <x:v>士兵</x:v>
      </x:c>
      <x:c r="B43" s="6" t="str">
        <x:v>斩击</x:v>
      </x:c>
      <x:c r="C43" s="6" t="str">
        <x:v>近战</x:v>
      </x:c>
      <x:c r="D43" s="18" t="n">
        <x:v>2</x:v>
      </x:c>
      <x:c r="E43" s="18" t="n">
        <x:f>'单位战力'!E23</x:f>
        <x:v>10</x:v>
      </x:c>
      <x:c r="F43" s="12" t="n">
        <x:v>1.3</x:v>
      </x:c>
      <x:c r="G43" s="12" t="n">
        <x:v>2</x:v>
      </x:c>
      <x:c r="H43" s="12" t="n">
        <x:v>0.6</x:v>
      </x:c>
      <x:c r="I43" s="17" t="n">
        <x:v>1</x:v>
      </x:c>
      <x:c r="J43" s="21" t="n">
        <x:v>1</x:v>
      </x:c>
      <x:c r="K43" s="15" t="n">
        <x:v>1</x:v>
      </x:c>
      <x:c r="L43" s="14" t="n">
        <x:f>0</x:f>
        <x:v>0</x:v>
      </x:c>
      <x:c r="M43" s="6" t="n">
        <x:f>IF(OR(G43&lt;=0,H43&lt;=0,K43&lt;0,K43&gt;1),"输入无效",MIN(K43/G43,MAX(0,1-L43)/H43))</x:f>
        <x:v>0.5</x:v>
      </x:c>
      <x:c r="N43" s="6" t="n">
        <x:f>MAX(INT(E43*F43)-'调参总览'!$B$11,1)*(1-'调参总览'!$B$12)</x:f>
        <x:v>8</x:v>
      </x:c>
      <x:c r="O43" s="6" t="n">
        <x:f>M43*N43*I43*J43</x:f>
        <x:v>4</x:v>
      </x:c>
      <x:c r="P43" s="6" t="n">
        <x:f>0</x:f>
        <x:v>0</x:v>
      </x:c>
      <x:c r="Q43" s="6" t="str">
        <x:v>res://data/skills/soldier_power_attack.tres</x:v>
      </x:c>
      <x:c r="R43" s="6" t="str">
        <x:v>技能初始可用；短战斗另看首发</x:v>
      </x:c>
    </x:row>
    <x:row r="44" ht="24" customHeight="1">
      <x:c r="A44" s="6" t="str">
        <x:v>士兵</x:v>
      </x:c>
      <x:c r="B44" s="6" t="str">
        <x:v>普通攻击</x:v>
      </x:c>
      <x:c r="C44" s="6" t="str">
        <x:v>近战</x:v>
      </x:c>
      <x:c r="D44" s="18" t="n">
        <x:v>0</x:v>
      </x:c>
      <x:c r="E44" s="18" t="n">
        <x:f>'单位战力'!E23</x:f>
        <x:v>10</x:v>
      </x:c>
      <x:c r="F44" s="12" t="n">
        <x:v>1</x:v>
      </x:c>
      <x:c r="G44" s="12" t="n">
        <x:v>1</x:v>
      </x:c>
      <x:c r="H44" s="12" t="n">
        <x:v>0.6</x:v>
      </x:c>
      <x:c r="I44" s="17" t="n">
        <x:v>1</x:v>
      </x:c>
      <x:c r="J44" s="21" t="n">
        <x:v>1</x:v>
      </x:c>
      <x:c r="K44" s="15" t="n">
        <x:v>1</x:v>
      </x:c>
      <x:c r="L44" s="14" t="n">
        <x:f>L43+M43*H43</x:f>
        <x:v>0.3</x:v>
      </x:c>
      <x:c r="M44" s="6" t="n">
        <x:f>IF(OR(G44&lt;=0,H44&lt;=0,K44&lt;0,K44&gt;1),"输入无效",MIN(K44/G44,MAX(0,1-L44)/H44))</x:f>
        <x:v>1</x:v>
      </x:c>
      <x:c r="N44" s="6" t="n">
        <x:f>MAX(INT(E44*F44)-'调参总览'!$B$11,1)*(1-'调参总览'!$B$12)</x:f>
        <x:v>5</x:v>
      </x:c>
      <x:c r="O44" s="6" t="n">
        <x:f>M44*N44*I44*J44</x:f>
        <x:v>5</x:v>
      </x:c>
      <x:c r="P44" s="6" t="n">
        <x:f>0</x:f>
        <x:v>0</x:v>
      </x:c>
      <x:c r="Q44" s="6" t="str">
        <x:v>res://data/skills/normal_attack.tres</x:v>
      </x:c>
      <x:c r="R44" s="6" t="str">
        <x:v>技能初始可用；短战斗另看首发</x:v>
      </x:c>
    </x:row>
    <x:row r="45" ht="24" customHeight="1">
      <x:c r="A45" s="6" t="str">
        <x:v>剑士</x:v>
      </x:c>
      <x:c r="B45" s="6" t="str">
        <x:v>六连刺</x:v>
      </x:c>
      <x:c r="C45" s="6" t="str">
        <x:v>近战</x:v>
      </x:c>
      <x:c r="D45" s="18" t="n">
        <x:v>2</x:v>
      </x:c>
      <x:c r="E45" s="18" t="n">
        <x:f>'单位战力'!E24</x:f>
        <x:v>15</x:v>
      </x:c>
      <x:c r="F45" s="12" t="n">
        <x:v>0.4</x:v>
      </x:c>
      <x:c r="G45" s="12" t="n">
        <x:v>5</x:v>
      </x:c>
      <x:c r="H45" s="12" t="n">
        <x:v>1.2</x:v>
      </x:c>
      <x:c r="I45" s="17" t="n">
        <x:v>7</x:v>
      </x:c>
      <x:c r="J45" s="21" t="n">
        <x:v>1</x:v>
      </x:c>
      <x:c r="K45" s="15" t="n">
        <x:v>1</x:v>
      </x:c>
      <x:c r="L45" s="14" t="n">
        <x:f>0</x:f>
        <x:v>0</x:v>
      </x:c>
      <x:c r="M45" s="6" t="n">
        <x:f>IF(OR(G45&lt;=0,H45&lt;=0,K45&lt;0,K45&gt;1),"输入无效",MIN(K45/G45,MAX(0,1-L45)/H45))</x:f>
        <x:v>0.2</x:v>
      </x:c>
      <x:c r="N45" s="6" t="n">
        <x:f>MAX(INT(E45*F45)-'调参总览'!$B$11,1)*(1-'调参总览'!$B$12)</x:f>
        <x:v>1</x:v>
      </x:c>
      <x:c r="O45" s="6" t="n">
        <x:f>M45*N45*I45*J45</x:f>
        <x:v>1.4000000000000001</x:v>
      </x:c>
      <x:c r="P45" s="6" t="n">
        <x:f>0</x:f>
        <x:v>0</x:v>
      </x:c>
      <x:c r="Q45" s="6" t="str">
        <x:v>res://data/skills/swords_man_stick_muti_attack.tres</x:v>
      </x:c>
      <x:c r="R45" s="6" t="str">
        <x:v>技能初始可用；短战斗另看首发</x:v>
      </x:c>
    </x:row>
    <x:row r="46" ht="24" customHeight="1">
      <x:c r="A46" s="6" t="str">
        <x:v>剑士</x:v>
      </x:c>
      <x:c r="B46" s="6" t="str">
        <x:v>三连击</x:v>
      </x:c>
      <x:c r="C46" s="6" t="str">
        <x:v>近战</x:v>
      </x:c>
      <x:c r="D46" s="18" t="n">
        <x:v>1</x:v>
      </x:c>
      <x:c r="E46" s="18" t="n">
        <x:f>'单位战力'!E24</x:f>
        <x:v>15</x:v>
      </x:c>
      <x:c r="F46" s="12" t="n">
        <x:v>0.7</x:v>
      </x:c>
      <x:c r="G46" s="12" t="n">
        <x:v>3</x:v>
      </x:c>
      <x:c r="H46" s="12" t="n">
        <x:v>1.5</x:v>
      </x:c>
      <x:c r="I46" s="17" t="n">
        <x:v>3</x:v>
      </x:c>
      <x:c r="J46" s="21" t="n">
        <x:v>1</x:v>
      </x:c>
      <x:c r="K46" s="15" t="n">
        <x:v>1</x:v>
      </x:c>
      <x:c r="L46" s="14" t="n">
        <x:f>L45+M45*H45</x:f>
        <x:v>0.24</x:v>
      </x:c>
      <x:c r="M46" s="6" t="n">
        <x:f>IF(OR(G46&lt;=0,H46&lt;=0,K46&lt;0,K46&gt;1),"输入无效",MIN(K46/G46,MAX(0,1-L46)/H46))</x:f>
        <x:v>0.3333333333333333</x:v>
      </x:c>
      <x:c r="N46" s="6" t="n">
        <x:f>MAX(INT(E46*F46)-'调参总览'!$B$11,1)*(1-'调参总览'!$B$12)</x:f>
        <x:v>5</x:v>
      </x:c>
      <x:c r="O46" s="6" t="n">
        <x:f>M46*N46*I46*J46</x:f>
        <x:v>5</x:v>
      </x:c>
      <x:c r="P46" s="6" t="n">
        <x:f>0</x:f>
        <x:v>0</x:v>
      </x:c>
      <x:c r="Q46" s="6" t="str">
        <x:v>res://data/skills/swords_man_muti_attack.tres</x:v>
      </x:c>
      <x:c r="R46" s="6" t="str">
        <x:v>技能初始可用；短战斗另看首发</x:v>
      </x:c>
    </x:row>
    <x:row r="47" ht="24" customHeight="1">
      <x:c r="A47" s="6" t="str">
        <x:v>剑士</x:v>
      </x:c>
      <x:c r="B47" s="6" t="str">
        <x:v>普通攻击</x:v>
      </x:c>
      <x:c r="C47" s="6" t="str">
        <x:v>近战</x:v>
      </x:c>
      <x:c r="D47" s="18" t="n">
        <x:v>0</x:v>
      </x:c>
      <x:c r="E47" s="18" t="n">
        <x:f>'单位战力'!E24</x:f>
        <x:v>15</x:v>
      </x:c>
      <x:c r="F47" s="12" t="n">
        <x:v>1</x:v>
      </x:c>
      <x:c r="G47" s="12" t="n">
        <x:v>1</x:v>
      </x:c>
      <x:c r="H47" s="12" t="n">
        <x:v>0.7</x:v>
      </x:c>
      <x:c r="I47" s="17" t="n">
        <x:v>1</x:v>
      </x:c>
      <x:c r="J47" s="21" t="n">
        <x:v>1</x:v>
      </x:c>
      <x:c r="K47" s="15" t="n">
        <x:v>1</x:v>
      </x:c>
      <x:c r="L47" s="14" t="n">
        <x:f>L46+M46*H46</x:f>
        <x:v>0.74</x:v>
      </x:c>
      <x:c r="M47" s="6" t="n">
        <x:f>IF(OR(G47&lt;=0,H47&lt;=0,K47&lt;0,K47&gt;1),"输入无效",MIN(K47/G47,MAX(0,1-L47)/H47))</x:f>
        <x:v>0.37142857142857144</x:v>
      </x:c>
      <x:c r="N47" s="6" t="n">
        <x:f>MAX(INT(E47*F47)-'调参总览'!$B$11,1)*(1-'调参总览'!$B$12)</x:f>
        <x:v>10</x:v>
      </x:c>
      <x:c r="O47" s="6" t="n">
        <x:f>M47*N47*I47*J47</x:f>
        <x:v>3.7142857142857144</x:v>
      </x:c>
      <x:c r="P47" s="6" t="n">
        <x:f>0</x:f>
        <x:v>0</x:v>
      </x:c>
      <x:c r="Q47" s="6" t="str">
        <x:v>res://data/skills/swords_man_attack.tres</x:v>
      </x:c>
      <x:c r="R47" s="6" t="str">
        <x:v>技能初始可用；短战斗另看首发</x:v>
      </x:c>
    </x:row>
    <x:row r="48" ht="24" customHeight="1">
      <x:c r="A48" s="6" t="str">
        <x:v>熊人</x:v>
      </x:c>
      <x:c r="B48" s="6" t="str">
        <x:v>撼地</x:v>
      </x:c>
      <x:c r="C48" s="6" t="str">
        <x:v>范围</x:v>
      </x:c>
      <x:c r="D48" s="18" t="n">
        <x:v>2</x:v>
      </x:c>
      <x:c r="E48" s="18" t="n">
        <x:f>'单位战力'!E25</x:f>
        <x:v>15</x:v>
      </x:c>
      <x:c r="F48" s="12" t="n">
        <x:v>1.5</x:v>
      </x:c>
      <x:c r="G48" s="12" t="n">
        <x:v>6</x:v>
      </x:c>
      <x:c r="H48" s="12" t="n">
        <x:v>0.9</x:v>
      </x:c>
      <x:c r="I48" s="17" t="n">
        <x:v>1</x:v>
      </x:c>
      <x:c r="J48" s="21" t="n">
        <x:v>1.5</x:v>
      </x:c>
      <x:c r="K48" s="15" t="n">
        <x:v>1</x:v>
      </x:c>
      <x:c r="L48" s="14" t="n">
        <x:f>0</x:f>
        <x:v>0</x:v>
      </x:c>
      <x:c r="M48" s="6" t="n">
        <x:f>IF(OR(G48&lt;=0,H48&lt;=0,K48&lt;0,K48&gt;1),"输入无效",MIN(K48/G48,MAX(0,1-L48)/H48))</x:f>
        <x:v>0.16666666666666666</x:v>
      </x:c>
      <x:c r="N48" s="6" t="n">
        <x:f>MAX(INT(E48*F48)-'调参总览'!$B$11,1)*(1-'调参总览'!$B$12)</x:f>
        <x:v>17</x:v>
      </x:c>
      <x:c r="O48" s="6" t="n">
        <x:f>M48*N48*I48*J48</x:f>
        <x:v>4.25</x:v>
      </x:c>
      <x:c r="P48" s="6" t="n">
        <x:f>0</x:f>
        <x:v>0</x:v>
      </x:c>
      <x:c r="Q48" s="6" t="str">
        <x:v>res://data/skills/were_bear_smash.tres</x:v>
      </x:c>
      <x:c r="R48" s="6" t="str">
        <x:v>技能初始可用；短战斗另看首发</x:v>
      </x:c>
    </x:row>
    <x:row r="49" ht="24" customHeight="1">
      <x:c r="A49" s="6" t="str">
        <x:v>熊人</x:v>
      </x:c>
      <x:c r="B49" s="6" t="str">
        <x:v>二连爪</x:v>
      </x:c>
      <x:c r="C49" s="6" t="str">
        <x:v>近战</x:v>
      </x:c>
      <x:c r="D49" s="18" t="n">
        <x:v>1</x:v>
      </x:c>
      <x:c r="E49" s="18" t="n">
        <x:f>'单位战力'!E25</x:f>
        <x:v>15</x:v>
      </x:c>
      <x:c r="F49" s="12" t="n">
        <x:v>0.8</x:v>
      </x:c>
      <x:c r="G49" s="12" t="n">
        <x:v>3</x:v>
      </x:c>
      <x:c r="H49" s="12" t="n">
        <x:v>1.3</x:v>
      </x:c>
      <x:c r="I49" s="17" t="n">
        <x:v>2</x:v>
      </x:c>
      <x:c r="J49" s="21" t="n">
        <x:v>1</x:v>
      </x:c>
      <x:c r="K49" s="15" t="n">
        <x:v>1</x:v>
      </x:c>
      <x:c r="L49" s="14" t="n">
        <x:f>L48+M48*H48</x:f>
        <x:v>0.15</x:v>
      </x:c>
      <x:c r="M49" s="6" t="n">
        <x:f>IF(OR(G49&lt;=0,H49&lt;=0,K49&lt;0,K49&gt;1),"输入无效",MIN(K49/G49,MAX(0,1-L49)/H49))</x:f>
        <x:v>0.3333333333333333</x:v>
      </x:c>
      <x:c r="N49" s="6" t="n">
        <x:f>MAX(INT(E49*F49)-'调参总览'!$B$11,1)*(1-'调参总览'!$B$12)</x:f>
        <x:v>7</x:v>
      </x:c>
      <x:c r="O49" s="6" t="n">
        <x:f>M49*N49*I49*J49</x:f>
        <x:v>4.666666666666666</x:v>
      </x:c>
      <x:c r="P49" s="6" t="n">
        <x:f>0</x:f>
        <x:v>0</x:v>
      </x:c>
      <x:c r="Q49" s="6" t="str">
        <x:v>res://data/skills/were_bear_double_attack.tres</x:v>
      </x:c>
      <x:c r="R49" s="6" t="str">
        <x:v>技能初始可用；短战斗另看首发</x:v>
      </x:c>
    </x:row>
    <x:row r="50" ht="24" customHeight="1">
      <x:c r="A50" s="6" t="str">
        <x:v>熊人</x:v>
      </x:c>
      <x:c r="B50" s="6" t="str">
        <x:v>普通攻击</x:v>
      </x:c>
      <x:c r="C50" s="6" t="str">
        <x:v>近战</x:v>
      </x:c>
      <x:c r="D50" s="18" t="n">
        <x:v>0</x:v>
      </x:c>
      <x:c r="E50" s="18" t="n">
        <x:f>'单位战力'!E25</x:f>
        <x:v>15</x:v>
      </x:c>
      <x:c r="F50" s="12" t="n">
        <x:v>1</x:v>
      </x:c>
      <x:c r="G50" s="12" t="n">
        <x:v>1</x:v>
      </x:c>
      <x:c r="H50" s="12" t="n">
        <x:v>0.9</x:v>
      </x:c>
      <x:c r="I50" s="17" t="n">
        <x:v>1</x:v>
      </x:c>
      <x:c r="J50" s="21" t="n">
        <x:v>1</x:v>
      </x:c>
      <x:c r="K50" s="15" t="n">
        <x:v>1</x:v>
      </x:c>
      <x:c r="L50" s="14" t="n">
        <x:f>L49+M49*H49</x:f>
        <x:v>0.5833333333333334</x:v>
      </x:c>
      <x:c r="M50" s="6" t="n">
        <x:f>IF(OR(G50&lt;=0,H50&lt;=0,K50&lt;0,K50&gt;1),"输入无效",MIN(K50/G50,MAX(0,1-L50)/H50))</x:f>
        <x:v>0.4629629629629629</x:v>
      </x:c>
      <x:c r="N50" s="6" t="n">
        <x:f>MAX(INT(E50*F50)-'调参总览'!$B$11,1)*(1-'调参总览'!$B$12)</x:f>
        <x:v>10</x:v>
      </x:c>
      <x:c r="O50" s="6" t="n">
        <x:f>M50*N50*I50*J50</x:f>
        <x:v>4.629629629629629</x:v>
      </x:c>
      <x:c r="P50" s="6" t="n">
        <x:f>0</x:f>
        <x:v>0</x:v>
      </x:c>
      <x:c r="Q50" s="6" t="str">
        <x:v>res://data/skills/were_bear_attack.tres</x:v>
      </x:c>
      <x:c r="R50" s="6" t="str">
        <x:v>技能初始可用；短战斗另看首发</x:v>
      </x:c>
    </x:row>
    <x:row r="51" ht="24" customHeight="1">
      <x:c r="A51" s="6" t="str">
        <x:v>狼人</x:v>
      </x:c>
      <x:c r="B51" s="6" t="str">
        <x:v>五连斩击</x:v>
      </x:c>
      <x:c r="C51" s="6" t="str">
        <x:v>近战</x:v>
      </x:c>
      <x:c r="D51" s="18" t="n">
        <x:v>1</x:v>
      </x:c>
      <x:c r="E51" s="18" t="n">
        <x:f>'单位战力'!E26</x:f>
        <x:v>15</x:v>
      </x:c>
      <x:c r="F51" s="12" t="n">
        <x:v>0.6</x:v>
      </x:c>
      <x:c r="G51" s="12" t="n">
        <x:v>7</x:v>
      </x:c>
      <x:c r="H51" s="12" t="n">
        <x:v>1.3</x:v>
      </x:c>
      <x:c r="I51" s="17" t="n">
        <x:v>5</x:v>
      </x:c>
      <x:c r="J51" s="21" t="n">
        <x:v>1</x:v>
      </x:c>
      <x:c r="K51" s="15" t="n">
        <x:v>1</x:v>
      </x:c>
      <x:c r="L51" s="14" t="n">
        <x:f>0</x:f>
        <x:v>0</x:v>
      </x:c>
      <x:c r="M51" s="6" t="n">
        <x:f>IF(OR(G51&lt;=0,H51&lt;=0,K51&lt;0,K51&gt;1),"输入无效",MIN(K51/G51,MAX(0,1-L51)/H51))</x:f>
        <x:v>0.14285714285714285</x:v>
      </x:c>
      <x:c r="N51" s="6" t="n">
        <x:f>MAX(INT(E51*F51)-'调参总览'!$B$11,1)*(1-'调参总览'!$B$12)</x:f>
        <x:v>4</x:v>
      </x:c>
      <x:c r="O51" s="6" t="n">
        <x:f>M51*N51*I51*J51</x:f>
        <x:v>2.8571428571428568</x:v>
      </x:c>
      <x:c r="P51" s="6" t="n">
        <x:f>0</x:f>
        <x:v>0</x:v>
      </x:c>
      <x:c r="Q51" s="6" t="str">
        <x:v>res://data/skills/were_wolf_five_attack.tres</x:v>
      </x:c>
      <x:c r="R51" s="6" t="str">
        <x:v>技能初始可用；短战斗另看首发</x:v>
      </x:c>
    </x:row>
    <x:row r="52" ht="24" customHeight="1">
      <x:c r="A52" s="6" t="str">
        <x:v>狼人</x:v>
      </x:c>
      <x:c r="B52" s="6" t="str">
        <x:v>普通攻击</x:v>
      </x:c>
      <x:c r="C52" s="6" t="str">
        <x:v>近战</x:v>
      </x:c>
      <x:c r="D52" s="18" t="n">
        <x:v>0</x:v>
      </x:c>
      <x:c r="E52" s="18" t="n">
        <x:f>'单位战力'!E26</x:f>
        <x:v>15</x:v>
      </x:c>
      <x:c r="F52" s="12" t="n">
        <x:v>1</x:v>
      </x:c>
      <x:c r="G52" s="12" t="n">
        <x:v>1</x:v>
      </x:c>
      <x:c r="H52" s="12" t="n">
        <x:v>0.9</x:v>
      </x:c>
      <x:c r="I52" s="17" t="n">
        <x:v>1</x:v>
      </x:c>
      <x:c r="J52" s="21" t="n">
        <x:v>1</x:v>
      </x:c>
      <x:c r="K52" s="15" t="n">
        <x:v>1</x:v>
      </x:c>
      <x:c r="L52" s="14" t="n">
        <x:f>L51+M51*H51</x:f>
        <x:v>0.18571428571428572</x:v>
      </x:c>
      <x:c r="M52" s="6" t="n">
        <x:f>IF(OR(G52&lt;=0,H52&lt;=0,K52&lt;0,K52&gt;1),"输入无效",MIN(K52/G52,MAX(0,1-L52)/H52))</x:f>
        <x:v>0.9047619047619048</x:v>
      </x:c>
      <x:c r="N52" s="6" t="n">
        <x:f>MAX(INT(E52*F52)-'调参总览'!$B$11,1)*(1-'调参总览'!$B$12)</x:f>
        <x:v>10</x:v>
      </x:c>
      <x:c r="O52" s="6" t="n">
        <x:f>M52*N52*I52*J52</x:f>
        <x:v>9.047619047619047</x:v>
      </x:c>
      <x:c r="P52" s="6" t="n">
        <x:f>0</x:f>
        <x:v>0</x:v>
      </x:c>
      <x:c r="Q52" s="6" t="str">
        <x:v>res://data/skills/were_wolf_attack.tres</x:v>
      </x:c>
      <x:c r="R52" s="6" t="str">
        <x:v>技能初始可用；短战斗另看首发</x:v>
      </x:c>
    </x:row>
    <x:row r="53" ht="24" customHeight="1">
      <x:c r="A53" s="6" t="str">
        <x:v>巫师</x:v>
      </x:c>
      <x:c r="B53" s="6" t="str">
        <x:v>冰晶爆裂</x:v>
      </x:c>
      <x:c r="C53" s="6" t="str">
        <x:v>近战</x:v>
      </x:c>
      <x:c r="D53" s="18" t="n">
        <x:v>1</x:v>
      </x:c>
      <x:c r="E53" s="18" t="n">
        <x:f>'单位战力'!E27</x:f>
        <x:v>15</x:v>
      </x:c>
      <x:c r="F53" s="12" t="n">
        <x:v>1.2</x:v>
      </x:c>
      <x:c r="G53" s="12" t="n">
        <x:v>8</x:v>
      </x:c>
      <x:c r="H53" s="12" t="n">
        <x:v>0.6</x:v>
      </x:c>
      <x:c r="I53" s="17" t="n">
        <x:v>1</x:v>
      </x:c>
      <x:c r="J53" s="21" t="n">
        <x:v>1</x:v>
      </x:c>
      <x:c r="K53" s="15" t="n">
        <x:v>1</x:v>
      </x:c>
      <x:c r="L53" s="14" t="n">
        <x:f>0</x:f>
        <x:v>0</x:v>
      </x:c>
      <x:c r="M53" s="6" t="n">
        <x:f>IF(OR(G53&lt;=0,H53&lt;=0,K53&lt;0,K53&gt;1),"输入无效",MIN(K53/G53,MAX(0,1-L53)/H53))</x:f>
        <x:v>0.125</x:v>
      </x:c>
      <x:c r="N53" s="6" t="n">
        <x:f>MAX(INT(E53*F53)-'调参总览'!$B$11,1)*(1-'调参总览'!$B$12)</x:f>
        <x:v>13</x:v>
      </x:c>
      <x:c r="O53" s="6" t="n">
        <x:f>M53*N53*I53*J53</x:f>
        <x:v>1.625</x:v>
      </x:c>
      <x:c r="P53" s="6" t="n">
        <x:f>0</x:f>
        <x:v>0</x:v>
      </x:c>
      <x:c r="Q53" s="6" t="str">
        <x:v>res://data/skills/wizard_ice_crash.tres</x:v>
      </x:c>
      <x:c r="R53" s="6" t="str">
        <x:v>技能初始可用；短战斗另看首发</x:v>
      </x:c>
    </x:row>
    <x:row r="54" ht="24" customHeight="1">
      <x:c r="A54" s="6" t="str">
        <x:v>巫师</x:v>
      </x:c>
      <x:c r="B54" s="6" t="str">
        <x:v>火球</x:v>
      </x:c>
      <x:c r="C54" s="6" t="str">
        <x:v>远程</x:v>
      </x:c>
      <x:c r="D54" s="18" t="n">
        <x:v>0</x:v>
      </x:c>
      <x:c r="E54" s="18" t="n">
        <x:f>'单位战力'!E27</x:f>
        <x:v>15</x:v>
      </x:c>
      <x:c r="F54" s="12" t="n">
        <x:v>1</x:v>
      </x:c>
      <x:c r="G54" s="12" t="n">
        <x:v>1</x:v>
      </x:c>
      <x:c r="H54" s="12" t="n">
        <x:v>0.9</x:v>
      </x:c>
      <x:c r="I54" s="17" t="n">
        <x:v>1</x:v>
      </x:c>
      <x:c r="J54" s="21" t="n">
        <x:v>1</x:v>
      </x:c>
      <x:c r="K54" s="15" t="n">
        <x:v>1</x:v>
      </x:c>
      <x:c r="L54" s="14" t="n">
        <x:f>L53+M53*H53</x:f>
        <x:v>0.075</x:v>
      </x:c>
      <x:c r="M54" s="6" t="n">
        <x:f>IF(OR(G54&lt;=0,H54&lt;=0,K54&lt;0,K54&gt;1),"输入无效",MIN(K54/G54,MAX(0,1-L54)/H54))</x:f>
        <x:v>1</x:v>
      </x:c>
      <x:c r="N54" s="6" t="n">
        <x:f>MAX(INT(E54*F54)-'调参总览'!$B$11,1)*1</x:f>
        <x:v>10</x:v>
      </x:c>
      <x:c r="O54" s="6" t="n">
        <x:f>M54*N54*I54*J54</x:f>
        <x:v>10</x:v>
      </x:c>
      <x:c r="P54" s="6" t="n">
        <x:f>0</x:f>
        <x:v>0</x:v>
      </x:c>
      <x:c r="Q54" s="6" t="str">
        <x:v>res://data/skills/wizard_fire_ball.tres</x:v>
      </x:c>
      <x:c r="R54" s="6" t="str">
        <x:v>技能初始可用；短战斗另看首发</x:v>
      </x:c>
    </x:row>
    <x:row r="55" ht="24" customHeight="1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</x:row>
    <x:row r="56" ht="24" customHeight="1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57" hidden="0" customWidth="1"/>
    <x:col min="16" max="16" width="3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4" t="str">
        <x:v>波次压力与重复成长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30" customHeight="1">
      <x:c r="A4" s="2" t="str">
        <x:v>展开当前5份关卡的前12轮。压力=敌阵战力/可部署战力；使用抽牌和费用近似，不能转换为实战胜率。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40" customHeight="1">
      <x:c r="A6" s="10" t="str">
        <x:v>关卡</x:v>
      </x:c>
      <x:c r="B6" s="10" t="str">
        <x:v>轮数</x:v>
      </x:c>
      <x:c r="C6" s="10" t="str">
        <x:v>原波次</x:v>
      </x:c>
      <x:c r="D6" s="10" t="str">
        <x:v>循环次数</x:v>
      </x:c>
      <x:c r="E6" s="10" t="str">
        <x:v>敌方人数</x:v>
      </x:c>
      <x:c r="F6" s="10" t="str">
        <x:v>基础能量</x:v>
      </x:c>
      <x:c r="G6" s="10" t="str">
        <x:v>抽牌附加能量</x:v>
      </x:c>
      <x:c r="H6" s="10" t="str">
        <x:v>征召平均费用</x:v>
      </x:c>
      <x:c r="I6" s="10" t="str">
        <x:v>预计征召数</x:v>
      </x:c>
      <x:c r="J6" s="10" t="str">
        <x:v>玩家预算战力</x:v>
      </x:c>
      <x:c r="K6" s="10" t="str">
        <x:v>敌阵战力</x:v>
      </x:c>
      <x:c r="L6" s="10" t="str">
        <x:v>压力比</x:v>
      </x:c>
      <x:c r="M6" s="10" t="str">
        <x:v>全败最大扣血</x:v>
      </x:c>
      <x:c r="N6" s="10" t="str">
        <x:v>敌方节点生命</x:v>
      </x:c>
      <x:c r="O6" s="10" t="str">
        <x:v>来源</x:v>
      </x:c>
      <x:c r="P6" s="10" t="str">
        <x:v>波次说明</x:v>
      </x:c>
    </x:row>
    <x:row r="7" ht="24" customHeight="1">
      <x:c r="A7" s="6" t="str">
        <x:v>level_001</x:v>
      </x:c>
      <x:c r="B7" s="18" t="n">
        <x:v>1</x:v>
      </x:c>
      <x:c r="C7" s="18" t="n">
        <x:v>1</x:v>
      </x:c>
      <x:c r="D7" s="18" t="n">
        <x:v>0</x:v>
      </x:c>
      <x:c r="E7" s="18" t="n">
        <x:v>2</x:v>
      </x:c>
      <x:c r="F7" s="18" t="n">
        <x:f>MIN('调参总览'!$B$15+(B7-1)*'调参总览'!$B$16,'调参总览'!$B$17)</x:f>
        <x:v>3</x:v>
      </x:c>
      <x:c r="G7" s="18" t="n">
        <x:f>(INT(B7*'调参总览'!$B$18/'调参总览'!$B$20)-INT((B7-1)*'调参总览'!$B$18/'调参总览'!$B$20))*'调参总览'!$B$21+'调参总览'!$B$19</x:f>
        <x:v>0</x:v>
      </x:c>
      <x:c r="H7" s="6" t="n">
        <x:f>'调参总览'!$B$34+(B7-1)*'调参总览'!$B$26</x:f>
        <x:v>1</x:v>
      </x:c>
      <x:c r="I7" s="6" t="n">
        <x:f>MIN((F7+G7)*'调参总览'!$B$25/H7,'调参总览'!$B$18*'调参总览'!$B$23/'调参总览'!$B$22)</x:f>
        <x:v>2.0999999999999996</x:v>
      </x:c>
      <x:c r="J7" s="6" t="n">
        <x:f>I7*'单位战力'!$P$23</x:f>
        <x:v>2.0999999999999996</x:v>
      </x:c>
      <x:c r="K7" s="6" t="n">
        <x:f>'单位战力'!P20*SQRT(('单位战力'!D20+D7*0)/'单位战力'!D20*MAX('调参总览'!$B$10-'单位战力'!F20,1)/MAX('调参总览'!$B$10-'单位战力'!F20-D7*0,1)*MAX('单位战力'!E20+D7*0-'调参总览'!$B$11,1)/MAX('单位战力'!E20-'调参总览'!$B$11,1))+'单位战力'!P20*SQRT(('单位战力'!D20+D7*0)/'单位战力'!D20*MAX('调参总览'!$B$10-'单位战力'!F20,1)/MAX('调参总览'!$B$10-'单位战力'!F20-D7*0,1)*MAX('单位战力'!E20+D7*0-'调参总览'!$B$11,1)/MAX('单位战力'!E20-'调参总览'!$B$11,1))</x:f>
        <x:v>2.325383281828483</x:v>
      </x:c>
      <x:c r="L7" s="6" t="n">
        <x:f>IF(J7&lt;=0,"无部署预算",K7/J7)</x:f>
        <x:v>1.107325372299278</x:v>
      </x:c>
      <x:c r="M7" s="18" t="n">
        <x:f>IF(E7=0,0,B7+'单位战力'!H20+'单位战力'!H20)</x:f>
        <x:v>3</x:v>
      </x:c>
      <x:c r="N7" s="18" t="n">
        <x:v>45</x:v>
      </x:c>
      <x:c r="O7" s="6" t="str">
        <x:v>res://data/levels/level_001.tres</x:v>
      </x:c>
      <x:c r="P7" s="6" t="str">
        <x:v>战力含本轮重复成长</x:v>
      </x:c>
    </x:row>
    <x:row r="8" ht="24" customHeight="1">
      <x:c r="A8" s="6" t="str">
        <x:v>level_001</x:v>
      </x:c>
      <x:c r="B8" s="18" t="n">
        <x:v>2</x:v>
      </x:c>
      <x:c r="C8" s="18" t="n">
        <x:v>2</x:v>
      </x:c>
      <x:c r="D8" s="18" t="n">
        <x:v>0</x:v>
      </x:c>
      <x:c r="E8" s="18" t="n">
        <x:v>2</x:v>
      </x:c>
      <x:c r="F8" s="18" t="n">
        <x:f>MIN('调参总览'!$B$15+(B8-1)*'调参总览'!$B$16,'调参总览'!$B$17)</x:f>
        <x:v>4</x:v>
      </x:c>
      <x:c r="G8" s="18" t="n">
        <x:f>(INT(B8*'调参总览'!$B$18/'调参总览'!$B$20)-INT((B8-1)*'调参总览'!$B$18/'调参总览'!$B$20))*'调参总览'!$B$21+'调参总览'!$B$19</x:f>
        <x:v>1</x:v>
      </x:c>
      <x:c r="H8" s="6" t="n">
        <x:f>'调参总览'!$B$34+(B8-1)*'调参总览'!$B$26</x:f>
        <x:v>1.35</x:v>
      </x:c>
      <x:c r="I8" s="6" t="n">
        <x:f>MIN((F8+G8)*'调参总览'!$B$25/H8,'调参总览'!$B$18*'调参总览'!$B$23/'调参总览'!$B$22)</x:f>
        <x:v>2.5</x:v>
      </x:c>
      <x:c r="J8" s="6" t="n">
        <x:f>I8*'单位战力'!$P$23</x:f>
        <x:v>2.5</x:v>
      </x:c>
      <x:c r="K8" s="6" t="n">
        <x:f>'单位战力'!P20*SQRT(('单位战力'!D20+D8*0)/'单位战力'!D20*MAX('调参总览'!$B$10-'单位战力'!F20,1)/MAX('调参总览'!$B$10-'单位战力'!F20-D8*0,1)*MAX('单位战力'!E20+D8*0-'调参总览'!$B$11,1)/MAX('单位战力'!E20-'调参总览'!$B$11,1))+'单位战力'!P20*SQRT(('单位战力'!D20+D8*0)/'单位战力'!D20*MAX('调参总览'!$B$10-'单位战力'!F20,1)/MAX('调参总览'!$B$10-'单位战力'!F20-D8*0,1)*MAX('单位战力'!E20+D8*0-'调参总览'!$B$11,1)/MAX('单位战力'!E20-'调参总览'!$B$11,1))</x:f>
        <x:v>2.325383281828483</x:v>
      </x:c>
      <x:c r="L8" s="6" t="n">
        <x:f>IF(J8&lt;=0,"无部署预算",K8/J8)</x:f>
        <x:v>0.9301533127313932</x:v>
      </x:c>
      <x:c r="M8" s="18" t="n">
        <x:f>IF(E8=0,0,B8+'单位战力'!H20+'单位战力'!H20)</x:f>
        <x:v>4</x:v>
      </x:c>
      <x:c r="N8" s="18" t="n">
        <x:v>45</x:v>
      </x:c>
      <x:c r="O8" s="6" t="str">
        <x:v>res://data/levels/level_001.tres</x:v>
      </x:c>
      <x:c r="P8" s="6" t="str">
        <x:v>战力含本轮重复成长</x:v>
      </x:c>
    </x:row>
    <x:row r="9" ht="24" customHeight="1">
      <x:c r="A9" s="6" t="str">
        <x:v>level_001</x:v>
      </x:c>
      <x:c r="B9" s="18" t="n">
        <x:v>3</x:v>
      </x:c>
      <x:c r="C9" s="18" t="n">
        <x:v>3</x:v>
      </x:c>
      <x:c r="D9" s="18" t="n">
        <x:v>0</x:v>
      </x:c>
      <x:c r="E9" s="18" t="n">
        <x:v>3</x:v>
      </x:c>
      <x:c r="F9" s="18" t="n">
        <x:f>MIN('调参总览'!$B$15+(B9-1)*'调参总览'!$B$16,'调参总览'!$B$17)</x:f>
        <x:v>5</x:v>
      </x:c>
      <x:c r="G9" s="18" t="n">
        <x:f>(INT(B9*'调参总览'!$B$18/'调参总览'!$B$20)-INT((B9-1)*'调参总览'!$B$18/'调参总览'!$B$20))*'调参总览'!$B$21+'调参总览'!$B$19</x:f>
        <x:v>0</x:v>
      </x:c>
      <x:c r="H9" s="6" t="n">
        <x:f>'调参总览'!$B$34+(B9-1)*'调参总览'!$B$26</x:f>
        <x:v>1.7</x:v>
      </x:c>
      <x:c r="I9" s="6" t="n">
        <x:f>MIN((F9+G9)*'调参总览'!$B$25/H9,'调参总览'!$B$18*'调参总览'!$B$23/'调参总览'!$B$22)</x:f>
        <x:v>2.058823529411765</x:v>
      </x:c>
      <x:c r="J9" s="6" t="n">
        <x:f>I9*'单位战力'!$P$23</x:f>
        <x:v>2.058823529411765</x:v>
      </x:c>
      <x:c r="K9" s="6" t="n">
        <x:f>'单位战力'!P20*SQRT(('单位战力'!D20+D9*0)/'单位战力'!D20*MAX('调参总览'!$B$10-'单位战力'!F20,1)/MAX('调参总览'!$B$10-'单位战力'!F20-D9*0,1)*MAX('单位战力'!E20+D9*0-'调参总览'!$B$11,1)/MAX('单位战力'!E20-'调参总览'!$B$11,1))+'单位战力'!P21*SQRT(('单位战力'!D21+D9*0)/'单位战力'!D21*MAX('调参总览'!$B$10-'单位战力'!F21,1)/MAX('调参总览'!$B$10-'单位战力'!F21-D9*0,1)*MAX('单位战力'!E21+D9*0-'调参总览'!$B$11,1)/MAX('单位战力'!E21-'调参总览'!$B$11,1))+'单位战力'!P21*SQRT(('单位战力'!D21+D9*0)/'单位战力'!D21*MAX('调参总览'!$B$10-'单位战力'!F21,1)/MAX('调参总览'!$B$10-'单位战力'!F21-D9*0,1)*MAX('单位战力'!E21+D9*0-'调参总览'!$B$11,1)/MAX('单位战力'!E21-'调参总览'!$B$11,1))</x:f>
        <x:v>3.5197142448694</x:v>
      </x:c>
      <x:c r="L9" s="6" t="n">
        <x:f>IF(J9&lt;=0,"无部署预算",K9/J9)</x:f>
        <x:v>1.7095754903651368</x:v>
      </x:c>
      <x:c r="M9" s="18" t="n">
        <x:f>IF(E9=0,0,B9+'单位战力'!H20+'单位战力'!H21+'单位战力'!H21)</x:f>
        <x:v>8</x:v>
      </x:c>
      <x:c r="N9" s="18" t="n">
        <x:v>45</x:v>
      </x:c>
      <x:c r="O9" s="6" t="str">
        <x:v>res://data/levels/level_001.tres</x:v>
      </x:c>
      <x:c r="P9" s="6" t="str">
        <x:v>战力含本轮重复成长</x:v>
      </x:c>
    </x:row>
    <x:row r="10" ht="24" customHeight="1">
      <x:c r="A10" s="6" t="str">
        <x:v>level_001</x:v>
      </x:c>
      <x:c r="B10" s="18" t="n">
        <x:v>4</x:v>
      </x:c>
      <x:c r="C10" s="18" t="n">
        <x:v>4</x:v>
      </x:c>
      <x:c r="D10" s="18" t="n">
        <x:v>0</x:v>
      </x:c>
      <x:c r="E10" s="18" t="n">
        <x:v>0</x:v>
      </x:c>
      <x:c r="F10" s="18" t="n">
        <x:f>MIN('调参总览'!$B$15+(B10-1)*'调参总览'!$B$16,'调参总览'!$B$17)</x:f>
        <x:v>6</x:v>
      </x:c>
      <x:c r="G10" s="18" t="n">
        <x:f>(INT(B10*'调参总览'!$B$18/'调参总览'!$B$20)-INT((B10-1)*'调参总览'!$B$18/'调参总览'!$B$20))*'调参总览'!$B$21+'调参总览'!$B$19</x:f>
        <x:v>1</x:v>
      </x:c>
      <x:c r="H10" s="6" t="n">
        <x:f>'调参总览'!$B$34+(B10-1)*'调参总览'!$B$26</x:f>
        <x:v>2.05</x:v>
      </x:c>
      <x:c r="I10" s="6" t="n">
        <x:f>MIN((F10+G10)*'调参总览'!$B$25/H10,'调参总览'!$B$18*'调参总览'!$B$23/'调参总览'!$B$22)</x:f>
        <x:v>2.3902439024390243</x:v>
      </x:c>
      <x:c r="J10" s="6" t="n">
        <x:f>I10*'单位战力'!$P$23</x:f>
        <x:v>2.3902439024390243</x:v>
      </x:c>
      <x:c r="K10" s="6" t="n">
        <x:f>0</x:f>
        <x:v>0</x:v>
      </x:c>
      <x:c r="L10" s="6" t="n">
        <x:f>IF(J10&lt;=0,"无部署预算",K10/J10)</x:f>
        <x:v>0</x:v>
      </x:c>
      <x:c r="M10" s="18" t="n">
        <x:f>IF(E10=0,0,B10+0)</x:f>
        <x:v>0</x:v>
      </x:c>
      <x:c r="N10" s="18" t="n">
        <x:v>45</x:v>
      </x:c>
      <x:c r="O10" s="6" t="str">
        <x:v>res://data/levels/level_001.tres</x:v>
      </x:c>
      <x:c r="P10" s="6" t="str">
        <x:v>原配置为空波</x:v>
      </x:c>
    </x:row>
    <x:row r="11" ht="24" customHeight="1">
      <x:c r="A11" s="6" t="str">
        <x:v>level_001</x:v>
      </x:c>
      <x:c r="B11" s="18" t="n">
        <x:v>5</x:v>
      </x:c>
      <x:c r="C11" s="18" t="n">
        <x:v>5</x:v>
      </x:c>
      <x:c r="D11" s="18" t="n">
        <x:v>0</x:v>
      </x:c>
      <x:c r="E11" s="18" t="n">
        <x:v>4</x:v>
      </x:c>
      <x:c r="F11" s="18" t="n">
        <x:f>MIN('调参总览'!$B$15+(B11-1)*'调参总览'!$B$16,'调参总览'!$B$17)</x:f>
        <x:v>7</x:v>
      </x:c>
      <x:c r="G11" s="18" t="n">
        <x:f>(INT(B11*'调参总览'!$B$18/'调参总览'!$B$20)-INT((B11-1)*'调参总览'!$B$18/'调参总览'!$B$20))*'调参总览'!$B$21+'调参总览'!$B$19</x:f>
        <x:v>0</x:v>
      </x:c>
      <x:c r="H11" s="6" t="n">
        <x:f>'调参总览'!$B$34+(B11-1)*'调参总览'!$B$26</x:f>
        <x:v>2.4</x:v>
      </x:c>
      <x:c r="I11" s="6" t="n">
        <x:f>MIN((F11+G11)*'调参总览'!$B$25/H11,'调参总览'!$B$18*'调参总览'!$B$23/'调参总览'!$B$22)</x:f>
        <x:v>2.0416666666666665</x:v>
      </x:c>
      <x:c r="J11" s="6" t="n">
        <x:f>I11*'单位战力'!$P$23</x:f>
        <x:v>2.0416666666666665</x:v>
      </x:c>
      <x:c r="K11" s="6" t="n">
        <x:f>'单位战力'!P20*SQRT(('单位战力'!D20+D11*0)/'单位战力'!D20*MAX('调参总览'!$B$10-'单位战力'!F20,1)/MAX('调参总览'!$B$10-'单位战力'!F20-D11*0,1)*MAX('单位战力'!E20+D11*0-'调参总览'!$B$11,1)/MAX('单位战力'!E20-'调参总览'!$B$11,1))+'单位战力'!P20*SQRT(('单位战力'!D20+D11*0)/'单位战力'!D20*MAX('调参总览'!$B$10-'单位战力'!F20,1)/MAX('调参总览'!$B$10-'单位战力'!F20-D11*0,1)*MAX('单位战力'!E20+D11*0-'调参总览'!$B$11,1)/MAX('单位战力'!E20-'调参总览'!$B$11,1))+'单位战力'!P20*SQRT(('单位战力'!D20+D11*0)/'单位战力'!D20*MAX('调参总览'!$B$10-'单位战力'!F20,1)/MAX('调参总览'!$B$10-'单位战力'!F20-D11*0,1)*MAX('单位战力'!E20+D11*0-'调参总览'!$B$11,1)/MAX('单位战力'!E20-'调参总览'!$B$11,1))+'单位战力'!P20*SQRT(('单位战力'!D20+D11*0)/'单位战力'!D20*MAX('调参总览'!$B$10-'单位战力'!F20,1)/MAX('调参总览'!$B$10-'单位战力'!F20-D11*0,1)*MAX('单位战力'!E20+D11*0-'调参总览'!$B$11,1)/MAX('单位战力'!E20-'调参总览'!$B$11,1))</x:f>
        <x:v>4.650766563656966</x:v>
      </x:c>
      <x:c r="L11" s="6" t="n">
        <x:f>IF(J11&lt;=0,"无部署预算",K11/J11)</x:f>
        <x:v>2.277926480158514</x:v>
      </x:c>
      <x:c r="M11" s="18" t="n">
        <x:f>IF(E11=0,0,B11+'单位战力'!H20+'单位战力'!H20+'单位战力'!H20+'单位战力'!H20)</x:f>
        <x:v>9</x:v>
      </x:c>
      <x:c r="N11" s="18" t="n">
        <x:v>45</x:v>
      </x:c>
      <x:c r="O11" s="6" t="str">
        <x:v>res://data/levels/level_001.tres</x:v>
      </x:c>
      <x:c r="P11" s="6" t="str">
        <x:v>战力含本轮重复成长</x:v>
      </x:c>
    </x:row>
    <x:row r="12" ht="24" customHeight="1">
      <x:c r="A12" s="6" t="str">
        <x:v>level_001</x:v>
      </x:c>
      <x:c r="B12" s="18" t="n">
        <x:v>6</x:v>
      </x:c>
      <x:c r="C12" s="18" t="n">
        <x:v>5</x:v>
      </x:c>
      <x:c r="D12" s="18" t="n">
        <x:v>0</x:v>
      </x:c>
      <x:c r="E12" s="18" t="n">
        <x:v>4</x:v>
      </x:c>
      <x:c r="F12" s="18" t="n">
        <x:f>MIN('调参总览'!$B$15+(B12-1)*'调参总览'!$B$16,'调参总览'!$B$17)</x:f>
        <x:v>8</x:v>
      </x:c>
      <x:c r="G12" s="18" t="n">
        <x:f>(INT(B12*'调参总览'!$B$18/'调参总览'!$B$20)-INT((B12-1)*'调参总览'!$B$18/'调参总览'!$B$20))*'调参总览'!$B$21+'调参总览'!$B$19</x:f>
        <x:v>1</x:v>
      </x:c>
      <x:c r="H12" s="6" t="n">
        <x:f>'调参总览'!$B$34+(B12-1)*'调参总览'!$B$26</x:f>
        <x:v>2.75</x:v>
      </x:c>
      <x:c r="I12" s="6" t="n">
        <x:f>MIN((F12+G12)*'调参总览'!$B$25/H12,'调参总览'!$B$18*'调参总览'!$B$23/'调参总览'!$B$22)</x:f>
        <x:v>2.290909090909091</x:v>
      </x:c>
      <x:c r="J12" s="6" t="n">
        <x:f>I12*'单位战力'!$P$23</x:f>
        <x:v>2.290909090909091</x:v>
      </x:c>
      <x:c r="K12" s="6" t="n">
        <x:f>'单位战力'!P20*SQRT(('单位战力'!D20+D12*0)/'单位战力'!D20*MAX('调参总览'!$B$10-'单位战力'!F20,1)/MAX('调参总览'!$B$10-'单位战力'!F20-D12*0,1)*MAX('单位战力'!E20+D12*0-'调参总览'!$B$11,1)/MAX('单位战力'!E20-'调参总览'!$B$11,1))+'单位战力'!P20*SQRT(('单位战力'!D20+D12*0)/'单位战力'!D20*MAX('调参总览'!$B$10-'单位战力'!F20,1)/MAX('调参总览'!$B$10-'单位战力'!F20-D12*0,1)*MAX('单位战力'!E20+D12*0-'调参总览'!$B$11,1)/MAX('单位战力'!E20-'调参总览'!$B$11,1))+'单位战力'!P20*SQRT(('单位战力'!D20+D12*0)/'单位战力'!D20*MAX('调参总览'!$B$10-'单位战力'!F20,1)/MAX('调参总览'!$B$10-'单位战力'!F20-D12*0,1)*MAX('单位战力'!E20+D12*0-'调参总览'!$B$11,1)/MAX('单位战力'!E20-'调参总览'!$B$11,1))+'单位战力'!P20*SQRT(('单位战力'!D20+D12*0)/'单位战力'!D20*MAX('调参总览'!$B$10-'单位战力'!F20,1)/MAX('调参总览'!$B$10-'单位战力'!F20-D12*0,1)*MAX('单位战力'!E20+D12*0-'调参总览'!$B$11,1)/MAX('单位战力'!E20-'调参总览'!$B$11,1))</x:f>
        <x:v>4.650766563656966</x:v>
      </x:c>
      <x:c r="L12" s="6" t="n">
        <x:f>IF(J12&lt;=0,"无部署预算",K12/J12)</x:f>
        <x:v>2.030096515882009</x:v>
      </x:c>
      <x:c r="M12" s="18" t="n">
        <x:f>IF(E12=0,0,B12+'单位战力'!H20+'单位战力'!H20+'单位战力'!H20+'单位战力'!H20)</x:f>
        <x:v>10</x:v>
      </x:c>
      <x:c r="N12" s="18" t="n">
        <x:v>45</x:v>
      </x:c>
      <x:c r="O12" s="6" t="str">
        <x:v>res://data/levels/level_001.tres</x:v>
      </x:c>
      <x:c r="P12" s="6" t="str">
        <x:v>战力含本轮重复成长</x:v>
      </x:c>
    </x:row>
    <x:row r="13" ht="24" customHeight="1">
      <x:c r="A13" s="6" t="str">
        <x:v>level_001</x:v>
      </x:c>
      <x:c r="B13" s="18" t="n">
        <x:v>7</x:v>
      </x:c>
      <x:c r="C13" s="18" t="n">
        <x:v>5</x:v>
      </x:c>
      <x:c r="D13" s="18" t="n">
        <x:v>0</x:v>
      </x:c>
      <x:c r="E13" s="18" t="n">
        <x:v>4</x:v>
      </x:c>
      <x:c r="F13" s="18" t="n">
        <x:f>MIN('调参总览'!$B$15+(B13-1)*'调参总览'!$B$16,'调参总览'!$B$17)</x:f>
        <x:v>9</x:v>
      </x:c>
      <x:c r="G13" s="18" t="n">
        <x:f>(INT(B13*'调参总览'!$B$18/'调参总览'!$B$20)-INT((B13-1)*'调参总览'!$B$18/'调参总览'!$B$20))*'调参总览'!$B$21+'调参总览'!$B$19</x:f>
        <x:v>0</x:v>
      </x:c>
      <x:c r="H13" s="6" t="n">
        <x:f>'调参总览'!$B$34+(B13-1)*'调参总览'!$B$26</x:f>
        <x:v>3.0999999999999996</x:v>
      </x:c>
      <x:c r="I13" s="6" t="n">
        <x:f>MIN((F13+G13)*'调参总览'!$B$25/H13,'调参总览'!$B$18*'调参总览'!$B$23/'调参总览'!$B$22)</x:f>
        <x:v>2.032258064516129</x:v>
      </x:c>
      <x:c r="J13" s="6" t="n">
        <x:f>I13*'单位战力'!$P$23</x:f>
        <x:v>2.032258064516129</x:v>
      </x:c>
      <x:c r="K13" s="6" t="n">
        <x:f>'单位战力'!P20*SQRT(('单位战力'!D20+D13*0)/'单位战力'!D20*MAX('调参总览'!$B$10-'单位战力'!F20,1)/MAX('调参总览'!$B$10-'单位战力'!F20-D13*0,1)*MAX('单位战力'!E20+D13*0-'调参总览'!$B$11,1)/MAX('单位战力'!E20-'调参总览'!$B$11,1))+'单位战力'!P20*SQRT(('单位战力'!D20+D13*0)/'单位战力'!D20*MAX('调参总览'!$B$10-'单位战力'!F20,1)/MAX('调参总览'!$B$10-'单位战力'!F20-D13*0,1)*MAX('单位战力'!E20+D13*0-'调参总览'!$B$11,1)/MAX('单位战力'!E20-'调参总览'!$B$11,1))+'单位战力'!P20*SQRT(('单位战力'!D20+D13*0)/'单位战力'!D20*MAX('调参总览'!$B$10-'单位战力'!F20,1)/MAX('调参总览'!$B$10-'单位战力'!F20-D13*0,1)*MAX('单位战力'!E20+D13*0-'调参总览'!$B$11,1)/MAX('单位战力'!E20-'调参总览'!$B$11,1))+'单位战力'!P20*SQRT(('单位战力'!D20+D13*0)/'单位战力'!D20*MAX('调参总览'!$B$10-'单位战力'!F20,1)/MAX('调参总览'!$B$10-'单位战力'!F20-D13*0,1)*MAX('单位战力'!E20+D13*0-'调参总览'!$B$11,1)/MAX('单位战力'!E20-'调参总览'!$B$11,1))</x:f>
        <x:v>4.650766563656966</x:v>
      </x:c>
      <x:c r="L13" s="6" t="n">
        <x:f>IF(J13&lt;=0,"无部署预算",K13/J13)</x:f>
        <x:v>2.288472436085174</x:v>
      </x:c>
      <x:c r="M13" s="18" t="n">
        <x:f>IF(E13=0,0,B13+'单位战力'!H20+'单位战力'!H20+'单位战力'!H20+'单位战力'!H20)</x:f>
        <x:v>11</x:v>
      </x:c>
      <x:c r="N13" s="18" t="n">
        <x:v>45</x:v>
      </x:c>
      <x:c r="O13" s="6" t="str">
        <x:v>res://data/levels/level_001.tres</x:v>
      </x:c>
      <x:c r="P13" s="6" t="str">
        <x:v>战力含本轮重复成长</x:v>
      </x:c>
    </x:row>
    <x:row r="14" ht="24" customHeight="1">
      <x:c r="A14" s="6" t="str">
        <x:v>level_001</x:v>
      </x:c>
      <x:c r="B14" s="18" t="n">
        <x:v>8</x:v>
      </x:c>
      <x:c r="C14" s="18" t="n">
        <x:v>5</x:v>
      </x:c>
      <x:c r="D14" s="18" t="n">
        <x:v>0</x:v>
      </x:c>
      <x:c r="E14" s="18" t="n">
        <x:v>4</x:v>
      </x:c>
      <x:c r="F14" s="18" t="n">
        <x:f>MIN('调参总览'!$B$15+(B14-1)*'调参总览'!$B$16,'调参总览'!$B$17)</x:f>
        <x:v>10</x:v>
      </x:c>
      <x:c r="G14" s="18" t="n">
        <x:f>(INT(B14*'调参总览'!$B$18/'调参总览'!$B$20)-INT((B14-1)*'调参总览'!$B$18/'调参总览'!$B$20))*'调参总览'!$B$21+'调参总览'!$B$19</x:f>
        <x:v>1</x:v>
      </x:c>
      <x:c r="H14" s="6" t="n">
        <x:f>'调参总览'!$B$34+(B14-1)*'调参总览'!$B$26</x:f>
        <x:v>3.4499999999999997</x:v>
      </x:c>
      <x:c r="I14" s="6" t="n">
        <x:f>MIN((F14+G14)*'调参总览'!$B$25/H14,'调参总览'!$B$18*'调参总览'!$B$23/'调参总览'!$B$22)</x:f>
        <x:v>2.2318840579710146</x:v>
      </x:c>
      <x:c r="J14" s="6" t="n">
        <x:f>I14*'单位战力'!$P$23</x:f>
        <x:v>2.2318840579710146</x:v>
      </x:c>
      <x:c r="K14" s="6" t="n">
        <x:f>'单位战力'!P20*SQRT(('单位战力'!D20+D14*0)/'单位战力'!D20*MAX('调参总览'!$B$10-'单位战力'!F20,1)/MAX('调参总览'!$B$10-'单位战力'!F20-D14*0,1)*MAX('单位战力'!E20+D14*0-'调参总览'!$B$11,1)/MAX('单位战力'!E20-'调参总览'!$B$11,1))+'单位战力'!P20*SQRT(('单位战力'!D20+D14*0)/'单位战力'!D20*MAX('调参总览'!$B$10-'单位战力'!F20,1)/MAX('调参总览'!$B$10-'单位战力'!F20-D14*0,1)*MAX('单位战力'!E20+D14*0-'调参总览'!$B$11,1)/MAX('单位战力'!E20-'调参总览'!$B$11,1))+'单位战力'!P20*SQRT(('单位战力'!D20+D14*0)/'单位战力'!D20*MAX('调参总览'!$B$10-'单位战力'!F20,1)/MAX('调参总览'!$B$10-'单位战力'!F20-D14*0,1)*MAX('单位战力'!E20+D14*0-'调参总览'!$B$11,1)/MAX('单位战力'!E20-'调参总览'!$B$11,1))+'单位战力'!P20*SQRT(('单位战力'!D20+D14*0)/'单位战力'!D20*MAX('调参总览'!$B$10-'单位战力'!F20,1)/MAX('调参总览'!$B$10-'单位战力'!F20-D14*0,1)*MAX('单位战力'!E20+D14*0-'调参总览'!$B$11,1)/MAX('单位战力'!E20-'调参总览'!$B$11,1))</x:f>
        <x:v>4.650766563656966</x:v>
      </x:c>
      <x:c r="L14" s="6" t="n">
        <x:f>IF(J14&lt;=0,"无部署预算",K14/J14)</x:f>
        <x:v>2.083785018781368</x:v>
      </x:c>
      <x:c r="M14" s="18" t="n">
        <x:f>IF(E14=0,0,B14+'单位战力'!H20+'单位战力'!H20+'单位战力'!H20+'单位战力'!H20)</x:f>
        <x:v>12</x:v>
      </x:c>
      <x:c r="N14" s="18" t="n">
        <x:v>45</x:v>
      </x:c>
      <x:c r="O14" s="6" t="str">
        <x:v>res://data/levels/level_001.tres</x:v>
      </x:c>
      <x:c r="P14" s="6" t="str">
        <x:v>战力含本轮重复成长</x:v>
      </x:c>
    </x:row>
    <x:row r="15" ht="24" customHeight="1">
      <x:c r="A15" s="6" t="str">
        <x:v>level_001</x:v>
      </x:c>
      <x:c r="B15" s="18" t="n">
        <x:v>9</x:v>
      </x:c>
      <x:c r="C15" s="18" t="n">
        <x:v>5</x:v>
      </x:c>
      <x:c r="D15" s="18" t="n">
        <x:v>0</x:v>
      </x:c>
      <x:c r="E15" s="18" t="n">
        <x:v>4</x:v>
      </x:c>
      <x:c r="F15" s="18" t="n">
        <x:f>MIN('调参总览'!$B$15+(B15-1)*'调参总览'!$B$16,'调参总览'!$B$17)</x:f>
        <x:v>10</x:v>
      </x:c>
      <x:c r="G15" s="18" t="n">
        <x:f>(INT(B15*'调参总览'!$B$18/'调参总览'!$B$20)-INT((B15-1)*'调参总览'!$B$18/'调参总览'!$B$20))*'调参总览'!$B$21+'调参总览'!$B$19</x:f>
        <x:v>0</x:v>
      </x:c>
      <x:c r="H15" s="6" t="n">
        <x:f>'调参总览'!$B$34+(B15-1)*'调参总览'!$B$26</x:f>
        <x:v>3.8</x:v>
      </x:c>
      <x:c r="I15" s="6" t="n">
        <x:f>MIN((F15+G15)*'调参总览'!$B$25/H15,'调参总览'!$B$18*'调参总览'!$B$23/'调参总览'!$B$22)</x:f>
        <x:v>1.842105263157895</x:v>
      </x:c>
      <x:c r="J15" s="6" t="n">
        <x:f>I15*'单位战力'!$P$23</x:f>
        <x:v>1.842105263157895</x:v>
      </x:c>
      <x:c r="K15" s="6" t="n">
        <x:f>'单位战力'!P20*SQRT(('单位战力'!D20+D15*0)/'单位战力'!D20*MAX('调参总览'!$B$10-'单位战力'!F20,1)/MAX('调参总览'!$B$10-'单位战力'!F20-D15*0,1)*MAX('单位战力'!E20+D15*0-'调参总览'!$B$11,1)/MAX('单位战力'!E20-'调参总览'!$B$11,1))+'单位战力'!P20*SQRT(('单位战力'!D20+D15*0)/'单位战力'!D20*MAX('调参总览'!$B$10-'单位战力'!F20,1)/MAX('调参总览'!$B$10-'单位战力'!F20-D15*0,1)*MAX('单位战力'!E20+D15*0-'调参总览'!$B$11,1)/MAX('单位战力'!E20-'调参总览'!$B$11,1))+'单位战力'!P20*SQRT(('单位战力'!D20+D15*0)/'单位战力'!D20*MAX('调参总览'!$B$10-'单位战力'!F20,1)/MAX('调参总览'!$B$10-'单位战力'!F20-D15*0,1)*MAX('单位战力'!E20+D15*0-'调参总览'!$B$11,1)/MAX('单位战力'!E20-'调参总览'!$B$11,1))+'单位战力'!P20*SQRT(('单位战力'!D20+D15*0)/'单位战力'!D20*MAX('调参总览'!$B$10-'单位战力'!F20,1)/MAX('调参总览'!$B$10-'单位战力'!F20-D15*0,1)*MAX('单位战力'!E20+D15*0-'调参总览'!$B$11,1)/MAX('单位战力'!E20-'调参总览'!$B$11,1))</x:f>
        <x:v>4.650766563656966</x:v>
      </x:c>
      <x:c r="L15" s="6" t="n">
        <x:f>IF(J15&lt;=0,"无部署预算",K15/J15)</x:f>
        <x:v>2.524701848842353</x:v>
      </x:c>
      <x:c r="M15" s="18" t="n">
        <x:f>IF(E15=0,0,B15+'单位战力'!H20+'单位战力'!H20+'单位战力'!H20+'单位战力'!H20)</x:f>
        <x:v>13</x:v>
      </x:c>
      <x:c r="N15" s="18" t="n">
        <x:v>45</x:v>
      </x:c>
      <x:c r="O15" s="6" t="str">
        <x:v>res://data/levels/level_001.tres</x:v>
      </x:c>
      <x:c r="P15" s="6" t="str">
        <x:v>战力含本轮重复成长</x:v>
      </x:c>
    </x:row>
    <x:row r="16" ht="24" customHeight="1">
      <x:c r="A16" s="6" t="str">
        <x:v>level_001</x:v>
      </x:c>
      <x:c r="B16" s="18" t="n">
        <x:v>10</x:v>
      </x:c>
      <x:c r="C16" s="18" t="n">
        <x:v>5</x:v>
      </x:c>
      <x:c r="D16" s="18" t="n">
        <x:v>0</x:v>
      </x:c>
      <x:c r="E16" s="18" t="n">
        <x:v>4</x:v>
      </x:c>
      <x:c r="F16" s="18" t="n">
        <x:f>MIN('调参总览'!$B$15+(B16-1)*'调参总览'!$B$16,'调参总览'!$B$17)</x:f>
        <x:v>10</x:v>
      </x:c>
      <x:c r="G16" s="18" t="n">
        <x:f>(INT(B16*'调参总览'!$B$18/'调参总览'!$B$20)-INT((B16-1)*'调参总览'!$B$18/'调参总览'!$B$20))*'调参总览'!$B$21+'调参总览'!$B$19</x:f>
        <x:v>1</x:v>
      </x:c>
      <x:c r="H16" s="6" t="n">
        <x:f>'调参总览'!$B$34+(B16-1)*'调参总览'!$B$26</x:f>
        <x:v>4.15</x:v>
      </x:c>
      <x:c r="I16" s="6" t="n">
        <x:f>MIN((F16+G16)*'调参总览'!$B$25/H16,'调参总览'!$B$18*'调参总览'!$B$23/'调参总览'!$B$22)</x:f>
        <x:v>1.8554216867469877</x:v>
      </x:c>
      <x:c r="J16" s="6" t="n">
        <x:f>I16*'单位战力'!$P$23</x:f>
        <x:v>1.8554216867469877</x:v>
      </x:c>
      <x:c r="K16" s="6" t="n">
        <x:f>'单位战力'!P20*SQRT(('单位战力'!D20+D16*0)/'单位战力'!D20*MAX('调参总览'!$B$10-'单位战力'!F20,1)/MAX('调参总览'!$B$10-'单位战力'!F20-D16*0,1)*MAX('单位战力'!E20+D16*0-'调参总览'!$B$11,1)/MAX('单位战力'!E20-'调参总览'!$B$11,1))+'单位战力'!P20*SQRT(('单位战力'!D20+D16*0)/'单位战力'!D20*MAX('调参总览'!$B$10-'单位战力'!F20,1)/MAX('调参总览'!$B$10-'单位战力'!F20-D16*0,1)*MAX('单位战力'!E20+D16*0-'调参总览'!$B$11,1)/MAX('单位战力'!E20-'调参总览'!$B$11,1))+'单位战力'!P20*SQRT(('单位战力'!D20+D16*0)/'单位战力'!D20*MAX('调参总览'!$B$10-'单位战力'!F20,1)/MAX('调参总览'!$B$10-'单位战力'!F20-D16*0,1)*MAX('单位战力'!E20+D16*0-'调参总览'!$B$11,1)/MAX('单位战力'!E20-'调参总览'!$B$11,1))+'单位战力'!P20*SQRT(('单位战力'!D20+D16*0)/'单位战力'!D20*MAX('调参总览'!$B$10-'单位战力'!F20,1)/MAX('调参总览'!$B$10-'单位战力'!F20-D16*0,1)*MAX('单位战力'!E20+D16*0-'调参总览'!$B$11,1)/MAX('单位战力'!E20-'调参总览'!$B$11,1))</x:f>
        <x:v>4.650766563656966</x:v>
      </x:c>
      <x:c r="L16" s="6" t="n">
        <x:f>IF(J16&lt;=0,"无部署预算",K16/J16)</x:f>
        <x:v>2.50658197911382</x:v>
      </x:c>
      <x:c r="M16" s="18" t="n">
        <x:f>IF(E16=0,0,B16+'单位战力'!H20+'单位战力'!H20+'单位战力'!H20+'单位战力'!H20)</x:f>
        <x:v>14</x:v>
      </x:c>
      <x:c r="N16" s="18" t="n">
        <x:v>45</x:v>
      </x:c>
      <x:c r="O16" s="6" t="str">
        <x:v>res://data/levels/level_001.tres</x:v>
      </x:c>
      <x:c r="P16" s="6" t="str">
        <x:v>战力含本轮重复成长</x:v>
      </x:c>
    </x:row>
    <x:row r="17" ht="24" customHeight="1">
      <x:c r="A17" s="6" t="str">
        <x:v>level_001</x:v>
      </x:c>
      <x:c r="B17" s="18" t="n">
        <x:v>11</x:v>
      </x:c>
      <x:c r="C17" s="18" t="n">
        <x:v>5</x:v>
      </x:c>
      <x:c r="D17" s="18" t="n">
        <x:v>0</x:v>
      </x:c>
      <x:c r="E17" s="18" t="n">
        <x:v>4</x:v>
      </x:c>
      <x:c r="F17" s="18" t="n">
        <x:f>MIN('调参总览'!$B$15+(B17-1)*'调参总览'!$B$16,'调参总览'!$B$17)</x:f>
        <x:v>10</x:v>
      </x:c>
      <x:c r="G17" s="18" t="n">
        <x:f>(INT(B17*'调参总览'!$B$18/'调参总览'!$B$20)-INT((B17-1)*'调参总览'!$B$18/'调参总览'!$B$20))*'调参总览'!$B$21+'调参总览'!$B$19</x:f>
        <x:v>0</x:v>
      </x:c>
      <x:c r="H17" s="6" t="n">
        <x:f>'调参总览'!$B$34+(B17-1)*'调参总览'!$B$26</x:f>
        <x:v>4.5</x:v>
      </x:c>
      <x:c r="I17" s="6" t="n">
        <x:f>MIN((F17+G17)*'调参总览'!$B$25/H17,'调参总览'!$B$18*'调参总览'!$B$23/'调参总览'!$B$22)</x:f>
        <x:v>1.5555555555555556</x:v>
      </x:c>
      <x:c r="J17" s="6" t="n">
        <x:f>I17*'单位战力'!$P$23</x:f>
        <x:v>1.5555555555555556</x:v>
      </x:c>
      <x:c r="K17" s="6" t="n">
        <x:f>'单位战力'!P20*SQRT(('单位战力'!D20+D17*0)/'单位战力'!D20*MAX('调参总览'!$B$10-'单位战力'!F20,1)/MAX('调参总览'!$B$10-'单位战力'!F20-D17*0,1)*MAX('单位战力'!E20+D17*0-'调参总览'!$B$11,1)/MAX('单位战力'!E20-'调参总览'!$B$11,1))+'单位战力'!P20*SQRT(('单位战力'!D20+D17*0)/'单位战力'!D20*MAX('调参总览'!$B$10-'单位战力'!F20,1)/MAX('调参总览'!$B$10-'单位战力'!F20-D17*0,1)*MAX('单位战力'!E20+D17*0-'调参总览'!$B$11,1)/MAX('单位战力'!E20-'调参总览'!$B$11,1))+'单位战力'!P20*SQRT(('单位战力'!D20+D17*0)/'单位战力'!D20*MAX('调参总览'!$B$10-'单位战力'!F20,1)/MAX('调参总览'!$B$10-'单位战力'!F20-D17*0,1)*MAX('单位战力'!E20+D17*0-'调参总览'!$B$11,1)/MAX('单位战力'!E20-'调参总览'!$B$11,1))+'单位战力'!P20*SQRT(('单位战力'!D20+D17*0)/'单位战力'!D20*MAX('调参总览'!$B$10-'单位战力'!F20,1)/MAX('调参总览'!$B$10-'单位战力'!F20-D17*0,1)*MAX('单位战力'!E20+D17*0-'调参总览'!$B$11,1)/MAX('单位战力'!E20-'调参总览'!$B$11,1))</x:f>
        <x:v>4.650766563656966</x:v>
      </x:c>
      <x:c r="L17" s="6" t="n">
        <x:f>IF(J17&lt;=0,"无部署预算",K17/J17)</x:f>
        <x:v>2.98977850520805</x:v>
      </x:c>
      <x:c r="M17" s="18" t="n">
        <x:f>IF(E17=0,0,B17+'单位战力'!H20+'单位战力'!H20+'单位战力'!H20+'单位战力'!H20)</x:f>
        <x:v>15</x:v>
      </x:c>
      <x:c r="N17" s="18" t="n">
        <x:v>45</x:v>
      </x:c>
      <x:c r="O17" s="6" t="str">
        <x:v>res://data/levels/level_001.tres</x:v>
      </x:c>
      <x:c r="P17" s="6" t="str">
        <x:v>战力含本轮重复成长</x:v>
      </x:c>
    </x:row>
    <x:row r="18" ht="24" customHeight="1">
      <x:c r="A18" s="6" t="str">
        <x:v>level_001</x:v>
      </x:c>
      <x:c r="B18" s="18" t="n">
        <x:v>12</x:v>
      </x:c>
      <x:c r="C18" s="18" t="n">
        <x:v>5</x:v>
      </x:c>
      <x:c r="D18" s="18" t="n">
        <x:v>0</x:v>
      </x:c>
      <x:c r="E18" s="18" t="n">
        <x:v>4</x:v>
      </x:c>
      <x:c r="F18" s="18" t="n">
        <x:f>MIN('调参总览'!$B$15+(B18-1)*'调参总览'!$B$16,'调参总览'!$B$17)</x:f>
        <x:v>10</x:v>
      </x:c>
      <x:c r="G18" s="18" t="n">
        <x:f>(INT(B18*'调参总览'!$B$18/'调参总览'!$B$20)-INT((B18-1)*'调参总览'!$B$18/'调参总览'!$B$20))*'调参总览'!$B$21+'调参总览'!$B$19</x:f>
        <x:v>1</x:v>
      </x:c>
      <x:c r="H18" s="6" t="n">
        <x:f>'调参总览'!$B$34+(B18-1)*'调参总览'!$B$26</x:f>
        <x:v>4.85</x:v>
      </x:c>
      <x:c r="I18" s="6" t="n">
        <x:f>MIN((F18+G18)*'调参总览'!$B$25/H18,'调参总览'!$B$18*'调参总览'!$B$23/'调参总览'!$B$22)</x:f>
        <x:v>1.5876288659793814</x:v>
      </x:c>
      <x:c r="J18" s="6" t="n">
        <x:f>I18*'单位战力'!$P$23</x:f>
        <x:v>1.5876288659793814</x:v>
      </x:c>
      <x:c r="K18" s="6" t="n">
        <x:f>'单位战力'!P20*SQRT(('单位战力'!D20+D18*0)/'单位战力'!D20*MAX('调参总览'!$B$10-'单位战力'!F20,1)/MAX('调参总览'!$B$10-'单位战力'!F20-D18*0,1)*MAX('单位战力'!E20+D18*0-'调参总览'!$B$11,1)/MAX('单位战力'!E20-'调参总览'!$B$11,1))+'单位战力'!P20*SQRT(('单位战力'!D20+D18*0)/'单位战力'!D20*MAX('调参总览'!$B$10-'单位战力'!F20,1)/MAX('调参总览'!$B$10-'单位战力'!F20-D18*0,1)*MAX('单位战力'!E20+D18*0-'调参总览'!$B$11,1)/MAX('单位战力'!E20-'调参总览'!$B$11,1))+'单位战力'!P20*SQRT(('单位战力'!D20+D18*0)/'单位战力'!D20*MAX('调参总览'!$B$10-'单位战力'!F20,1)/MAX('调参总览'!$B$10-'单位战力'!F20-D18*0,1)*MAX('单位战力'!E20+D18*0-'调参总览'!$B$11,1)/MAX('单位战力'!E20-'调参总览'!$B$11,1))+'单位战力'!P20*SQRT(('单位战力'!D20+D18*0)/'单位战力'!D20*MAX('调参总览'!$B$10-'单位战力'!F20,1)/MAX('调参总览'!$B$10-'单位战力'!F20-D18*0,1)*MAX('单位战力'!E20+D18*0-'调参总览'!$B$11,1)/MAX('单位战力'!E20-'调参总览'!$B$11,1))</x:f>
        <x:v>4.650766563656966</x:v>
      </x:c>
      <x:c r="L18" s="6" t="n">
        <x:f>IF(J18&lt;=0,"无部署预算",K18/J18)</x:f>
        <x:v>2.9293789394462713</x:v>
      </x:c>
      <x:c r="M18" s="18" t="n">
        <x:f>IF(E18=0,0,B18+'单位战力'!H20+'单位战力'!H20+'单位战力'!H20+'单位战力'!H20)</x:f>
        <x:v>16</x:v>
      </x:c>
      <x:c r="N18" s="18" t="n">
        <x:v>45</x:v>
      </x:c>
      <x:c r="O18" s="6" t="str">
        <x:v>res://data/levels/level_001.tres</x:v>
      </x:c>
      <x:c r="P18" s="6" t="str">
        <x:v>战力含本轮重复成长</x:v>
      </x:c>
    </x:row>
    <x:row r="19" ht="24" customHeight="1">
      <x:c r="A19" s="6" t="str">
        <x:v>level_001_1</x:v>
      </x:c>
      <x:c r="B19" s="18" t="n">
        <x:v>1</x:v>
      </x:c>
      <x:c r="C19" s="18" t="n">
        <x:v>1</x:v>
      </x:c>
      <x:c r="D19" s="18" t="n">
        <x:v>0</x:v>
      </x:c>
      <x:c r="E19" s="18" t="n">
        <x:v>2</x:v>
      </x:c>
      <x:c r="F19" s="18" t="n">
        <x:f>MIN('调参总览'!$B$15+(B19-1)*'调参总览'!$B$16,'调参总览'!$B$17)</x:f>
        <x:v>3</x:v>
      </x:c>
      <x:c r="G19" s="18" t="n">
        <x:f>(INT(B19*'调参总览'!$B$18/'调参总览'!$B$20)-INT((B19-1)*'调参总览'!$B$18/'调参总览'!$B$20))*'调参总览'!$B$21+'调参总览'!$B$19</x:f>
        <x:v>0</x:v>
      </x:c>
      <x:c r="H19" s="6" t="n">
        <x:f>'调参总览'!$B$34+(B19-1)*'调参总览'!$B$26</x:f>
        <x:v>1</x:v>
      </x:c>
      <x:c r="I19" s="6" t="n">
        <x:f>MIN((F19+G19)*'调参总览'!$B$25/H19,'调参总览'!$B$18*'调参总览'!$B$23/'调参总览'!$B$22)</x:f>
        <x:v>2.0999999999999996</x:v>
      </x:c>
      <x:c r="J19" s="6" t="n">
        <x:f>I19*'单位战力'!$P$23</x:f>
        <x:v>2.0999999999999996</x:v>
      </x:c>
      <x:c r="K19" s="6" t="n">
        <x:f>'单位战力'!P20*SQRT(('单位战力'!D20+D19*0)/'单位战力'!D20*MAX('调参总览'!$B$10-'单位战力'!F20,1)/MAX('调参总览'!$B$10-'单位战力'!F20-D19*0,1)*MAX('单位战力'!E20+D19*0-'调参总览'!$B$11,1)/MAX('单位战力'!E20-'调参总览'!$B$11,1))+'单位战力'!P20*SQRT(('单位战力'!D20+D19*0)/'单位战力'!D20*MAX('调参总览'!$B$10-'单位战力'!F20,1)/MAX('调参总览'!$B$10-'单位战力'!F20-D19*0,1)*MAX('单位战力'!E20+D19*0-'调参总览'!$B$11,1)/MAX('单位战力'!E20-'调参总览'!$B$11,1))</x:f>
        <x:v>2.325383281828483</x:v>
      </x:c>
      <x:c r="L19" s="6" t="n">
        <x:f>IF(J19&lt;=0,"无部署预算",K19/J19)</x:f>
        <x:v>1.107325372299278</x:v>
      </x:c>
      <x:c r="M19" s="18" t="n">
        <x:f>IF(E19=0,0,B19+'单位战力'!H20+'单位战力'!H20)</x:f>
        <x:v>3</x:v>
      </x:c>
      <x:c r="N19" s="18" t="n">
        <x:v>45</x:v>
      </x:c>
      <x:c r="O19" s="6" t="str">
        <x:v>res://data/levels/level_001_1.tres</x:v>
      </x:c>
      <x:c r="P19" s="6" t="str">
        <x:v>战力含本轮重复成长</x:v>
      </x:c>
    </x:row>
    <x:row r="20" ht="24" customHeight="1">
      <x:c r="A20" s="6" t="str">
        <x:v>level_001_1</x:v>
      </x:c>
      <x:c r="B20" s="18" t="n">
        <x:v>2</x:v>
      </x:c>
      <x:c r="C20" s="18" t="n">
        <x:v>2</x:v>
      </x:c>
      <x:c r="D20" s="18" t="n">
        <x:v>0</x:v>
      </x:c>
      <x:c r="E20" s="18" t="n">
        <x:v>2</x:v>
      </x:c>
      <x:c r="F20" s="18" t="n">
        <x:f>MIN('调参总览'!$B$15+(B20-1)*'调参总览'!$B$16,'调参总览'!$B$17)</x:f>
        <x:v>4</x:v>
      </x:c>
      <x:c r="G20" s="18" t="n">
        <x:f>(INT(B20*'调参总览'!$B$18/'调参总览'!$B$20)-INT((B20-1)*'调参总览'!$B$18/'调参总览'!$B$20))*'调参总览'!$B$21+'调参总览'!$B$19</x:f>
        <x:v>1</x:v>
      </x:c>
      <x:c r="H20" s="6" t="n">
        <x:f>'调参总览'!$B$34+(B20-1)*'调参总览'!$B$26</x:f>
        <x:v>1.35</x:v>
      </x:c>
      <x:c r="I20" s="6" t="n">
        <x:f>MIN((F20+G20)*'调参总览'!$B$25/H20,'调参总览'!$B$18*'调参总览'!$B$23/'调参总览'!$B$22)</x:f>
        <x:v>2.5</x:v>
      </x:c>
      <x:c r="J20" s="6" t="n">
        <x:f>I20*'单位战力'!$P$23</x:f>
        <x:v>2.5</x:v>
      </x:c>
      <x:c r="K20" s="6" t="n">
        <x:f>'单位战力'!P20*SQRT(('单位战力'!D20+D20*0)/'单位战力'!D20*MAX('调参总览'!$B$10-'单位战力'!F20,1)/MAX('调参总览'!$B$10-'单位战力'!F20-D20*0,1)*MAX('单位战力'!E20+D20*0-'调参总览'!$B$11,1)/MAX('单位战力'!E20-'调参总览'!$B$11,1))+'单位战力'!P20*SQRT(('单位战力'!D20+D20*0)/'单位战力'!D20*MAX('调参总览'!$B$10-'单位战力'!F20,1)/MAX('调参总览'!$B$10-'单位战力'!F20-D20*0,1)*MAX('单位战力'!E20+D20*0-'调参总览'!$B$11,1)/MAX('单位战力'!E20-'调参总览'!$B$11,1))</x:f>
        <x:v>2.325383281828483</x:v>
      </x:c>
      <x:c r="L20" s="6" t="n">
        <x:f>IF(J20&lt;=0,"无部署预算",K20/J20)</x:f>
        <x:v>0.9301533127313932</x:v>
      </x:c>
      <x:c r="M20" s="18" t="n">
        <x:f>IF(E20=0,0,B20+'单位战力'!H20+'单位战力'!H20)</x:f>
        <x:v>4</x:v>
      </x:c>
      <x:c r="N20" s="18" t="n">
        <x:v>45</x:v>
      </x:c>
      <x:c r="O20" s="6" t="str">
        <x:v>res://data/levels/level_001_1.tres</x:v>
      </x:c>
      <x:c r="P20" s="6" t="str">
        <x:v>战力含本轮重复成长</x:v>
      </x:c>
    </x:row>
    <x:row r="21" ht="24" customHeight="1">
      <x:c r="A21" s="6" t="str">
        <x:v>level_001_1</x:v>
      </x:c>
      <x:c r="B21" s="18" t="n">
        <x:v>3</x:v>
      </x:c>
      <x:c r="C21" s="18" t="n">
        <x:v>3</x:v>
      </x:c>
      <x:c r="D21" s="18" t="n">
        <x:v>0</x:v>
      </x:c>
      <x:c r="E21" s="18" t="n">
        <x:v>3</x:v>
      </x:c>
      <x:c r="F21" s="18" t="n">
        <x:f>MIN('调参总览'!$B$15+(B21-1)*'调参总览'!$B$16,'调参总览'!$B$17)</x:f>
        <x:v>5</x:v>
      </x:c>
      <x:c r="G21" s="18" t="n">
        <x:f>(INT(B21*'调参总览'!$B$18/'调参总览'!$B$20)-INT((B21-1)*'调参总览'!$B$18/'调参总览'!$B$20))*'调参总览'!$B$21+'调参总览'!$B$19</x:f>
        <x:v>0</x:v>
      </x:c>
      <x:c r="H21" s="6" t="n">
        <x:f>'调参总览'!$B$34+(B21-1)*'调参总览'!$B$26</x:f>
        <x:v>1.7</x:v>
      </x:c>
      <x:c r="I21" s="6" t="n">
        <x:f>MIN((F21+G21)*'调参总览'!$B$25/H21,'调参总览'!$B$18*'调参总览'!$B$23/'调参总览'!$B$22)</x:f>
        <x:v>2.058823529411765</x:v>
      </x:c>
      <x:c r="J21" s="6" t="n">
        <x:f>I21*'单位战力'!$P$23</x:f>
        <x:v>2.058823529411765</x:v>
      </x:c>
      <x:c r="K21" s="6" t="n">
        <x:f>'单位战力'!P20*SQRT(('单位战力'!D20+D21*0)/'单位战力'!D20*MAX('调参总览'!$B$10-'单位战力'!F20,1)/MAX('调参总览'!$B$10-'单位战力'!F20-D21*0,1)*MAX('单位战力'!E20+D21*0-'调参总览'!$B$11,1)/MAX('单位战力'!E20-'调参总览'!$B$11,1))+'单位战力'!P21*SQRT(('单位战力'!D21+D21*0)/'单位战力'!D21*MAX('调参总览'!$B$10-'单位战力'!F21,1)/MAX('调参总览'!$B$10-'单位战力'!F21-D21*0,1)*MAX('单位战力'!E21+D21*0-'调参总览'!$B$11,1)/MAX('单位战力'!E21-'调参总览'!$B$11,1))+'单位战力'!P21*SQRT(('单位战力'!D21+D21*0)/'单位战力'!D21*MAX('调参总览'!$B$10-'单位战力'!F21,1)/MAX('调参总览'!$B$10-'单位战力'!F21-D21*0,1)*MAX('单位战力'!E21+D21*0-'调参总览'!$B$11,1)/MAX('单位战力'!E21-'调参总览'!$B$11,1))</x:f>
        <x:v>3.5197142448694</x:v>
      </x:c>
      <x:c r="L21" s="6" t="n">
        <x:f>IF(J21&lt;=0,"无部署预算",K21/J21)</x:f>
        <x:v>1.7095754903651368</x:v>
      </x:c>
      <x:c r="M21" s="18" t="n">
        <x:f>IF(E21=0,0,B21+'单位战力'!H20+'单位战力'!H21+'单位战力'!H21)</x:f>
        <x:v>8</x:v>
      </x:c>
      <x:c r="N21" s="18" t="n">
        <x:v>45</x:v>
      </x:c>
      <x:c r="O21" s="6" t="str">
        <x:v>res://data/levels/level_001_1.tres</x:v>
      </x:c>
      <x:c r="P21" s="6" t="str">
        <x:v>战力含本轮重复成长</x:v>
      </x:c>
    </x:row>
    <x:row r="22" ht="24" customHeight="1">
      <x:c r="A22" s="6" t="str">
        <x:v>level_001_1</x:v>
      </x:c>
      <x:c r="B22" s="18" t="n">
        <x:v>4</x:v>
      </x:c>
      <x:c r="C22" s="18" t="n">
        <x:v>4</x:v>
      </x:c>
      <x:c r="D22" s="18" t="n">
        <x:v>0</x:v>
      </x:c>
      <x:c r="E22" s="18" t="n">
        <x:v>0</x:v>
      </x:c>
      <x:c r="F22" s="18" t="n">
        <x:f>MIN('调参总览'!$B$15+(B22-1)*'调参总览'!$B$16,'调参总览'!$B$17)</x:f>
        <x:v>6</x:v>
      </x:c>
      <x:c r="G22" s="18" t="n">
        <x:f>(INT(B22*'调参总览'!$B$18/'调参总览'!$B$20)-INT((B22-1)*'调参总览'!$B$18/'调参总览'!$B$20))*'调参总览'!$B$21+'调参总览'!$B$19</x:f>
        <x:v>1</x:v>
      </x:c>
      <x:c r="H22" s="6" t="n">
        <x:f>'调参总览'!$B$34+(B22-1)*'调参总览'!$B$26</x:f>
        <x:v>2.05</x:v>
      </x:c>
      <x:c r="I22" s="6" t="n">
        <x:f>MIN((F22+G22)*'调参总览'!$B$25/H22,'调参总览'!$B$18*'调参总览'!$B$23/'调参总览'!$B$22)</x:f>
        <x:v>2.3902439024390243</x:v>
      </x:c>
      <x:c r="J22" s="6" t="n">
        <x:f>I22*'单位战力'!$P$23</x:f>
        <x:v>2.3902439024390243</x:v>
      </x:c>
      <x:c r="K22" s="6" t="n">
        <x:f>0</x:f>
        <x:v>0</x:v>
      </x:c>
      <x:c r="L22" s="6" t="n">
        <x:f>IF(J22&lt;=0,"无部署预算",K22/J22)</x:f>
        <x:v>0</x:v>
      </x:c>
      <x:c r="M22" s="18" t="n">
        <x:f>IF(E22=0,0,B22+0)</x:f>
        <x:v>0</x:v>
      </x:c>
      <x:c r="N22" s="18" t="n">
        <x:v>45</x:v>
      </x:c>
      <x:c r="O22" s="6" t="str">
        <x:v>res://data/levels/level_001_1.tres</x:v>
      </x:c>
      <x:c r="P22" s="6" t="str">
        <x:v>原配置为空波</x:v>
      </x:c>
    </x:row>
    <x:row r="23" ht="24" customHeight="1">
      <x:c r="A23" s="6" t="str">
        <x:v>level_001_1</x:v>
      </x:c>
      <x:c r="B23" s="18" t="n">
        <x:v>5</x:v>
      </x:c>
      <x:c r="C23" s="18" t="n">
        <x:v>5</x:v>
      </x:c>
      <x:c r="D23" s="18" t="n">
        <x:v>0</x:v>
      </x:c>
      <x:c r="E23" s="18" t="n">
        <x:v>4</x:v>
      </x:c>
      <x:c r="F23" s="18" t="n">
        <x:f>MIN('调参总览'!$B$15+(B23-1)*'调参总览'!$B$16,'调参总览'!$B$17)</x:f>
        <x:v>7</x:v>
      </x:c>
      <x:c r="G23" s="18" t="n">
        <x:f>(INT(B23*'调参总览'!$B$18/'调参总览'!$B$20)-INT((B23-1)*'调参总览'!$B$18/'调参总览'!$B$20))*'调参总览'!$B$21+'调参总览'!$B$19</x:f>
        <x:v>0</x:v>
      </x:c>
      <x:c r="H23" s="6" t="n">
        <x:f>'调参总览'!$B$34+(B23-1)*'调参总览'!$B$26</x:f>
        <x:v>2.4</x:v>
      </x:c>
      <x:c r="I23" s="6" t="n">
        <x:f>MIN((F23+G23)*'调参总览'!$B$25/H23,'调参总览'!$B$18*'调参总览'!$B$23/'调参总览'!$B$22)</x:f>
        <x:v>2.0416666666666665</x:v>
      </x:c>
      <x:c r="J23" s="6" t="n">
        <x:f>I23*'单位战力'!$P$23</x:f>
        <x:v>2.0416666666666665</x:v>
      </x:c>
      <x:c r="K23" s="6" t="n">
        <x:f>'单位战力'!P20*SQRT(('单位战力'!D20+D23*0)/'单位战力'!D20*MAX('调参总览'!$B$10-'单位战力'!F20,1)/MAX('调参总览'!$B$10-'单位战力'!F20-D23*0,1)*MAX('单位战力'!E20+D23*0-'调参总览'!$B$11,1)/MAX('单位战力'!E20-'调参总览'!$B$11,1))+'单位战力'!P20*SQRT(('单位战力'!D20+D23*0)/'单位战力'!D20*MAX('调参总览'!$B$10-'单位战力'!F20,1)/MAX('调参总览'!$B$10-'单位战力'!F20-D23*0,1)*MAX('单位战力'!E20+D23*0-'调参总览'!$B$11,1)/MAX('单位战力'!E20-'调参总览'!$B$11,1))+'单位战力'!P20*SQRT(('单位战力'!D20+D23*0)/'单位战力'!D20*MAX('调参总览'!$B$10-'单位战力'!F20,1)/MAX('调参总览'!$B$10-'单位战力'!F20-D23*0,1)*MAX('单位战力'!E20+D23*0-'调参总览'!$B$11,1)/MAX('单位战力'!E20-'调参总览'!$B$11,1))+'单位战力'!P20*SQRT(('单位战力'!D20+D23*0)/'单位战力'!D20*MAX('调参总览'!$B$10-'单位战力'!F20,1)/MAX('调参总览'!$B$10-'单位战力'!F20-D23*0,1)*MAX('单位战力'!E20+D23*0-'调参总览'!$B$11,1)/MAX('单位战力'!E20-'调参总览'!$B$11,1))</x:f>
        <x:v>4.650766563656966</x:v>
      </x:c>
      <x:c r="L23" s="6" t="n">
        <x:f>IF(J23&lt;=0,"无部署预算",K23/J23)</x:f>
        <x:v>2.277926480158514</x:v>
      </x:c>
      <x:c r="M23" s="18" t="n">
        <x:f>IF(E23=0,0,B23+'单位战力'!H20+'单位战力'!H20+'单位战力'!H20+'单位战力'!H20)</x:f>
        <x:v>9</x:v>
      </x:c>
      <x:c r="N23" s="18" t="n">
        <x:v>45</x:v>
      </x:c>
      <x:c r="O23" s="6" t="str">
        <x:v>res://data/levels/level_001_1.tres</x:v>
      </x:c>
      <x:c r="P23" s="6" t="str">
        <x:v>战力含本轮重复成长</x:v>
      </x:c>
    </x:row>
    <x:row r="24" ht="24" customHeight="1">
      <x:c r="A24" s="6" t="str">
        <x:v>level_001_1</x:v>
      </x:c>
      <x:c r="B24" s="18" t="n">
        <x:v>6</x:v>
      </x:c>
      <x:c r="C24" s="18" t="n">
        <x:v>5</x:v>
      </x:c>
      <x:c r="D24" s="18" t="n">
        <x:v>0</x:v>
      </x:c>
      <x:c r="E24" s="18" t="n">
        <x:v>4</x:v>
      </x:c>
      <x:c r="F24" s="18" t="n">
        <x:f>MIN('调参总览'!$B$15+(B24-1)*'调参总览'!$B$16,'调参总览'!$B$17)</x:f>
        <x:v>8</x:v>
      </x:c>
      <x:c r="G24" s="18" t="n">
        <x:f>(INT(B24*'调参总览'!$B$18/'调参总览'!$B$20)-INT((B24-1)*'调参总览'!$B$18/'调参总览'!$B$20))*'调参总览'!$B$21+'调参总览'!$B$19</x:f>
        <x:v>1</x:v>
      </x:c>
      <x:c r="H24" s="6" t="n">
        <x:f>'调参总览'!$B$34+(B24-1)*'调参总览'!$B$26</x:f>
        <x:v>2.75</x:v>
      </x:c>
      <x:c r="I24" s="6" t="n">
        <x:f>MIN((F24+G24)*'调参总览'!$B$25/H24,'调参总览'!$B$18*'调参总览'!$B$23/'调参总览'!$B$22)</x:f>
        <x:v>2.290909090909091</x:v>
      </x:c>
      <x:c r="J24" s="6" t="n">
        <x:f>I24*'单位战力'!$P$23</x:f>
        <x:v>2.290909090909091</x:v>
      </x:c>
      <x:c r="K24" s="6" t="n">
        <x:f>'单位战力'!P20*SQRT(('单位战力'!D20+D24*0)/'单位战力'!D20*MAX('调参总览'!$B$10-'单位战力'!F20,1)/MAX('调参总览'!$B$10-'单位战力'!F20-D24*0,1)*MAX('单位战力'!E20+D24*0-'调参总览'!$B$11,1)/MAX('单位战力'!E20-'调参总览'!$B$11,1))+'单位战力'!P20*SQRT(('单位战力'!D20+D24*0)/'单位战力'!D20*MAX('调参总览'!$B$10-'单位战力'!F20,1)/MAX('调参总览'!$B$10-'单位战力'!F20-D24*0,1)*MAX('单位战力'!E20+D24*0-'调参总览'!$B$11,1)/MAX('单位战力'!E20-'调参总览'!$B$11,1))+'单位战力'!P20*SQRT(('单位战力'!D20+D24*0)/'单位战力'!D20*MAX('调参总览'!$B$10-'单位战力'!F20,1)/MAX('调参总览'!$B$10-'单位战力'!F20-D24*0,1)*MAX('单位战力'!E20+D24*0-'调参总览'!$B$11,1)/MAX('单位战力'!E20-'调参总览'!$B$11,1))+'单位战力'!P20*SQRT(('单位战力'!D20+D24*0)/'单位战力'!D20*MAX('调参总览'!$B$10-'单位战力'!F20,1)/MAX('调参总览'!$B$10-'单位战力'!F20-D24*0,1)*MAX('单位战力'!E20+D24*0-'调参总览'!$B$11,1)/MAX('单位战力'!E20-'调参总览'!$B$11,1))</x:f>
        <x:v>4.650766563656966</x:v>
      </x:c>
      <x:c r="L24" s="6" t="n">
        <x:f>IF(J24&lt;=0,"无部署预算",K24/J24)</x:f>
        <x:v>2.030096515882009</x:v>
      </x:c>
      <x:c r="M24" s="18" t="n">
        <x:f>IF(E24=0,0,B24+'单位战力'!H20+'单位战力'!H20+'单位战力'!H20+'单位战力'!H20)</x:f>
        <x:v>10</x:v>
      </x:c>
      <x:c r="N24" s="18" t="n">
        <x:v>45</x:v>
      </x:c>
      <x:c r="O24" s="6" t="str">
        <x:v>res://data/levels/level_001_1.tres</x:v>
      </x:c>
      <x:c r="P24" s="6" t="str">
        <x:v>战力含本轮重复成长</x:v>
      </x:c>
    </x:row>
    <x:row r="25" ht="24" customHeight="1">
      <x:c r="A25" s="6" t="str">
        <x:v>level_001_1</x:v>
      </x:c>
      <x:c r="B25" s="18" t="n">
        <x:v>7</x:v>
      </x:c>
      <x:c r="C25" s="18" t="n">
        <x:v>5</x:v>
      </x:c>
      <x:c r="D25" s="18" t="n">
        <x:v>0</x:v>
      </x:c>
      <x:c r="E25" s="18" t="n">
        <x:v>4</x:v>
      </x:c>
      <x:c r="F25" s="18" t="n">
        <x:f>MIN('调参总览'!$B$15+(B25-1)*'调参总览'!$B$16,'调参总览'!$B$17)</x:f>
        <x:v>9</x:v>
      </x:c>
      <x:c r="G25" s="18" t="n">
        <x:f>(INT(B25*'调参总览'!$B$18/'调参总览'!$B$20)-INT((B25-1)*'调参总览'!$B$18/'调参总览'!$B$20))*'调参总览'!$B$21+'调参总览'!$B$19</x:f>
        <x:v>0</x:v>
      </x:c>
      <x:c r="H25" s="6" t="n">
        <x:f>'调参总览'!$B$34+(B25-1)*'调参总览'!$B$26</x:f>
        <x:v>3.0999999999999996</x:v>
      </x:c>
      <x:c r="I25" s="6" t="n">
        <x:f>MIN((F25+G25)*'调参总览'!$B$25/H25,'调参总览'!$B$18*'调参总览'!$B$23/'调参总览'!$B$22)</x:f>
        <x:v>2.032258064516129</x:v>
      </x:c>
      <x:c r="J25" s="6" t="n">
        <x:f>I25*'单位战力'!$P$23</x:f>
        <x:v>2.032258064516129</x:v>
      </x:c>
      <x:c r="K25" s="6" t="n">
        <x:f>'单位战力'!P20*SQRT(('单位战力'!D20+D25*0)/'单位战力'!D20*MAX('调参总览'!$B$10-'单位战力'!F20,1)/MAX('调参总览'!$B$10-'单位战力'!F20-D25*0,1)*MAX('单位战力'!E20+D25*0-'调参总览'!$B$11,1)/MAX('单位战力'!E20-'调参总览'!$B$11,1))+'单位战力'!P20*SQRT(('单位战力'!D20+D25*0)/'单位战力'!D20*MAX('调参总览'!$B$10-'单位战力'!F20,1)/MAX('调参总览'!$B$10-'单位战力'!F20-D25*0,1)*MAX('单位战力'!E20+D25*0-'调参总览'!$B$11,1)/MAX('单位战力'!E20-'调参总览'!$B$11,1))+'单位战力'!P20*SQRT(('单位战力'!D20+D25*0)/'单位战力'!D20*MAX('调参总览'!$B$10-'单位战力'!F20,1)/MAX('调参总览'!$B$10-'单位战力'!F20-D25*0,1)*MAX('单位战力'!E20+D25*0-'调参总览'!$B$11,1)/MAX('单位战力'!E20-'调参总览'!$B$11,1))+'单位战力'!P20*SQRT(('单位战力'!D20+D25*0)/'单位战力'!D20*MAX('调参总览'!$B$10-'单位战力'!F20,1)/MAX('调参总览'!$B$10-'单位战力'!F20-D25*0,1)*MAX('单位战力'!E20+D25*0-'调参总览'!$B$11,1)/MAX('单位战力'!E20-'调参总览'!$B$11,1))</x:f>
        <x:v>4.650766563656966</x:v>
      </x:c>
      <x:c r="L25" s="6" t="n">
        <x:f>IF(J25&lt;=0,"无部署预算",K25/J25)</x:f>
        <x:v>2.288472436085174</x:v>
      </x:c>
      <x:c r="M25" s="18" t="n">
        <x:f>IF(E25=0,0,B25+'单位战力'!H20+'单位战力'!H20+'单位战力'!H20+'单位战力'!H20)</x:f>
        <x:v>11</x:v>
      </x:c>
      <x:c r="N25" s="18" t="n">
        <x:v>45</x:v>
      </x:c>
      <x:c r="O25" s="6" t="str">
        <x:v>res://data/levels/level_001_1.tres</x:v>
      </x:c>
      <x:c r="P25" s="6" t="str">
        <x:v>战力含本轮重复成长</x:v>
      </x:c>
    </x:row>
    <x:row r="26" ht="24" customHeight="1">
      <x:c r="A26" s="6" t="str">
        <x:v>level_001_1</x:v>
      </x:c>
      <x:c r="B26" s="18" t="n">
        <x:v>8</x:v>
      </x:c>
      <x:c r="C26" s="18" t="n">
        <x:v>5</x:v>
      </x:c>
      <x:c r="D26" s="18" t="n">
        <x:v>0</x:v>
      </x:c>
      <x:c r="E26" s="18" t="n">
        <x:v>4</x:v>
      </x:c>
      <x:c r="F26" s="18" t="n">
        <x:f>MIN('调参总览'!$B$15+(B26-1)*'调参总览'!$B$16,'调参总览'!$B$17)</x:f>
        <x:v>10</x:v>
      </x:c>
      <x:c r="G26" s="18" t="n">
        <x:f>(INT(B26*'调参总览'!$B$18/'调参总览'!$B$20)-INT((B26-1)*'调参总览'!$B$18/'调参总览'!$B$20))*'调参总览'!$B$21+'调参总览'!$B$19</x:f>
        <x:v>1</x:v>
      </x:c>
      <x:c r="H26" s="6" t="n">
        <x:f>'调参总览'!$B$34+(B26-1)*'调参总览'!$B$26</x:f>
        <x:v>3.4499999999999997</x:v>
      </x:c>
      <x:c r="I26" s="6" t="n">
        <x:f>MIN((F26+G26)*'调参总览'!$B$25/H26,'调参总览'!$B$18*'调参总览'!$B$23/'调参总览'!$B$22)</x:f>
        <x:v>2.2318840579710146</x:v>
      </x:c>
      <x:c r="J26" s="6" t="n">
        <x:f>I26*'单位战力'!$P$23</x:f>
        <x:v>2.2318840579710146</x:v>
      </x:c>
      <x:c r="K26" s="6" t="n">
        <x:f>'单位战力'!P20*SQRT(('单位战力'!D20+D26*0)/'单位战力'!D20*MAX('调参总览'!$B$10-'单位战力'!F20,1)/MAX('调参总览'!$B$10-'单位战力'!F20-D26*0,1)*MAX('单位战力'!E20+D26*0-'调参总览'!$B$11,1)/MAX('单位战力'!E20-'调参总览'!$B$11,1))+'单位战力'!P20*SQRT(('单位战力'!D20+D26*0)/'单位战力'!D20*MAX('调参总览'!$B$10-'单位战力'!F20,1)/MAX('调参总览'!$B$10-'单位战力'!F20-D26*0,1)*MAX('单位战力'!E20+D26*0-'调参总览'!$B$11,1)/MAX('单位战力'!E20-'调参总览'!$B$11,1))+'单位战力'!P20*SQRT(('单位战力'!D20+D26*0)/'单位战力'!D20*MAX('调参总览'!$B$10-'单位战力'!F20,1)/MAX('调参总览'!$B$10-'单位战力'!F20-D26*0,1)*MAX('单位战力'!E20+D26*0-'调参总览'!$B$11,1)/MAX('单位战力'!E20-'调参总览'!$B$11,1))+'单位战力'!P20*SQRT(('单位战力'!D20+D26*0)/'单位战力'!D20*MAX('调参总览'!$B$10-'单位战力'!F20,1)/MAX('调参总览'!$B$10-'单位战力'!F20-D26*0,1)*MAX('单位战力'!E20+D26*0-'调参总览'!$B$11,1)/MAX('单位战力'!E20-'调参总览'!$B$11,1))</x:f>
        <x:v>4.650766563656966</x:v>
      </x:c>
      <x:c r="L26" s="6" t="n">
        <x:f>IF(J26&lt;=0,"无部署预算",K26/J26)</x:f>
        <x:v>2.083785018781368</x:v>
      </x:c>
      <x:c r="M26" s="18" t="n">
        <x:f>IF(E26=0,0,B26+'单位战力'!H20+'单位战力'!H20+'单位战力'!H20+'单位战力'!H20)</x:f>
        <x:v>12</x:v>
      </x:c>
      <x:c r="N26" s="18" t="n">
        <x:v>45</x:v>
      </x:c>
      <x:c r="O26" s="6" t="str">
        <x:v>res://data/levels/level_001_1.tres</x:v>
      </x:c>
      <x:c r="P26" s="6" t="str">
        <x:v>战力含本轮重复成长</x:v>
      </x:c>
    </x:row>
    <x:row r="27" ht="24" customHeight="1">
      <x:c r="A27" s="6" t="str">
        <x:v>level_001_1</x:v>
      </x:c>
      <x:c r="B27" s="18" t="n">
        <x:v>9</x:v>
      </x:c>
      <x:c r="C27" s="18" t="n">
        <x:v>5</x:v>
      </x:c>
      <x:c r="D27" s="18" t="n">
        <x:v>0</x:v>
      </x:c>
      <x:c r="E27" s="18" t="n">
        <x:v>4</x:v>
      </x:c>
      <x:c r="F27" s="18" t="n">
        <x:f>MIN('调参总览'!$B$15+(B27-1)*'调参总览'!$B$16,'调参总览'!$B$17)</x:f>
        <x:v>10</x:v>
      </x:c>
      <x:c r="G27" s="18" t="n">
        <x:f>(INT(B27*'调参总览'!$B$18/'调参总览'!$B$20)-INT((B27-1)*'调参总览'!$B$18/'调参总览'!$B$20))*'调参总览'!$B$21+'调参总览'!$B$19</x:f>
        <x:v>0</x:v>
      </x:c>
      <x:c r="H27" s="6" t="n">
        <x:f>'调参总览'!$B$34+(B27-1)*'调参总览'!$B$26</x:f>
        <x:v>3.8</x:v>
      </x:c>
      <x:c r="I27" s="6" t="n">
        <x:f>MIN((F27+G27)*'调参总览'!$B$25/H27,'调参总览'!$B$18*'调参总览'!$B$23/'调参总览'!$B$22)</x:f>
        <x:v>1.842105263157895</x:v>
      </x:c>
      <x:c r="J27" s="6" t="n">
        <x:f>I27*'单位战力'!$P$23</x:f>
        <x:v>1.842105263157895</x:v>
      </x:c>
      <x:c r="K27" s="6" t="n">
        <x:f>'单位战力'!P20*SQRT(('单位战力'!D20+D27*0)/'单位战力'!D20*MAX('调参总览'!$B$10-'单位战力'!F20,1)/MAX('调参总览'!$B$10-'单位战力'!F20-D27*0,1)*MAX('单位战力'!E20+D27*0-'调参总览'!$B$11,1)/MAX('单位战力'!E20-'调参总览'!$B$11,1))+'单位战力'!P20*SQRT(('单位战力'!D20+D27*0)/'单位战力'!D20*MAX('调参总览'!$B$10-'单位战力'!F20,1)/MAX('调参总览'!$B$10-'单位战力'!F20-D27*0,1)*MAX('单位战力'!E20+D27*0-'调参总览'!$B$11,1)/MAX('单位战力'!E20-'调参总览'!$B$11,1))+'单位战力'!P20*SQRT(('单位战力'!D20+D27*0)/'单位战力'!D20*MAX('调参总览'!$B$10-'单位战力'!F20,1)/MAX('调参总览'!$B$10-'单位战力'!F20-D27*0,1)*MAX('单位战力'!E20+D27*0-'调参总览'!$B$11,1)/MAX('单位战力'!E20-'调参总览'!$B$11,1))+'单位战力'!P20*SQRT(('单位战力'!D20+D27*0)/'单位战力'!D20*MAX('调参总览'!$B$10-'单位战力'!F20,1)/MAX('调参总览'!$B$10-'单位战力'!F20-D27*0,1)*MAX('单位战力'!E20+D27*0-'调参总览'!$B$11,1)/MAX('单位战力'!E20-'调参总览'!$B$11,1))</x:f>
        <x:v>4.650766563656966</x:v>
      </x:c>
      <x:c r="L27" s="6" t="n">
        <x:f>IF(J27&lt;=0,"无部署预算",K27/J27)</x:f>
        <x:v>2.524701848842353</x:v>
      </x:c>
      <x:c r="M27" s="18" t="n">
        <x:f>IF(E27=0,0,B27+'单位战力'!H20+'单位战力'!H20+'单位战力'!H20+'单位战力'!H20)</x:f>
        <x:v>13</x:v>
      </x:c>
      <x:c r="N27" s="18" t="n">
        <x:v>45</x:v>
      </x:c>
      <x:c r="O27" s="6" t="str">
        <x:v>res://data/levels/level_001_1.tres</x:v>
      </x:c>
      <x:c r="P27" s="6" t="str">
        <x:v>战力含本轮重复成长</x:v>
      </x:c>
    </x:row>
    <x:row r="28" ht="24" customHeight="1">
      <x:c r="A28" s="6" t="str">
        <x:v>level_001_1</x:v>
      </x:c>
      <x:c r="B28" s="18" t="n">
        <x:v>10</x:v>
      </x:c>
      <x:c r="C28" s="18" t="n">
        <x:v>5</x:v>
      </x:c>
      <x:c r="D28" s="18" t="n">
        <x:v>0</x:v>
      </x:c>
      <x:c r="E28" s="18" t="n">
        <x:v>4</x:v>
      </x:c>
      <x:c r="F28" s="18" t="n">
        <x:f>MIN('调参总览'!$B$15+(B28-1)*'调参总览'!$B$16,'调参总览'!$B$17)</x:f>
        <x:v>10</x:v>
      </x:c>
      <x:c r="G28" s="18" t="n">
        <x:f>(INT(B28*'调参总览'!$B$18/'调参总览'!$B$20)-INT((B28-1)*'调参总览'!$B$18/'调参总览'!$B$20))*'调参总览'!$B$21+'调参总览'!$B$19</x:f>
        <x:v>1</x:v>
      </x:c>
      <x:c r="H28" s="6" t="n">
        <x:f>'调参总览'!$B$34+(B28-1)*'调参总览'!$B$26</x:f>
        <x:v>4.15</x:v>
      </x:c>
      <x:c r="I28" s="6" t="n">
        <x:f>MIN((F28+G28)*'调参总览'!$B$25/H28,'调参总览'!$B$18*'调参总览'!$B$23/'调参总览'!$B$22)</x:f>
        <x:v>1.8554216867469877</x:v>
      </x:c>
      <x:c r="J28" s="6" t="n">
        <x:f>I28*'单位战力'!$P$23</x:f>
        <x:v>1.8554216867469877</x:v>
      </x:c>
      <x:c r="K28" s="6" t="n">
        <x:f>'单位战力'!P20*SQRT(('单位战力'!D20+D28*0)/'单位战力'!D20*MAX('调参总览'!$B$10-'单位战力'!F20,1)/MAX('调参总览'!$B$10-'单位战力'!F20-D28*0,1)*MAX('单位战力'!E20+D28*0-'调参总览'!$B$11,1)/MAX('单位战力'!E20-'调参总览'!$B$11,1))+'单位战力'!P20*SQRT(('单位战力'!D20+D28*0)/'单位战力'!D20*MAX('调参总览'!$B$10-'单位战力'!F20,1)/MAX('调参总览'!$B$10-'单位战力'!F20-D28*0,1)*MAX('单位战力'!E20+D28*0-'调参总览'!$B$11,1)/MAX('单位战力'!E20-'调参总览'!$B$11,1))+'单位战力'!P20*SQRT(('单位战力'!D20+D28*0)/'单位战力'!D20*MAX('调参总览'!$B$10-'单位战力'!F20,1)/MAX('调参总览'!$B$10-'单位战力'!F20-D28*0,1)*MAX('单位战力'!E20+D28*0-'调参总览'!$B$11,1)/MAX('单位战力'!E20-'调参总览'!$B$11,1))+'单位战力'!P20*SQRT(('单位战力'!D20+D28*0)/'单位战力'!D20*MAX('调参总览'!$B$10-'单位战力'!F20,1)/MAX('调参总览'!$B$10-'单位战力'!F20-D28*0,1)*MAX('单位战力'!E20+D28*0-'调参总览'!$B$11,1)/MAX('单位战力'!E20-'调参总览'!$B$11,1))</x:f>
        <x:v>4.650766563656966</x:v>
      </x:c>
      <x:c r="L28" s="6" t="n">
        <x:f>IF(J28&lt;=0,"无部署预算",K28/J28)</x:f>
        <x:v>2.50658197911382</x:v>
      </x:c>
      <x:c r="M28" s="18" t="n">
        <x:f>IF(E28=0,0,B28+'单位战力'!H20+'单位战力'!H20+'单位战力'!H20+'单位战力'!H20)</x:f>
        <x:v>14</x:v>
      </x:c>
      <x:c r="N28" s="18" t="n">
        <x:v>45</x:v>
      </x:c>
      <x:c r="O28" s="6" t="str">
        <x:v>res://data/levels/level_001_1.tres</x:v>
      </x:c>
      <x:c r="P28" s="6" t="str">
        <x:v>战力含本轮重复成长</x:v>
      </x:c>
    </x:row>
    <x:row r="29" ht="24" customHeight="1">
      <x:c r="A29" s="6" t="str">
        <x:v>level_001_1</x:v>
      </x:c>
      <x:c r="B29" s="18" t="n">
        <x:v>11</x:v>
      </x:c>
      <x:c r="C29" s="18" t="n">
        <x:v>5</x:v>
      </x:c>
      <x:c r="D29" s="18" t="n">
        <x:v>0</x:v>
      </x:c>
      <x:c r="E29" s="18" t="n">
        <x:v>4</x:v>
      </x:c>
      <x:c r="F29" s="18" t="n">
        <x:f>MIN('调参总览'!$B$15+(B29-1)*'调参总览'!$B$16,'调参总览'!$B$17)</x:f>
        <x:v>10</x:v>
      </x:c>
      <x:c r="G29" s="18" t="n">
        <x:f>(INT(B29*'调参总览'!$B$18/'调参总览'!$B$20)-INT((B29-1)*'调参总览'!$B$18/'调参总览'!$B$20))*'调参总览'!$B$21+'调参总览'!$B$19</x:f>
        <x:v>0</x:v>
      </x:c>
      <x:c r="H29" s="6" t="n">
        <x:f>'调参总览'!$B$34+(B29-1)*'调参总览'!$B$26</x:f>
        <x:v>4.5</x:v>
      </x:c>
      <x:c r="I29" s="6" t="n">
        <x:f>MIN((F29+G29)*'调参总览'!$B$25/H29,'调参总览'!$B$18*'调参总览'!$B$23/'调参总览'!$B$22)</x:f>
        <x:v>1.5555555555555556</x:v>
      </x:c>
      <x:c r="J29" s="6" t="n">
        <x:f>I29*'单位战力'!$P$23</x:f>
        <x:v>1.5555555555555556</x:v>
      </x:c>
      <x:c r="K29" s="6" t="n">
        <x:f>'单位战力'!P20*SQRT(('单位战力'!D20+D29*0)/'单位战力'!D20*MAX('调参总览'!$B$10-'单位战力'!F20,1)/MAX('调参总览'!$B$10-'单位战力'!F20-D29*0,1)*MAX('单位战力'!E20+D29*0-'调参总览'!$B$11,1)/MAX('单位战力'!E20-'调参总览'!$B$11,1))+'单位战力'!P20*SQRT(('单位战力'!D20+D29*0)/'单位战力'!D20*MAX('调参总览'!$B$10-'单位战力'!F20,1)/MAX('调参总览'!$B$10-'单位战力'!F20-D29*0,1)*MAX('单位战力'!E20+D29*0-'调参总览'!$B$11,1)/MAX('单位战力'!E20-'调参总览'!$B$11,1))+'单位战力'!P20*SQRT(('单位战力'!D20+D29*0)/'单位战力'!D20*MAX('调参总览'!$B$10-'单位战力'!F20,1)/MAX('调参总览'!$B$10-'单位战力'!F20-D29*0,1)*MAX('单位战力'!E20+D29*0-'调参总览'!$B$11,1)/MAX('单位战力'!E20-'调参总览'!$B$11,1))+'单位战力'!P20*SQRT(('单位战力'!D20+D29*0)/'单位战力'!D20*MAX('调参总览'!$B$10-'单位战力'!F20,1)/MAX('调参总览'!$B$10-'单位战力'!F20-D29*0,1)*MAX('单位战力'!E20+D29*0-'调参总览'!$B$11,1)/MAX('单位战力'!E20-'调参总览'!$B$11,1))</x:f>
        <x:v>4.650766563656966</x:v>
      </x:c>
      <x:c r="L29" s="6" t="n">
        <x:f>IF(J29&lt;=0,"无部署预算",K29/J29)</x:f>
        <x:v>2.98977850520805</x:v>
      </x:c>
      <x:c r="M29" s="18" t="n">
        <x:f>IF(E29=0,0,B29+'单位战力'!H20+'单位战力'!H20+'单位战力'!H20+'单位战力'!H20)</x:f>
        <x:v>15</x:v>
      </x:c>
      <x:c r="N29" s="18" t="n">
        <x:v>45</x:v>
      </x:c>
      <x:c r="O29" s="6" t="str">
        <x:v>res://data/levels/level_001_1.tres</x:v>
      </x:c>
      <x:c r="P29" s="6" t="str">
        <x:v>战力含本轮重复成长</x:v>
      </x:c>
    </x:row>
    <x:row r="30" ht="24" customHeight="1">
      <x:c r="A30" s="6" t="str">
        <x:v>level_001_1</x:v>
      </x:c>
      <x:c r="B30" s="18" t="n">
        <x:v>12</x:v>
      </x:c>
      <x:c r="C30" s="18" t="n">
        <x:v>5</x:v>
      </x:c>
      <x:c r="D30" s="18" t="n">
        <x:v>0</x:v>
      </x:c>
      <x:c r="E30" s="18" t="n">
        <x:v>4</x:v>
      </x:c>
      <x:c r="F30" s="18" t="n">
        <x:f>MIN('调参总览'!$B$15+(B30-1)*'调参总览'!$B$16,'调参总览'!$B$17)</x:f>
        <x:v>10</x:v>
      </x:c>
      <x:c r="G30" s="18" t="n">
        <x:f>(INT(B30*'调参总览'!$B$18/'调参总览'!$B$20)-INT((B30-1)*'调参总览'!$B$18/'调参总览'!$B$20))*'调参总览'!$B$21+'调参总览'!$B$19</x:f>
        <x:v>1</x:v>
      </x:c>
      <x:c r="H30" s="6" t="n">
        <x:f>'调参总览'!$B$34+(B30-1)*'调参总览'!$B$26</x:f>
        <x:v>4.85</x:v>
      </x:c>
      <x:c r="I30" s="6" t="n">
        <x:f>MIN((F30+G30)*'调参总览'!$B$25/H30,'调参总览'!$B$18*'调参总览'!$B$23/'调参总览'!$B$22)</x:f>
        <x:v>1.5876288659793814</x:v>
      </x:c>
      <x:c r="J30" s="6" t="n">
        <x:f>I30*'单位战力'!$P$23</x:f>
        <x:v>1.5876288659793814</x:v>
      </x:c>
      <x:c r="K30" s="6" t="n">
        <x:f>'单位战力'!P20*SQRT(('单位战力'!D20+D30*0)/'单位战力'!D20*MAX('调参总览'!$B$10-'单位战力'!F20,1)/MAX('调参总览'!$B$10-'单位战力'!F20-D30*0,1)*MAX('单位战力'!E20+D30*0-'调参总览'!$B$11,1)/MAX('单位战力'!E20-'调参总览'!$B$11,1))+'单位战力'!P20*SQRT(('单位战力'!D20+D30*0)/'单位战力'!D20*MAX('调参总览'!$B$10-'单位战力'!F20,1)/MAX('调参总览'!$B$10-'单位战力'!F20-D30*0,1)*MAX('单位战力'!E20+D30*0-'调参总览'!$B$11,1)/MAX('单位战力'!E20-'调参总览'!$B$11,1))+'单位战力'!P20*SQRT(('单位战力'!D20+D30*0)/'单位战力'!D20*MAX('调参总览'!$B$10-'单位战力'!F20,1)/MAX('调参总览'!$B$10-'单位战力'!F20-D30*0,1)*MAX('单位战力'!E20+D30*0-'调参总览'!$B$11,1)/MAX('单位战力'!E20-'调参总览'!$B$11,1))+'单位战力'!P20*SQRT(('单位战力'!D20+D30*0)/'单位战力'!D20*MAX('调参总览'!$B$10-'单位战力'!F20,1)/MAX('调参总览'!$B$10-'单位战力'!F20-D30*0,1)*MAX('单位战力'!E20+D30*0-'调参总览'!$B$11,1)/MAX('单位战力'!E20-'调参总览'!$B$11,1))</x:f>
        <x:v>4.650766563656966</x:v>
      </x:c>
      <x:c r="L30" s="6" t="n">
        <x:f>IF(J30&lt;=0,"无部署预算",K30/J30)</x:f>
        <x:v>2.9293789394462713</x:v>
      </x:c>
      <x:c r="M30" s="18" t="n">
        <x:f>IF(E30=0,0,B30+'单位战力'!H20+'单位战力'!H20+'单位战力'!H20+'单位战力'!H20)</x:f>
        <x:v>16</x:v>
      </x:c>
      <x:c r="N30" s="18" t="n">
        <x:v>45</x:v>
      </x:c>
      <x:c r="O30" s="6" t="str">
        <x:v>res://data/levels/level_001_1.tres</x:v>
      </x:c>
      <x:c r="P30" s="6" t="str">
        <x:v>战力含本轮重复成长</x:v>
      </x:c>
    </x:row>
    <x:row r="31" ht="24" customHeight="1">
      <x:c r="A31" s="6" t="str">
        <x:v>level_002</x:v>
      </x:c>
      <x:c r="B31" s="18" t="n">
        <x:v>1</x:v>
      </x:c>
      <x:c r="C31" s="18" t="n">
        <x:v>1</x:v>
      </x:c>
      <x:c r="D31" s="18" t="n">
        <x:v>0</x:v>
      </x:c>
      <x:c r="E31" s="18" t="n">
        <x:v>5</x:v>
      </x:c>
      <x:c r="F31" s="18" t="n">
        <x:f>MIN('调参总览'!$B$15+(B31-1)*'调参总览'!$B$16,'调参总览'!$B$17)</x:f>
        <x:v>3</x:v>
      </x:c>
      <x:c r="G31" s="18" t="n">
        <x:f>(INT(B31*'调参总览'!$B$18/'调参总览'!$B$20)-INT((B31-1)*'调参总览'!$B$18/'调参总览'!$B$20))*'调参总览'!$B$21+'调参总览'!$B$19</x:f>
        <x:v>0</x:v>
      </x:c>
      <x:c r="H31" s="6" t="n">
        <x:f>'调参总览'!$B$34+(B31-1)*'调参总览'!$B$26</x:f>
        <x:v>1</x:v>
      </x:c>
      <x:c r="I31" s="6" t="n">
        <x:f>MIN((F31+G31)*'调参总览'!$B$25/H31,'调参总览'!$B$18*'调参总览'!$B$23/'调参总览'!$B$22)</x:f>
        <x:v>2.0999999999999996</x:v>
      </x:c>
      <x:c r="J31" s="6" t="n">
        <x:f>I31*'单位战力'!$P$23</x:f>
        <x:v>2.0999999999999996</x:v>
      </x:c>
      <x:c r="K31" s="6" t="n">
        <x:f>'单位战力'!P20*SQRT(('单位战力'!D20+D31*0)/'单位战力'!D20*MAX('调参总览'!$B$10-'单位战力'!F20,1)/MAX('调参总览'!$B$10-'单位战力'!F20-D31*0,1)*MAX('单位战力'!E20+D31*0-'调参总览'!$B$11,1)/MAX('单位战力'!E20-'调参总览'!$B$11,1))+'单位战力'!P20*SQRT(('单位战力'!D20+D31*0)/'单位战力'!D20*MAX('调参总览'!$B$10-'单位战力'!F20,1)/MAX('调参总览'!$B$10-'单位战力'!F20-D31*0,1)*MAX('单位战力'!E20+D31*0-'调参总览'!$B$11,1)/MAX('单位战力'!E20-'调参总览'!$B$11,1))+'单位战力'!P20*SQRT(('单位战力'!D20+D31*0)/'单位战力'!D20*MAX('调参总览'!$B$10-'单位战力'!F20,1)/MAX('调参总览'!$B$10-'单位战力'!F20-D31*0,1)*MAX('单位战力'!E20+D31*0-'调参总览'!$B$11,1)/MAX('单位战力'!E20-'调参总览'!$B$11,1))+'单位战力'!P20*SQRT(('单位战力'!D20+D31*0)/'单位战力'!D20*MAX('调参总览'!$B$10-'单位战力'!F20,1)/MAX('调参总览'!$B$10-'单位战力'!F20-D31*0,1)*MAX('单位战力'!E20+D31*0-'调参总览'!$B$11,1)/MAX('单位战力'!E20-'调参总览'!$B$11,1))+'单位战力'!P20*SQRT(('单位战力'!D20+D31*0)/'单位战力'!D20*MAX('调参总览'!$B$10-'单位战力'!F20,1)/MAX('调参总览'!$B$10-'单位战力'!F20-D31*0,1)*MAX('单位战力'!E20+D31*0-'调参总览'!$B$11,1)/MAX('单位战力'!E20-'调参总览'!$B$11,1))</x:f>
        <x:v>5.813458204571208</x:v>
      </x:c>
      <x:c r="L31" s="6" t="n">
        <x:f>IF(J31&lt;=0,"无部署预算",K31/J31)</x:f>
        <x:v>2.7683134307481945</x:v>
      </x:c>
      <x:c r="M31" s="18" t="n">
        <x:f>IF(E31=0,0,B31+'单位战力'!H20+'单位战力'!H20+'单位战力'!H20+'单位战力'!H20+'单位战力'!H20)</x:f>
        <x:v>6</x:v>
      </x:c>
      <x:c r="N31" s="18" t="n">
        <x:v>45</x:v>
      </x:c>
      <x:c r="O31" s="6" t="str">
        <x:v>res://data/levels/level_002.tres</x:v>
      </x:c>
      <x:c r="P31" s="6" t="str">
        <x:v>战力含本轮重复成长</x:v>
      </x:c>
    </x:row>
    <x:row r="32" ht="24" customHeight="1">
      <x:c r="A32" s="6" t="str">
        <x:v>level_002</x:v>
      </x:c>
      <x:c r="B32" s="18" t="n">
        <x:v>2</x:v>
      </x:c>
      <x:c r="C32" s="18" t="n">
        <x:v>2</x:v>
      </x:c>
      <x:c r="D32" s="18" t="n">
        <x:v>0</x:v>
      </x:c>
      <x:c r="E32" s="18" t="n">
        <x:v>5</x:v>
      </x:c>
      <x:c r="F32" s="18" t="n">
        <x:f>MIN('调参总览'!$B$15+(B32-1)*'调参总览'!$B$16,'调参总览'!$B$17)</x:f>
        <x:v>4</x:v>
      </x:c>
      <x:c r="G32" s="18" t="n">
        <x:f>(INT(B32*'调参总览'!$B$18/'调参总览'!$B$20)-INT((B32-1)*'调参总览'!$B$18/'调参总览'!$B$20))*'调参总览'!$B$21+'调参总览'!$B$19</x:f>
        <x:v>1</x:v>
      </x:c>
      <x:c r="H32" s="6" t="n">
        <x:f>'调参总览'!$B$34+(B32-1)*'调参总览'!$B$26</x:f>
        <x:v>1.35</x:v>
      </x:c>
      <x:c r="I32" s="6" t="n">
        <x:f>MIN((F32+G32)*'调参总览'!$B$25/H32,'调参总览'!$B$18*'调参总览'!$B$23/'调参总览'!$B$22)</x:f>
        <x:v>2.5</x:v>
      </x:c>
      <x:c r="J32" s="6" t="n">
        <x:f>I32*'单位战力'!$P$23</x:f>
        <x:v>2.5</x:v>
      </x:c>
      <x:c r="K32" s="6" t="n">
        <x:f>'单位战力'!P21*SQRT(('单位战力'!D21+D32*0)/'单位战力'!D21*MAX('调参总览'!$B$10-'单位战力'!F21,1)/MAX('调参总览'!$B$10-'单位战力'!F21-D32*0,1)*MAX('单位战力'!E21+D32*0-'调参总览'!$B$11,1)/MAX('单位战力'!E21-'调参总览'!$B$11,1))+'单位战力'!P21*SQRT(('单位战力'!D21+D32*0)/'单位战力'!D21*MAX('调参总览'!$B$10-'单位战力'!F21,1)/MAX('调参总览'!$B$10-'单位战力'!F21-D32*0,1)*MAX('单位战力'!E21+D32*0-'调参总览'!$B$11,1)/MAX('单位战力'!E21-'调参总览'!$B$11,1))+'单位战力'!P21*SQRT(('单位战力'!D21+D32*0)/'单位战力'!D21*MAX('调参总览'!$B$10-'单位战力'!F21,1)/MAX('调参总览'!$B$10-'单位战力'!F21-D32*0,1)*MAX('单位战力'!E21+D32*0-'调参总览'!$B$11,1)/MAX('单位战力'!E21-'调参总览'!$B$11,1))+'单位战力'!P21*SQRT(('单位战力'!D21+D32*0)/'单位战力'!D21*MAX('调参总览'!$B$10-'单位战力'!F21,1)/MAX('调参总览'!$B$10-'单位战力'!F21-D32*0,1)*MAX('单位战力'!E21+D32*0-'调参总览'!$B$11,1)/MAX('单位战力'!E21-'调参总览'!$B$11,1))+'单位战力'!P21*SQRT(('单位战力'!D21+D32*0)/'单位战力'!D21*MAX('调参总览'!$B$10-'单位战力'!F21,1)/MAX('调参总览'!$B$10-'单位战力'!F21-D32*0,1)*MAX('单位战力'!E21+D32*0-'调参总览'!$B$11,1)/MAX('单位战力'!E21-'调参总览'!$B$11,1))</x:f>
        <x:v>5.892556509887896</x:v>
      </x:c>
      <x:c r="L32" s="6" t="n">
        <x:f>IF(J32&lt;=0,"无部署预算",K32/J32)</x:f>
        <x:v>2.3570226039551585</x:v>
      </x:c>
      <x:c r="M32" s="18" t="n">
        <x:f>IF(E32=0,0,B32+'单位战力'!H21+'单位战力'!H21+'单位战力'!H21+'单位战力'!H21+'单位战力'!H21)</x:f>
        <x:v>12</x:v>
      </x:c>
      <x:c r="N32" s="18" t="n">
        <x:v>45</x:v>
      </x:c>
      <x:c r="O32" s="6" t="str">
        <x:v>res://data/levels/level_002.tres</x:v>
      </x:c>
      <x:c r="P32" s="6" t="str">
        <x:v>战力含本轮重复成长</x:v>
      </x:c>
    </x:row>
    <x:row r="33" ht="24" customHeight="1">
      <x:c r="A33" s="6" t="str">
        <x:v>level_002</x:v>
      </x:c>
      <x:c r="B33" s="18" t="n">
        <x:v>3</x:v>
      </x:c>
      <x:c r="C33" s="18" t="n">
        <x:v>3</x:v>
      </x:c>
      <x:c r="D33" s="18" t="n">
        <x:v>0</x:v>
      </x:c>
      <x:c r="E33" s="18" t="n">
        <x:v>0</x:v>
      </x:c>
      <x:c r="F33" s="18" t="n">
        <x:f>MIN('调参总览'!$B$15+(B33-1)*'调参总览'!$B$16,'调参总览'!$B$17)</x:f>
        <x:v>5</x:v>
      </x:c>
      <x:c r="G33" s="18" t="n">
        <x:f>(INT(B33*'调参总览'!$B$18/'调参总览'!$B$20)-INT((B33-1)*'调参总览'!$B$18/'调参总览'!$B$20))*'调参总览'!$B$21+'调参总览'!$B$19</x:f>
        <x:v>0</x:v>
      </x:c>
      <x:c r="H33" s="6" t="n">
        <x:f>'调参总览'!$B$34+(B33-1)*'调参总览'!$B$26</x:f>
        <x:v>1.7</x:v>
      </x:c>
      <x:c r="I33" s="6" t="n">
        <x:f>MIN((F33+G33)*'调参总览'!$B$25/H33,'调参总览'!$B$18*'调参总览'!$B$23/'调参总览'!$B$22)</x:f>
        <x:v>2.058823529411765</x:v>
      </x:c>
      <x:c r="J33" s="6" t="n">
        <x:f>I33*'单位战力'!$P$23</x:f>
        <x:v>2.058823529411765</x:v>
      </x:c>
      <x:c r="K33" s="6" t="n">
        <x:f>0</x:f>
        <x:v>0</x:v>
      </x:c>
      <x:c r="L33" s="6" t="n">
        <x:f>IF(J33&lt;=0,"无部署预算",K33/J33)</x:f>
        <x:v>0</x:v>
      </x:c>
      <x:c r="M33" s="18" t="n">
        <x:f>IF(E33=0,0,B33+0)</x:f>
        <x:v>0</x:v>
      </x:c>
      <x:c r="N33" s="18" t="n">
        <x:v>45</x:v>
      </x:c>
      <x:c r="O33" s="6" t="str">
        <x:v>res://data/levels/level_002.tres</x:v>
      </x:c>
      <x:c r="P33" s="6" t="str">
        <x:v>原配置为空波</x:v>
      </x:c>
    </x:row>
    <x:row r="34" ht="24" customHeight="1">
      <x:c r="A34" s="6" t="str">
        <x:v>level_002</x:v>
      </x:c>
      <x:c r="B34" s="18" t="n">
        <x:v>4</x:v>
      </x:c>
      <x:c r="C34" s="18" t="n">
        <x:v>1</x:v>
      </x:c>
      <x:c r="D34" s="18" t="n">
        <x:v>1</x:v>
      </x:c>
      <x:c r="E34" s="18" t="n">
        <x:v>5</x:v>
      </x:c>
      <x:c r="F34" s="18" t="n">
        <x:f>MIN('调参总览'!$B$15+(B34-1)*'调参总览'!$B$16,'调参总览'!$B$17)</x:f>
        <x:v>6</x:v>
      </x:c>
      <x:c r="G34" s="18" t="n">
        <x:f>(INT(B34*'调参总览'!$B$18/'调参总览'!$B$20)-INT((B34-1)*'调参总览'!$B$18/'调参总览'!$B$20))*'调参总览'!$B$21+'调参总览'!$B$19</x:f>
        <x:v>1</x:v>
      </x:c>
      <x:c r="H34" s="6" t="n">
        <x:f>'调参总览'!$B$34+(B34-1)*'调参总览'!$B$26</x:f>
        <x:v>2.05</x:v>
      </x:c>
      <x:c r="I34" s="6" t="n">
        <x:f>MIN((F34+G34)*'调参总览'!$B$25/H34,'调参总览'!$B$18*'调参总览'!$B$23/'调参总览'!$B$22)</x:f>
        <x:v>2.3902439024390243</x:v>
      </x:c>
      <x:c r="J34" s="6" t="n">
        <x:f>I34*'单位战力'!$P$23</x:f>
        <x:v>2.3902439024390243</x:v>
      </x:c>
      <x:c r="K34" s="6" t="n">
        <x:f>'单位战力'!P20*SQRT(('单位战力'!D20+D34*0)/'单位战力'!D20*MAX('调参总览'!$B$10-'单位战力'!F20,1)/MAX('调参总览'!$B$10-'单位战力'!F20-D34*0,1)*MAX('单位战力'!E20+D34*0-'调参总览'!$B$11,1)/MAX('单位战力'!E20-'调参总览'!$B$11,1))+'单位战力'!P20*SQRT(('单位战力'!D20+D34*0)/'单位战力'!D20*MAX('调参总览'!$B$10-'单位战力'!F20,1)/MAX('调参总览'!$B$10-'单位战力'!F20-D34*0,1)*MAX('单位战力'!E20+D34*0-'调参总览'!$B$11,1)/MAX('单位战力'!E20-'调参总览'!$B$11,1))+'单位战力'!P20*SQRT(('单位战力'!D20+D34*0)/'单位战力'!D20*MAX('调参总览'!$B$10-'单位战力'!F20,1)/MAX('调参总览'!$B$10-'单位战力'!F20-D34*0,1)*MAX('单位战力'!E20+D34*0-'调参总览'!$B$11,1)/MAX('单位战力'!E20-'调参总览'!$B$11,1))+'单位战力'!P20*SQRT(('单位战力'!D20+D34*0)/'单位战力'!D20*MAX('调参总览'!$B$10-'单位战力'!F20,1)/MAX('调参总览'!$B$10-'单位战力'!F20-D34*0,1)*MAX('单位战力'!E20+D34*0-'调参总览'!$B$11,1)/MAX('单位战力'!E20-'调参总览'!$B$11,1))+'单位战力'!P20*SQRT(('单位战力'!D20+D34*0)/'单位战力'!D20*MAX('调参总览'!$B$10-'单位战力'!F20,1)/MAX('调参总览'!$B$10-'单位战力'!F20-D34*0,1)*MAX('单位战力'!E20+D34*0-'调参总览'!$B$11,1)/MAX('单位战力'!E20-'调参总览'!$B$11,1))</x:f>
        <x:v>5.813458204571208</x:v>
      </x:c>
      <x:c r="L34" s="6" t="n">
        <x:f>IF(J34&lt;=0,"无部署预算",K34/J34)</x:f>
        <x:v>2.4321610855859137</x:v>
      </x:c>
      <x:c r="M34" s="18" t="n">
        <x:f>IF(E34=0,0,B34+'单位战力'!H20+'单位战力'!H20+'单位战力'!H20+'单位战力'!H20+'单位战力'!H20)</x:f>
        <x:v>9</x:v>
      </x:c>
      <x:c r="N34" s="18" t="n">
        <x:v>45</x:v>
      </x:c>
      <x:c r="O34" s="6" t="str">
        <x:v>res://data/levels/level_002.tres</x:v>
      </x:c>
      <x:c r="P34" s="6" t="str">
        <x:v>战力含本轮重复成长</x:v>
      </x:c>
    </x:row>
    <x:row r="35" ht="24" customHeight="1">
      <x:c r="A35" s="6" t="str">
        <x:v>level_002</x:v>
      </x:c>
      <x:c r="B35" s="18" t="n">
        <x:v>5</x:v>
      </x:c>
      <x:c r="C35" s="18" t="n">
        <x:v>2</x:v>
      </x:c>
      <x:c r="D35" s="18" t="n">
        <x:v>1</x:v>
      </x:c>
      <x:c r="E35" s="18" t="n">
        <x:v>5</x:v>
      </x:c>
      <x:c r="F35" s="18" t="n">
        <x:f>MIN('调参总览'!$B$15+(B35-1)*'调参总览'!$B$16,'调参总览'!$B$17)</x:f>
        <x:v>7</x:v>
      </x:c>
      <x:c r="G35" s="18" t="n">
        <x:f>(INT(B35*'调参总览'!$B$18/'调参总览'!$B$20)-INT((B35-1)*'调参总览'!$B$18/'调参总览'!$B$20))*'调参总览'!$B$21+'调参总览'!$B$19</x:f>
        <x:v>0</x:v>
      </x:c>
      <x:c r="H35" s="6" t="n">
        <x:f>'调参总览'!$B$34+(B35-1)*'调参总览'!$B$26</x:f>
        <x:v>2.4</x:v>
      </x:c>
      <x:c r="I35" s="6" t="n">
        <x:f>MIN((F35+G35)*'调参总览'!$B$25/H35,'调参总览'!$B$18*'调参总览'!$B$23/'调参总览'!$B$22)</x:f>
        <x:v>2.0416666666666665</x:v>
      </x:c>
      <x:c r="J35" s="6" t="n">
        <x:f>I35*'单位战力'!$P$23</x:f>
        <x:v>2.0416666666666665</x:v>
      </x:c>
      <x:c r="K35" s="6" t="n">
        <x:f>'单位战力'!P21*SQRT(('单位战力'!D21+D35*0)/'单位战力'!D21*MAX('调参总览'!$B$10-'单位战力'!F21,1)/MAX('调参总览'!$B$10-'单位战力'!F21-D35*0,1)*MAX('单位战力'!E21+D35*0-'调参总览'!$B$11,1)/MAX('单位战力'!E21-'调参总览'!$B$11,1))+'单位战力'!P21*SQRT(('单位战力'!D21+D35*0)/'单位战力'!D21*MAX('调参总览'!$B$10-'单位战力'!F21,1)/MAX('调参总览'!$B$10-'单位战力'!F21-D35*0,1)*MAX('单位战力'!E21+D35*0-'调参总览'!$B$11,1)/MAX('单位战力'!E21-'调参总览'!$B$11,1))+'单位战力'!P21*SQRT(('单位战力'!D21+D35*0)/'单位战力'!D21*MAX('调参总览'!$B$10-'单位战力'!F21,1)/MAX('调参总览'!$B$10-'单位战力'!F21-D35*0,1)*MAX('单位战力'!E21+D35*0-'调参总览'!$B$11,1)/MAX('单位战力'!E21-'调参总览'!$B$11,1))+'单位战力'!P21*SQRT(('单位战力'!D21+D35*0)/'单位战力'!D21*MAX('调参总览'!$B$10-'单位战力'!F21,1)/MAX('调参总览'!$B$10-'单位战力'!F21-D35*0,1)*MAX('单位战力'!E21+D35*0-'调参总览'!$B$11,1)/MAX('单位战力'!E21-'调参总览'!$B$11,1))+'单位战力'!P21*SQRT(('单位战力'!D21+D35*0)/'单位战力'!D21*MAX('调参总览'!$B$10-'单位战力'!F21,1)/MAX('调参总览'!$B$10-'单位战力'!F21-D35*0,1)*MAX('单位战力'!E21+D35*0-'调参总览'!$B$11,1)/MAX('单位战力'!E21-'调参总览'!$B$11,1))</x:f>
        <x:v>5.892556509887896</x:v>
      </x:c>
      <x:c r="L35" s="6" t="n">
        <x:f>IF(J35&lt;=0,"无部署预算",K35/J35)</x:f>
        <x:v>2.886150127292031</x:v>
      </x:c>
      <x:c r="M35" s="18" t="n">
        <x:f>IF(E35=0,0,B35+'单位战力'!H21+'单位战力'!H21+'单位战力'!H21+'单位战力'!H21+'单位战力'!H21)</x:f>
        <x:v>15</x:v>
      </x:c>
      <x:c r="N35" s="18" t="n">
        <x:v>45</x:v>
      </x:c>
      <x:c r="O35" s="6" t="str">
        <x:v>res://data/levels/level_002.tres</x:v>
      </x:c>
      <x:c r="P35" s="6" t="str">
        <x:v>战力含本轮重复成长</x:v>
      </x:c>
    </x:row>
    <x:row r="36" ht="24" customHeight="1">
      <x:c r="A36" s="6" t="str">
        <x:v>level_002</x:v>
      </x:c>
      <x:c r="B36" s="18" t="n">
        <x:v>6</x:v>
      </x:c>
      <x:c r="C36" s="18" t="n">
        <x:v>3</x:v>
      </x:c>
      <x:c r="D36" s="18" t="n">
        <x:v>1</x:v>
      </x:c>
      <x:c r="E36" s="18" t="n">
        <x:v>0</x:v>
      </x:c>
      <x:c r="F36" s="18" t="n">
        <x:f>MIN('调参总览'!$B$15+(B36-1)*'调参总览'!$B$16,'调参总览'!$B$17)</x:f>
        <x:v>8</x:v>
      </x:c>
      <x:c r="G36" s="18" t="n">
        <x:f>(INT(B36*'调参总览'!$B$18/'调参总览'!$B$20)-INT((B36-1)*'调参总览'!$B$18/'调参总览'!$B$20))*'调参总览'!$B$21+'调参总览'!$B$19</x:f>
        <x:v>1</x:v>
      </x:c>
      <x:c r="H36" s="6" t="n">
        <x:f>'调参总览'!$B$34+(B36-1)*'调参总览'!$B$26</x:f>
        <x:v>2.75</x:v>
      </x:c>
      <x:c r="I36" s="6" t="n">
        <x:f>MIN((F36+G36)*'调参总览'!$B$25/H36,'调参总览'!$B$18*'调参总览'!$B$23/'调参总览'!$B$22)</x:f>
        <x:v>2.290909090909091</x:v>
      </x:c>
      <x:c r="J36" s="6" t="n">
        <x:f>I36*'单位战力'!$P$23</x:f>
        <x:v>2.290909090909091</x:v>
      </x:c>
      <x:c r="K36" s="6" t="n">
        <x:f>0</x:f>
        <x:v>0</x:v>
      </x:c>
      <x:c r="L36" s="6" t="n">
        <x:f>IF(J36&lt;=0,"无部署预算",K36/J36)</x:f>
        <x:v>0</x:v>
      </x:c>
      <x:c r="M36" s="18" t="n">
        <x:f>IF(E36=0,0,B36+0)</x:f>
        <x:v>0</x:v>
      </x:c>
      <x:c r="N36" s="18" t="n">
        <x:v>45</x:v>
      </x:c>
      <x:c r="O36" s="6" t="str">
        <x:v>res://data/levels/level_002.tres</x:v>
      </x:c>
      <x:c r="P36" s="6" t="str">
        <x:v>耗尽后重用末有效阵型</x:v>
      </x:c>
    </x:row>
    <x:row r="37" ht="24" customHeight="1">
      <x:c r="A37" s="6" t="str">
        <x:v>level_002</x:v>
      </x:c>
      <x:c r="B37" s="18" t="n">
        <x:v>7</x:v>
      </x:c>
      <x:c r="C37" s="18" t="n">
        <x:v>1</x:v>
      </x:c>
      <x:c r="D37" s="18" t="n">
        <x:v>2</x:v>
      </x:c>
      <x:c r="E37" s="18" t="n">
        <x:v>5</x:v>
      </x:c>
      <x:c r="F37" s="18" t="n">
        <x:f>MIN('调参总览'!$B$15+(B37-1)*'调参总览'!$B$16,'调参总览'!$B$17)</x:f>
        <x:v>9</x:v>
      </x:c>
      <x:c r="G37" s="18" t="n">
        <x:f>(INT(B37*'调参总览'!$B$18/'调参总览'!$B$20)-INT((B37-1)*'调参总览'!$B$18/'调参总览'!$B$20))*'调参总览'!$B$21+'调参总览'!$B$19</x:f>
        <x:v>0</x:v>
      </x:c>
      <x:c r="H37" s="6" t="n">
        <x:f>'调参总览'!$B$34+(B37-1)*'调参总览'!$B$26</x:f>
        <x:v>3.0999999999999996</x:v>
      </x:c>
      <x:c r="I37" s="6" t="n">
        <x:f>MIN((F37+G37)*'调参总览'!$B$25/H37,'调参总览'!$B$18*'调参总览'!$B$23/'调参总览'!$B$22)</x:f>
        <x:v>2.032258064516129</x:v>
      </x:c>
      <x:c r="J37" s="6" t="n">
        <x:f>I37*'单位战力'!$P$23</x:f>
        <x:v>2.032258064516129</x:v>
      </x:c>
      <x:c r="K37" s="6" t="n">
        <x:f>'单位战力'!P20*SQRT(('单位战力'!D20+D37*0)/'单位战力'!D20*MAX('调参总览'!$B$10-'单位战力'!F20,1)/MAX('调参总览'!$B$10-'单位战力'!F20-D37*0,1)*MAX('单位战力'!E20+D37*0-'调参总览'!$B$11,1)/MAX('单位战力'!E20-'调参总览'!$B$11,1))+'单位战力'!P20*SQRT(('单位战力'!D20+D37*0)/'单位战力'!D20*MAX('调参总览'!$B$10-'单位战力'!F20,1)/MAX('调参总览'!$B$10-'单位战力'!F20-D37*0,1)*MAX('单位战力'!E20+D37*0-'调参总览'!$B$11,1)/MAX('单位战力'!E20-'调参总览'!$B$11,1))+'单位战力'!P20*SQRT(('单位战力'!D20+D37*0)/'单位战力'!D20*MAX('调参总览'!$B$10-'单位战力'!F20,1)/MAX('调参总览'!$B$10-'单位战力'!F20-D37*0,1)*MAX('单位战力'!E20+D37*0-'调参总览'!$B$11,1)/MAX('单位战力'!E20-'调参总览'!$B$11,1))+'单位战力'!P20*SQRT(('单位战力'!D20+D37*0)/'单位战力'!D20*MAX('调参总览'!$B$10-'单位战力'!F20,1)/MAX('调参总览'!$B$10-'单位战力'!F20-D37*0,1)*MAX('单位战力'!E20+D37*0-'调参总览'!$B$11,1)/MAX('单位战力'!E20-'调参总览'!$B$11,1))+'单位战力'!P20*SQRT(('单位战力'!D20+D37*0)/'单位战力'!D20*MAX('调参总览'!$B$10-'单位战力'!F20,1)/MAX('调参总览'!$B$10-'单位战力'!F20-D37*0,1)*MAX('单位战力'!E20+D37*0-'调参总览'!$B$11,1)/MAX('单位战力'!E20-'调参总览'!$B$11,1))</x:f>
        <x:v>5.813458204571208</x:v>
      </x:c>
      <x:c r="L37" s="6" t="n">
        <x:f>IF(J37&lt;=0,"无部署预算",K37/J37)</x:f>
        <x:v>2.8605905451064673</x:v>
      </x:c>
      <x:c r="M37" s="18" t="n">
        <x:f>IF(E37=0,0,B37+'单位战力'!H20+'单位战力'!H20+'单位战力'!H20+'单位战力'!H20+'单位战力'!H20)</x:f>
        <x:v>12</x:v>
      </x:c>
      <x:c r="N37" s="18" t="n">
        <x:v>45</x:v>
      </x:c>
      <x:c r="O37" s="6" t="str">
        <x:v>res://data/levels/level_002.tres</x:v>
      </x:c>
      <x:c r="P37" s="6" t="str">
        <x:v>战力含本轮重复成长</x:v>
      </x:c>
    </x:row>
    <x:row r="38" ht="24" customHeight="1">
      <x:c r="A38" s="6" t="str">
        <x:v>level_002</x:v>
      </x:c>
      <x:c r="B38" s="18" t="n">
        <x:v>8</x:v>
      </x:c>
      <x:c r="C38" s="18" t="n">
        <x:v>2</x:v>
      </x:c>
      <x:c r="D38" s="18" t="n">
        <x:v>2</x:v>
      </x:c>
      <x:c r="E38" s="18" t="n">
        <x:v>5</x:v>
      </x:c>
      <x:c r="F38" s="18" t="n">
        <x:f>MIN('调参总览'!$B$15+(B38-1)*'调参总览'!$B$16,'调参总览'!$B$17)</x:f>
        <x:v>10</x:v>
      </x:c>
      <x:c r="G38" s="18" t="n">
        <x:f>(INT(B38*'调参总览'!$B$18/'调参总览'!$B$20)-INT((B38-1)*'调参总览'!$B$18/'调参总览'!$B$20))*'调参总览'!$B$21+'调参总览'!$B$19</x:f>
        <x:v>1</x:v>
      </x:c>
      <x:c r="H38" s="6" t="n">
        <x:f>'调参总览'!$B$34+(B38-1)*'调参总览'!$B$26</x:f>
        <x:v>3.4499999999999997</x:v>
      </x:c>
      <x:c r="I38" s="6" t="n">
        <x:f>MIN((F38+G38)*'调参总览'!$B$25/H38,'调参总览'!$B$18*'调参总览'!$B$23/'调参总览'!$B$22)</x:f>
        <x:v>2.2318840579710146</x:v>
      </x:c>
      <x:c r="J38" s="6" t="n">
        <x:f>I38*'单位战力'!$P$23</x:f>
        <x:v>2.2318840579710146</x:v>
      </x:c>
      <x:c r="K38" s="6" t="n">
        <x:f>'单位战力'!P21*SQRT(('单位战力'!D21+D38*0)/'单位战力'!D21*MAX('调参总览'!$B$10-'单位战力'!F21,1)/MAX('调参总览'!$B$10-'单位战力'!F21-D38*0,1)*MAX('单位战力'!E21+D38*0-'调参总览'!$B$11,1)/MAX('单位战力'!E21-'调参总览'!$B$11,1))+'单位战力'!P21*SQRT(('单位战力'!D21+D38*0)/'单位战力'!D21*MAX('调参总览'!$B$10-'单位战力'!F21,1)/MAX('调参总览'!$B$10-'单位战力'!F21-D38*0,1)*MAX('单位战力'!E21+D38*0-'调参总览'!$B$11,1)/MAX('单位战力'!E21-'调参总览'!$B$11,1))+'单位战力'!P21*SQRT(('单位战力'!D21+D38*0)/'单位战力'!D21*MAX('调参总览'!$B$10-'单位战力'!F21,1)/MAX('调参总览'!$B$10-'单位战力'!F21-D38*0,1)*MAX('单位战力'!E21+D38*0-'调参总览'!$B$11,1)/MAX('单位战力'!E21-'调参总览'!$B$11,1))+'单位战力'!P21*SQRT(('单位战力'!D21+D38*0)/'单位战力'!D21*MAX('调参总览'!$B$10-'单位战力'!F21,1)/MAX('调参总览'!$B$10-'单位战力'!F21-D38*0,1)*MAX('单位战力'!E21+D38*0-'调参总览'!$B$11,1)/MAX('单位战力'!E21-'调参总览'!$B$11,1))+'单位战力'!P21*SQRT(('单位战力'!D21+D38*0)/'单位战力'!D21*MAX('调参总览'!$B$10-'单位战力'!F21,1)/MAX('调参总览'!$B$10-'单位战力'!F21-D38*0,1)*MAX('单位战力'!E21+D38*0-'调参总览'!$B$11,1)/MAX('单位战力'!E21-'调参总览'!$B$11,1))</x:f>
        <x:v>5.892556509887896</x:v>
      </x:c>
      <x:c r="L38" s="6" t="n">
        <x:f>IF(J38&lt;=0,"无部署预算",K38/J38)</x:f>
        <x:v>2.6401714232614597</x:v>
      </x:c>
      <x:c r="M38" s="18" t="n">
        <x:f>IF(E38=0,0,B38+'单位战力'!H21+'单位战力'!H21+'单位战力'!H21+'单位战力'!H21+'单位战力'!H21)</x:f>
        <x:v>18</x:v>
      </x:c>
      <x:c r="N38" s="18" t="n">
        <x:v>45</x:v>
      </x:c>
      <x:c r="O38" s="6" t="str">
        <x:v>res://data/levels/level_002.tres</x:v>
      </x:c>
      <x:c r="P38" s="6" t="str">
        <x:v>战力含本轮重复成长</x:v>
      </x:c>
    </x:row>
    <x:row r="39" ht="24" customHeight="1">
      <x:c r="A39" s="6" t="str">
        <x:v>level_002</x:v>
      </x:c>
      <x:c r="B39" s="18" t="n">
        <x:v>9</x:v>
      </x:c>
      <x:c r="C39" s="18" t="n">
        <x:v>3</x:v>
      </x:c>
      <x:c r="D39" s="18" t="n">
        <x:v>2</x:v>
      </x:c>
      <x:c r="E39" s="18" t="n">
        <x:v>0</x:v>
      </x:c>
      <x:c r="F39" s="18" t="n">
        <x:f>MIN('调参总览'!$B$15+(B39-1)*'调参总览'!$B$16,'调参总览'!$B$17)</x:f>
        <x:v>10</x:v>
      </x:c>
      <x:c r="G39" s="18" t="n">
        <x:f>(INT(B39*'调参总览'!$B$18/'调参总览'!$B$20)-INT((B39-1)*'调参总览'!$B$18/'调参总览'!$B$20))*'调参总览'!$B$21+'调参总览'!$B$19</x:f>
        <x:v>0</x:v>
      </x:c>
      <x:c r="H39" s="6" t="n">
        <x:f>'调参总览'!$B$34+(B39-1)*'调参总览'!$B$26</x:f>
        <x:v>3.8</x:v>
      </x:c>
      <x:c r="I39" s="6" t="n">
        <x:f>MIN((F39+G39)*'调参总览'!$B$25/H39,'调参总览'!$B$18*'调参总览'!$B$23/'调参总览'!$B$22)</x:f>
        <x:v>1.842105263157895</x:v>
      </x:c>
      <x:c r="J39" s="6" t="n">
        <x:f>I39*'单位战力'!$P$23</x:f>
        <x:v>1.842105263157895</x:v>
      </x:c>
      <x:c r="K39" s="6" t="n">
        <x:f>0</x:f>
        <x:v>0</x:v>
      </x:c>
      <x:c r="L39" s="6" t="n">
        <x:f>IF(J39&lt;=0,"无部署预算",K39/J39)</x:f>
        <x:v>0</x:v>
      </x:c>
      <x:c r="M39" s="18" t="n">
        <x:f>IF(E39=0,0,B39+0)</x:f>
        <x:v>0</x:v>
      </x:c>
      <x:c r="N39" s="18" t="n">
        <x:v>45</x:v>
      </x:c>
      <x:c r="O39" s="6" t="str">
        <x:v>res://data/levels/level_002.tres</x:v>
      </x:c>
      <x:c r="P39" s="6" t="str">
        <x:v>耗尽后重用末有效阵型</x:v>
      </x:c>
    </x:row>
    <x:row r="40" ht="24" customHeight="1">
      <x:c r="A40" s="6" t="str">
        <x:v>level_002</x:v>
      </x:c>
      <x:c r="B40" s="18" t="n">
        <x:v>10</x:v>
      </x:c>
      <x:c r="C40" s="18" t="n">
        <x:v>1</x:v>
      </x:c>
      <x:c r="D40" s="18" t="n">
        <x:v>3</x:v>
      </x:c>
      <x:c r="E40" s="18" t="n">
        <x:v>5</x:v>
      </x:c>
      <x:c r="F40" s="18" t="n">
        <x:f>MIN('调参总览'!$B$15+(B40-1)*'调参总览'!$B$16,'调参总览'!$B$17)</x:f>
        <x:v>10</x:v>
      </x:c>
      <x:c r="G40" s="18" t="n">
        <x:f>(INT(B40*'调参总览'!$B$18/'调参总览'!$B$20)-INT((B40-1)*'调参总览'!$B$18/'调参总览'!$B$20))*'调参总览'!$B$21+'调参总览'!$B$19</x:f>
        <x:v>1</x:v>
      </x:c>
      <x:c r="H40" s="6" t="n">
        <x:f>'调参总览'!$B$34+(B40-1)*'调参总览'!$B$26</x:f>
        <x:v>4.15</x:v>
      </x:c>
      <x:c r="I40" s="6" t="n">
        <x:f>MIN((F40+G40)*'调参总览'!$B$25/H40,'调参总览'!$B$18*'调参总览'!$B$23/'调参总览'!$B$22)</x:f>
        <x:v>1.8554216867469877</x:v>
      </x:c>
      <x:c r="J40" s="6" t="n">
        <x:f>I40*'单位战力'!$P$23</x:f>
        <x:v>1.8554216867469877</x:v>
      </x:c>
      <x:c r="K40" s="6" t="n">
        <x:f>'单位战力'!P20*SQRT(('单位战力'!D20+D40*0)/'单位战力'!D20*MAX('调参总览'!$B$10-'单位战力'!F20,1)/MAX('调参总览'!$B$10-'单位战力'!F20-D40*0,1)*MAX('单位战力'!E20+D40*0-'调参总览'!$B$11,1)/MAX('单位战力'!E20-'调参总览'!$B$11,1))+'单位战力'!P20*SQRT(('单位战力'!D20+D40*0)/'单位战力'!D20*MAX('调参总览'!$B$10-'单位战力'!F20,1)/MAX('调参总览'!$B$10-'单位战力'!F20-D40*0,1)*MAX('单位战力'!E20+D40*0-'调参总览'!$B$11,1)/MAX('单位战力'!E20-'调参总览'!$B$11,1))+'单位战力'!P20*SQRT(('单位战力'!D20+D40*0)/'单位战力'!D20*MAX('调参总览'!$B$10-'单位战力'!F20,1)/MAX('调参总览'!$B$10-'单位战力'!F20-D40*0,1)*MAX('单位战力'!E20+D40*0-'调参总览'!$B$11,1)/MAX('单位战力'!E20-'调参总览'!$B$11,1))+'单位战力'!P20*SQRT(('单位战力'!D20+D40*0)/'单位战力'!D20*MAX('调参总览'!$B$10-'单位战力'!F20,1)/MAX('调参总览'!$B$10-'单位战力'!F20-D40*0,1)*MAX('单位战力'!E20+D40*0-'调参总览'!$B$11,1)/MAX('单位战力'!E20-'调参总览'!$B$11,1))+'单位战力'!P20*SQRT(('单位战力'!D20+D40*0)/'单位战力'!D20*MAX('调参总览'!$B$10-'单位战力'!F20,1)/MAX('调参总览'!$B$10-'单位战力'!F20-D40*0,1)*MAX('单位战力'!E20+D40*0-'调参总览'!$B$11,1)/MAX('单位战力'!E20-'调参总览'!$B$11,1))</x:f>
        <x:v>5.813458204571208</x:v>
      </x:c>
      <x:c r="L40" s="6" t="n">
        <x:f>IF(J40&lt;=0,"无部署预算",K40/J40)</x:f>
        <x:v>3.1332274738922745</x:v>
      </x:c>
      <x:c r="M40" s="18" t="n">
        <x:f>IF(E40=0,0,B40+'单位战力'!H20+'单位战力'!H20+'单位战力'!H20+'单位战力'!H20+'单位战力'!H20)</x:f>
        <x:v>15</x:v>
      </x:c>
      <x:c r="N40" s="18" t="n">
        <x:v>45</x:v>
      </x:c>
      <x:c r="O40" s="6" t="str">
        <x:v>res://data/levels/level_002.tres</x:v>
      </x:c>
      <x:c r="P40" s="6" t="str">
        <x:v>战力含本轮重复成长</x:v>
      </x:c>
    </x:row>
    <x:row r="41" ht="24" customHeight="1">
      <x:c r="A41" s="6" t="str">
        <x:v>level_002</x:v>
      </x:c>
      <x:c r="B41" s="18" t="n">
        <x:v>11</x:v>
      </x:c>
      <x:c r="C41" s="18" t="n">
        <x:v>2</x:v>
      </x:c>
      <x:c r="D41" s="18" t="n">
        <x:v>3</x:v>
      </x:c>
      <x:c r="E41" s="18" t="n">
        <x:v>5</x:v>
      </x:c>
      <x:c r="F41" s="18" t="n">
        <x:f>MIN('调参总览'!$B$15+(B41-1)*'调参总览'!$B$16,'调参总览'!$B$17)</x:f>
        <x:v>10</x:v>
      </x:c>
      <x:c r="G41" s="18" t="n">
        <x:f>(INT(B41*'调参总览'!$B$18/'调参总览'!$B$20)-INT((B41-1)*'调参总览'!$B$18/'调参总览'!$B$20))*'调参总览'!$B$21+'调参总览'!$B$19</x:f>
        <x:v>0</x:v>
      </x:c>
      <x:c r="H41" s="6" t="n">
        <x:f>'调参总览'!$B$34+(B41-1)*'调参总览'!$B$26</x:f>
        <x:v>4.5</x:v>
      </x:c>
      <x:c r="I41" s="6" t="n">
        <x:f>MIN((F41+G41)*'调参总览'!$B$25/H41,'调参总览'!$B$18*'调参总览'!$B$23/'调参总览'!$B$22)</x:f>
        <x:v>1.5555555555555556</x:v>
      </x:c>
      <x:c r="J41" s="6" t="n">
        <x:f>I41*'单位战力'!$P$23</x:f>
        <x:v>1.5555555555555556</x:v>
      </x:c>
      <x:c r="K41" s="6" t="n">
        <x:f>'单位战力'!P21*SQRT(('单位战力'!D21+D41*0)/'单位战力'!D21*MAX('调参总览'!$B$10-'单位战力'!F21,1)/MAX('调参总览'!$B$10-'单位战力'!F21-D41*0,1)*MAX('单位战力'!E21+D41*0-'调参总览'!$B$11,1)/MAX('单位战力'!E21-'调参总览'!$B$11,1))+'单位战力'!P21*SQRT(('单位战力'!D21+D41*0)/'单位战力'!D21*MAX('调参总览'!$B$10-'单位战力'!F21,1)/MAX('调参总览'!$B$10-'单位战力'!F21-D41*0,1)*MAX('单位战力'!E21+D41*0-'调参总览'!$B$11,1)/MAX('单位战力'!E21-'调参总览'!$B$11,1))+'单位战力'!P21*SQRT(('单位战力'!D21+D41*0)/'单位战力'!D21*MAX('调参总览'!$B$10-'单位战力'!F21,1)/MAX('调参总览'!$B$10-'单位战力'!F21-D41*0,1)*MAX('单位战力'!E21+D41*0-'调参总览'!$B$11,1)/MAX('单位战力'!E21-'调参总览'!$B$11,1))+'单位战力'!P21*SQRT(('单位战力'!D21+D41*0)/'单位战力'!D21*MAX('调参总览'!$B$10-'单位战力'!F21,1)/MAX('调参总览'!$B$10-'单位战力'!F21-D41*0,1)*MAX('单位战力'!E21+D41*0-'调参总览'!$B$11,1)/MAX('单位战力'!E21-'调参总览'!$B$11,1))+'单位战力'!P21*SQRT(('单位战力'!D21+D41*0)/'单位战力'!D21*MAX('调参总览'!$B$10-'单位战力'!F21,1)/MAX('调参总览'!$B$10-'单位战力'!F21-D41*0,1)*MAX('单位战力'!E21+D41*0-'调参总览'!$B$11,1)/MAX('单位战力'!E21-'调参总览'!$B$11,1))</x:f>
        <x:v>5.892556509887896</x:v>
      </x:c>
      <x:c r="L41" s="6" t="n">
        <x:f>IF(J41&lt;=0,"无部署预算",K41/J41)</x:f>
        <x:v>3.7880720420707905</x:v>
      </x:c>
      <x:c r="M41" s="18" t="n">
        <x:f>IF(E41=0,0,B41+'单位战力'!H21+'单位战力'!H21+'单位战力'!H21+'单位战力'!H21+'单位战力'!H21)</x:f>
        <x:v>21</x:v>
      </x:c>
      <x:c r="N41" s="18" t="n">
        <x:v>45</x:v>
      </x:c>
      <x:c r="O41" s="6" t="str">
        <x:v>res://data/levels/level_002.tres</x:v>
      </x:c>
      <x:c r="P41" s="6" t="str">
        <x:v>战力含本轮重复成长</x:v>
      </x:c>
    </x:row>
    <x:row r="42" ht="24" customHeight="1">
      <x:c r="A42" s="6" t="str">
        <x:v>level_002</x:v>
      </x:c>
      <x:c r="B42" s="18" t="n">
        <x:v>12</x:v>
      </x:c>
      <x:c r="C42" s="18" t="n">
        <x:v>3</x:v>
      </x:c>
      <x:c r="D42" s="18" t="n">
        <x:v>3</x:v>
      </x:c>
      <x:c r="E42" s="18" t="n">
        <x:v>0</x:v>
      </x:c>
      <x:c r="F42" s="18" t="n">
        <x:f>MIN('调参总览'!$B$15+(B42-1)*'调参总览'!$B$16,'调参总览'!$B$17)</x:f>
        <x:v>10</x:v>
      </x:c>
      <x:c r="G42" s="18" t="n">
        <x:f>(INT(B42*'调参总览'!$B$18/'调参总览'!$B$20)-INT((B42-1)*'调参总览'!$B$18/'调参总览'!$B$20))*'调参总览'!$B$21+'调参总览'!$B$19</x:f>
        <x:v>1</x:v>
      </x:c>
      <x:c r="H42" s="6" t="n">
        <x:f>'调参总览'!$B$34+(B42-1)*'调参总览'!$B$26</x:f>
        <x:v>4.85</x:v>
      </x:c>
      <x:c r="I42" s="6" t="n">
        <x:f>MIN((F42+G42)*'调参总览'!$B$25/H42,'调参总览'!$B$18*'调参总览'!$B$23/'调参总览'!$B$22)</x:f>
        <x:v>1.5876288659793814</x:v>
      </x:c>
      <x:c r="J42" s="6" t="n">
        <x:f>I42*'单位战力'!$P$23</x:f>
        <x:v>1.5876288659793814</x:v>
      </x:c>
      <x:c r="K42" s="6" t="n">
        <x:f>0</x:f>
        <x:v>0</x:v>
      </x:c>
      <x:c r="L42" s="6" t="n">
        <x:f>IF(J42&lt;=0,"无部署预算",K42/J42)</x:f>
        <x:v>0</x:v>
      </x:c>
      <x:c r="M42" s="18" t="n">
        <x:f>IF(E42=0,0,B42+0)</x:f>
        <x:v>0</x:v>
      </x:c>
      <x:c r="N42" s="18" t="n">
        <x:v>45</x:v>
      </x:c>
      <x:c r="O42" s="6" t="str">
        <x:v>res://data/levels/level_002.tres</x:v>
      </x:c>
      <x:c r="P42" s="6" t="str">
        <x:v>耗尽后重用末有效阵型</x:v>
      </x:c>
    </x:row>
    <x:row r="43" ht="24" customHeight="1">
      <x:c r="A43" s="6" t="str">
        <x:v>level_003</x:v>
      </x:c>
      <x:c r="B43" s="18" t="n">
        <x:v>1</x:v>
      </x:c>
      <x:c r="C43" s="18" t="n">
        <x:v>1</x:v>
      </x:c>
      <x:c r="D43" s="18" t="n">
        <x:v>0</x:v>
      </x:c>
      <x:c r="E43" s="18" t="n">
        <x:v>1</x:v>
      </x:c>
      <x:c r="F43" s="18" t="n">
        <x:f>MIN('调参总览'!$B$15+(B43-1)*'调参总览'!$B$16,'调参总览'!$B$17)</x:f>
        <x:v>3</x:v>
      </x:c>
      <x:c r="G43" s="18" t="n">
        <x:f>(INT(B43*'调参总览'!$B$18/'调参总览'!$B$20)-INT((B43-1)*'调参总览'!$B$18/'调参总览'!$B$20))*'调参总览'!$B$21+'调参总览'!$B$19</x:f>
        <x:v>0</x:v>
      </x:c>
      <x:c r="H43" s="6" t="n">
        <x:f>'调参总览'!$B$34+(B43-1)*'调参总览'!$B$26</x:f>
        <x:v>1</x:v>
      </x:c>
      <x:c r="I43" s="6" t="n">
        <x:f>MIN((F43+G43)*'调参总览'!$B$25/H43,'调参总览'!$B$18*'调参总览'!$B$23/'调参总览'!$B$22)</x:f>
        <x:v>2.0999999999999996</x:v>
      </x:c>
      <x:c r="J43" s="6" t="n">
        <x:f>I43*'单位战力'!$P$23</x:f>
        <x:v>2.0999999999999996</x:v>
      </x:c>
      <x:c r="K43" s="6" t="n">
        <x:f>'单位战力'!P20*SQRT(('单位战力'!D20+D43*0)/'单位战力'!D20*MAX('调参总览'!$B$10-'单位战力'!F20,1)/MAX('调参总览'!$B$10-'单位战力'!F20-D43*0,1)*MAX('单位战力'!E20+D43*0-'调参总览'!$B$11,1)/MAX('单位战力'!E20-'调参总览'!$B$11,1))</x:f>
        <x:v>1.1626916409142416</x:v>
      </x:c>
      <x:c r="L43" s="6" t="n">
        <x:f>IF(J43&lt;=0,"无部署预算",K43/J43)</x:f>
        <x:v>0.553662686149639</x:v>
      </x:c>
      <x:c r="M43" s="18" t="n">
        <x:f>IF(E43=0,0,B43+'单位战力'!H20)</x:f>
        <x:v>2</x:v>
      </x:c>
      <x:c r="N43" s="18" t="n">
        <x:v>45</x:v>
      </x:c>
      <x:c r="O43" s="6" t="str">
        <x:v>res://data/levels/level_003.tres</x:v>
      </x:c>
      <x:c r="P43" s="6" t="str">
        <x:v>战力含本轮重复成长</x:v>
      </x:c>
    </x:row>
    <x:row r="44" ht="24" customHeight="1">
      <x:c r="A44" s="6" t="str">
        <x:v>level_003</x:v>
      </x:c>
      <x:c r="B44" s="18" t="n">
        <x:v>2</x:v>
      </x:c>
      <x:c r="C44" s="18" t="n">
        <x:v>2</x:v>
      </x:c>
      <x:c r="D44" s="18" t="n">
        <x:v>0</x:v>
      </x:c>
      <x:c r="E44" s="18" t="n">
        <x:v>1</x:v>
      </x:c>
      <x:c r="F44" s="18" t="n">
        <x:f>MIN('调参总览'!$B$15+(B44-1)*'调参总览'!$B$16,'调参总览'!$B$17)</x:f>
        <x:v>4</x:v>
      </x:c>
      <x:c r="G44" s="18" t="n">
        <x:f>(INT(B44*'调参总览'!$B$18/'调参总览'!$B$20)-INT((B44-1)*'调参总览'!$B$18/'调参总览'!$B$20))*'调参总览'!$B$21+'调参总览'!$B$19</x:f>
        <x:v>1</x:v>
      </x:c>
      <x:c r="H44" s="6" t="n">
        <x:f>'调参总览'!$B$34+(B44-1)*'调参总览'!$B$26</x:f>
        <x:v>1.35</x:v>
      </x:c>
      <x:c r="I44" s="6" t="n">
        <x:f>MIN((F44+G44)*'调参总览'!$B$25/H44,'调参总览'!$B$18*'调参总览'!$B$23/'调参总览'!$B$22)</x:f>
        <x:v>2.5</x:v>
      </x:c>
      <x:c r="J44" s="6" t="n">
        <x:f>I44*'单位战力'!$P$23</x:f>
        <x:v>2.5</x:v>
      </x:c>
      <x:c r="K44" s="6" t="n">
        <x:f>'单位战力'!P21*SQRT(('单位战力'!D21+D44*0)/'单位战力'!D21*MAX('调参总览'!$B$10-'单位战力'!F21,1)/MAX('调参总览'!$B$10-'单位战力'!F21-D44*0,1)*MAX('单位战力'!E21+D44*2-'调参总览'!$B$11,1)/MAX('单位战力'!E21-'调参总览'!$B$11,1))</x:f>
        <x:v>1.1785113019775793</x:v>
      </x:c>
      <x:c r="L44" s="6" t="n">
        <x:f>IF(J44&lt;=0,"无部署预算",K44/J44)</x:f>
        <x:v>0.4714045207910317</x:v>
      </x:c>
      <x:c r="M44" s="18" t="n">
        <x:f>IF(E44=0,0,B44+'单位战力'!H21)</x:f>
        <x:v>4</x:v>
      </x:c>
      <x:c r="N44" s="18" t="n">
        <x:v>45</x:v>
      </x:c>
      <x:c r="O44" s="6" t="str">
        <x:v>res://data/levels/level_003.tres</x:v>
      </x:c>
      <x:c r="P44" s="6" t="str">
        <x:v>战力含本轮重复成长</x:v>
      </x:c>
    </x:row>
    <x:row r="45" ht="24" customHeight="1">
      <x:c r="A45" s="6" t="str">
        <x:v>level_003</x:v>
      </x:c>
      <x:c r="B45" s="18" t="n">
        <x:v>3</x:v>
      </x:c>
      <x:c r="C45" s="18" t="n">
        <x:v>3</x:v>
      </x:c>
      <x:c r="D45" s="18" t="n">
        <x:v>0</x:v>
      </x:c>
      <x:c r="E45" s="18" t="n">
        <x:v>2</x:v>
      </x:c>
      <x:c r="F45" s="18" t="n">
        <x:f>MIN('调参总览'!$B$15+(B45-1)*'调参总览'!$B$16,'调参总览'!$B$17)</x:f>
        <x:v>5</x:v>
      </x:c>
      <x:c r="G45" s="18" t="n">
        <x:f>(INT(B45*'调参总览'!$B$18/'调参总览'!$B$20)-INT((B45-1)*'调参总览'!$B$18/'调参总览'!$B$20))*'调参总览'!$B$21+'调参总览'!$B$19</x:f>
        <x:v>0</x:v>
      </x:c>
      <x:c r="H45" s="6" t="n">
        <x:f>'调参总览'!$B$34+(B45-1)*'调参总览'!$B$26</x:f>
        <x:v>1.7</x:v>
      </x:c>
      <x:c r="I45" s="6" t="n">
        <x:f>MIN((F45+G45)*'调参总览'!$B$25/H45,'调参总览'!$B$18*'调参总览'!$B$23/'调参总览'!$B$22)</x:f>
        <x:v>2.058823529411765</x:v>
      </x:c>
      <x:c r="J45" s="6" t="n">
        <x:f>I45*'单位战力'!$P$23</x:f>
        <x:v>2.058823529411765</x:v>
      </x:c>
      <x:c r="K45" s="6" t="n">
        <x:f>'单位战力'!P20*SQRT(('单位战力'!D20+D45*0)/'单位战力'!D20*MAX('调参总览'!$B$10-'单位战力'!F20,1)/MAX('调参总览'!$B$10-'单位战力'!F20-D45*0,1)*MAX('单位战力'!E20+D45*2-'调参总览'!$B$11,1)/MAX('单位战力'!E20-'调参总览'!$B$11,1))+'单位战力'!P21*SQRT(('单位战力'!D21+D45*0)/'单位战力'!D21*MAX('调参总览'!$B$10-'单位战力'!F21,1)/MAX('调参总览'!$B$10-'单位战力'!F21-D45*0,1)*MAX('单位战力'!E21+D45*2-'调参总览'!$B$11,1)/MAX('单位战力'!E21-'调参总览'!$B$11,1))</x:f>
        <x:v>2.3412029428918206</x:v>
      </x:c>
      <x:c r="L45" s="6" t="n">
        <x:f>IF(J45&lt;=0,"无部署预算",K45/J45)</x:f>
        <x:v>1.1371557151188842</x:v>
      </x:c>
      <x:c r="M45" s="18" t="n">
        <x:f>IF(E45=0,0,B45+'单位战力'!H20+'单位战力'!H21)</x:f>
        <x:v>6</x:v>
      </x:c>
      <x:c r="N45" s="18" t="n">
        <x:v>45</x:v>
      </x:c>
      <x:c r="O45" s="6" t="str">
        <x:v>res://data/levels/level_003.tres</x:v>
      </x:c>
      <x:c r="P45" s="6" t="str">
        <x:v>战力含本轮重复成长</x:v>
      </x:c>
    </x:row>
    <x:row r="46" ht="24" customHeight="1">
      <x:c r="A46" s="6" t="str">
        <x:v>level_003</x:v>
      </x:c>
      <x:c r="B46" s="18" t="n">
        <x:v>4</x:v>
      </x:c>
      <x:c r="C46" s="18" t="n">
        <x:v>4</x:v>
      </x:c>
      <x:c r="D46" s="18" t="n">
        <x:v>0</x:v>
      </x:c>
      <x:c r="E46" s="18" t="n">
        <x:v>2</x:v>
      </x:c>
      <x:c r="F46" s="18" t="n">
        <x:f>MIN('调参总览'!$B$15+(B46-1)*'调参总览'!$B$16,'调参总览'!$B$17)</x:f>
        <x:v>6</x:v>
      </x:c>
      <x:c r="G46" s="18" t="n">
        <x:f>(INT(B46*'调参总览'!$B$18/'调参总览'!$B$20)-INT((B46-1)*'调参总览'!$B$18/'调参总览'!$B$20))*'调参总览'!$B$21+'调参总览'!$B$19</x:f>
        <x:v>1</x:v>
      </x:c>
      <x:c r="H46" s="6" t="n">
        <x:f>'调参总览'!$B$34+(B46-1)*'调参总览'!$B$26</x:f>
        <x:v>2.05</x:v>
      </x:c>
      <x:c r="I46" s="6" t="n">
        <x:f>MIN((F46+G46)*'调参总览'!$B$25/H46,'调参总览'!$B$18*'调参总览'!$B$23/'调参总览'!$B$22)</x:f>
        <x:v>2.3902439024390243</x:v>
      </x:c>
      <x:c r="J46" s="6" t="n">
        <x:f>I46*'单位战力'!$P$23</x:f>
        <x:v>2.3902439024390243</x:v>
      </x:c>
      <x:c r="K46" s="6" t="n">
        <x:f>'单位战力'!P20*SQRT(('单位战力'!D20+D46*0)/'单位战力'!D20*MAX('调参总览'!$B$10-'单位战力'!F20,1)/MAX('调参总览'!$B$10-'单位战力'!F20-D46*0,1)*MAX('单位战力'!E20+D46*2-'调参总览'!$B$11,1)/MAX('单位战力'!E20-'调参总览'!$B$11,1))+'单位战力'!P20*SQRT(('单位战力'!D20+D46*0)/'单位战力'!D20*MAX('调参总览'!$B$10-'单位战力'!F20,1)/MAX('调参总览'!$B$10-'单位战力'!F20-D46*0,1)*MAX('单位战力'!E20+D46*2-'调参总览'!$B$11,1)/MAX('单位战力'!E20-'调参总览'!$B$11,1))</x:f>
        <x:v>2.325383281828483</x:v>
      </x:c>
      <x:c r="L46" s="6" t="n">
        <x:f>IF(J46&lt;=0,"无部署预算",K46/J46)</x:f>
        <x:v>0.9728644342343654</x:v>
      </x:c>
      <x:c r="M46" s="18" t="n">
        <x:f>IF(E46=0,0,B46+'单位战力'!H20+'单位战力'!H20)</x:f>
        <x:v>6</x:v>
      </x:c>
      <x:c r="N46" s="18" t="n">
        <x:v>45</x:v>
      </x:c>
      <x:c r="O46" s="6" t="str">
        <x:v>res://data/levels/level_003.tres</x:v>
      </x:c>
      <x:c r="P46" s="6" t="str">
        <x:v>战力含本轮重复成长</x:v>
      </x:c>
    </x:row>
    <x:row r="47" ht="24" customHeight="1">
      <x:c r="A47" s="6" t="str">
        <x:v>level_003</x:v>
      </x:c>
      <x:c r="B47" s="18" t="n">
        <x:v>5</x:v>
      </x:c>
      <x:c r="C47" s="18" t="n">
        <x:v>5</x:v>
      </x:c>
      <x:c r="D47" s="18" t="n">
        <x:v>0</x:v>
      </x:c>
      <x:c r="E47" s="18" t="n">
        <x:v>3</x:v>
      </x:c>
      <x:c r="F47" s="18" t="n">
        <x:f>MIN('调参总览'!$B$15+(B47-1)*'调参总览'!$B$16,'调参总览'!$B$17)</x:f>
        <x:v>7</x:v>
      </x:c>
      <x:c r="G47" s="18" t="n">
        <x:f>(INT(B47*'调参总览'!$B$18/'调参总览'!$B$20)-INT((B47-1)*'调参总览'!$B$18/'调参总览'!$B$20))*'调参总览'!$B$21+'调参总览'!$B$19</x:f>
        <x:v>0</x:v>
      </x:c>
      <x:c r="H47" s="6" t="n">
        <x:f>'调参总览'!$B$34+(B47-1)*'调参总览'!$B$26</x:f>
        <x:v>2.4</x:v>
      </x:c>
      <x:c r="I47" s="6" t="n">
        <x:f>MIN((F47+G47)*'调参总览'!$B$25/H47,'调参总览'!$B$18*'调参总览'!$B$23/'调参总览'!$B$22)</x:f>
        <x:v>2.0416666666666665</x:v>
      </x:c>
      <x:c r="J47" s="6" t="n">
        <x:f>I47*'单位战力'!$P$23</x:f>
        <x:v>2.0416666666666665</x:v>
      </x:c>
      <x:c r="K47" s="6" t="n">
        <x:f>'单位战力'!P20*SQRT(('单位战力'!D20+D47*0)/'单位战力'!D20*MAX('调参总览'!$B$10-'单位战力'!F20,1)/MAX('调参总览'!$B$10-'单位战力'!F20-D47*0,1)*MAX('单位战力'!E20+D47*2-'调参总览'!$B$11,1)/MAX('单位战力'!E20-'调参总览'!$B$11,1))+'单位战力'!P20*SQRT(('单位战力'!D20+D47*0)/'单位战力'!D20*MAX('调参总览'!$B$10-'单位战力'!F20,1)/MAX('调参总览'!$B$10-'单位战力'!F20-D47*0,1)*MAX('单位战力'!E20+D47*2-'调参总览'!$B$11,1)/MAX('单位战力'!E20-'调参总览'!$B$11,1))+'单位战力'!P21*SQRT(('单位战力'!D21+D47*0)/'单位战力'!D21*MAX('调参总览'!$B$10-'单位战力'!F21,1)/MAX('调参总览'!$B$10-'单位战力'!F21-D47*0,1)*MAX('单位战力'!E21+D47*2-'调参总览'!$B$11,1)/MAX('单位战力'!E21-'调参总览'!$B$11,1))</x:f>
        <x:v>3.5038945838060624</x:v>
      </x:c>
      <x:c r="L47" s="6" t="n">
        <x:f>IF(J47&lt;=0,"无部署预算",K47/J47)</x:f>
        <x:v>1.7161932655376633</x:v>
      </x:c>
      <x:c r="M47" s="18" t="n">
        <x:f>IF(E47=0,0,B47+'单位战力'!H20+'单位战力'!H20+'单位战力'!H21)</x:f>
        <x:v>9</x:v>
      </x:c>
      <x:c r="N47" s="18" t="n">
        <x:v>45</x:v>
      </x:c>
      <x:c r="O47" s="6" t="str">
        <x:v>res://data/levels/level_003.tres</x:v>
      </x:c>
      <x:c r="P47" s="6" t="str">
        <x:v>战力含本轮重复成长</x:v>
      </x:c>
    </x:row>
    <x:row r="48" ht="24" customHeight="1">
      <x:c r="A48" s="6" t="str">
        <x:v>level_003</x:v>
      </x:c>
      <x:c r="B48" s="18" t="n">
        <x:v>6</x:v>
      </x:c>
      <x:c r="C48" s="18" t="n">
        <x:v>3</x:v>
      </x:c>
      <x:c r="D48" s="18" t="n">
        <x:v>1</x:v>
      </x:c>
      <x:c r="E48" s="18" t="n">
        <x:v>2</x:v>
      </x:c>
      <x:c r="F48" s="18" t="n">
        <x:f>MIN('调参总览'!$B$15+(B48-1)*'调参总览'!$B$16,'调参总览'!$B$17)</x:f>
        <x:v>8</x:v>
      </x:c>
      <x:c r="G48" s="18" t="n">
        <x:f>(INT(B48*'调参总览'!$B$18/'调参总览'!$B$20)-INT((B48-1)*'调参总览'!$B$18/'调参总览'!$B$20))*'调参总览'!$B$21+'调参总览'!$B$19</x:f>
        <x:v>1</x:v>
      </x:c>
      <x:c r="H48" s="6" t="n">
        <x:f>'调参总览'!$B$34+(B48-1)*'调参总览'!$B$26</x:f>
        <x:v>2.75</x:v>
      </x:c>
      <x:c r="I48" s="6" t="n">
        <x:f>MIN((F48+G48)*'调参总览'!$B$25/H48,'调参总览'!$B$18*'调参总览'!$B$23/'调参总览'!$B$22)</x:f>
        <x:v>2.290909090909091</x:v>
      </x:c>
      <x:c r="J48" s="6" t="n">
        <x:f>I48*'单位战力'!$P$23</x:f>
        <x:v>2.290909090909091</x:v>
      </x:c>
      <x:c r="K48" s="6" t="n">
        <x:f>'单位战力'!P20*SQRT(('单位战力'!D20+D48*0)/'单位战力'!D20*MAX('调参总览'!$B$10-'单位战力'!F20,1)/MAX('调参总览'!$B$10-'单位战力'!F20-D48*0,1)*MAX('单位战力'!E20+D48*2-'调参总览'!$B$11,1)/MAX('单位战力'!E20-'调参总览'!$B$11,1))+'单位战力'!P21*SQRT(('单位战力'!D21+D48*0)/'单位战力'!D21*MAX('调参总览'!$B$10-'单位战力'!F21,1)/MAX('调参总览'!$B$10-'单位战力'!F21-D48*0,1)*MAX('单位战力'!E21+D48*2-'调参总览'!$B$11,1)/MAX('单位战力'!E21-'调参总览'!$B$11,1))</x:f>
        <x:v>2.564659327038659</x:v>
      </x:c>
      <x:c r="L48" s="6" t="n">
        <x:f>IF(J48&lt;=0,"无部署预算",K48/J48)</x:f>
        <x:v>1.1194941506914782</x:v>
      </x:c>
      <x:c r="M48" s="18" t="n">
        <x:f>IF(E48=0,0,B48+'单位战力'!H20+'单位战力'!H21)</x:f>
        <x:v>9</x:v>
      </x:c>
      <x:c r="N48" s="18" t="n">
        <x:v>45</x:v>
      </x:c>
      <x:c r="O48" s="6" t="str">
        <x:v>res://data/levels/level_003.tres</x:v>
      </x:c>
      <x:c r="P48" s="6" t="str">
        <x:v>战力含本轮重复成长</x:v>
      </x:c>
    </x:row>
    <x:row r="49" ht="24" customHeight="1">
      <x:c r="A49" s="6" t="str">
        <x:v>level_003</x:v>
      </x:c>
      <x:c r="B49" s="18" t="n">
        <x:v>7</x:v>
      </x:c>
      <x:c r="C49" s="18" t="n">
        <x:v>4</x:v>
      </x:c>
      <x:c r="D49" s="18" t="n">
        <x:v>1</x:v>
      </x:c>
      <x:c r="E49" s="18" t="n">
        <x:v>2</x:v>
      </x:c>
      <x:c r="F49" s="18" t="n">
        <x:f>MIN('调参总览'!$B$15+(B49-1)*'调参总览'!$B$16,'调参总览'!$B$17)</x:f>
        <x:v>9</x:v>
      </x:c>
      <x:c r="G49" s="18" t="n">
        <x:f>(INT(B49*'调参总览'!$B$18/'调参总览'!$B$20)-INT((B49-1)*'调参总览'!$B$18/'调参总览'!$B$20))*'调参总览'!$B$21+'调参总览'!$B$19</x:f>
        <x:v>0</x:v>
      </x:c>
      <x:c r="H49" s="6" t="n">
        <x:f>'调参总览'!$B$34+(B49-1)*'调参总览'!$B$26</x:f>
        <x:v>3.0999999999999996</x:v>
      </x:c>
      <x:c r="I49" s="6" t="n">
        <x:f>MIN((F49+G49)*'调参总览'!$B$25/H49,'调参总览'!$B$18*'调参总览'!$B$23/'调参总览'!$B$22)</x:f>
        <x:v>2.032258064516129</x:v>
      </x:c>
      <x:c r="J49" s="6" t="n">
        <x:f>I49*'单位战力'!$P$23</x:f>
        <x:v>2.032258064516129</x:v>
      </x:c>
      <x:c r="K49" s="6" t="n">
        <x:f>'单位战力'!P20*SQRT(('单位战力'!D20+D49*0)/'单位战力'!D20*MAX('调参总览'!$B$10-'单位战力'!F20,1)/MAX('调参总览'!$B$10-'单位战力'!F20-D49*0,1)*MAX('单位战力'!E20+D49*2-'调参总览'!$B$11,1)/MAX('单位战力'!E20-'调参总览'!$B$11,1))+'单位战力'!P20*SQRT(('单位战力'!D20+D49*0)/'单位战力'!D20*MAX('调参总览'!$B$10-'单位战力'!F20,1)/MAX('调参总览'!$B$10-'单位战力'!F20-D49*0,1)*MAX('单位战力'!E20+D49*2-'调参总览'!$B$11,1)/MAX('单位战力'!E20-'调参总览'!$B$11,1))</x:f>
        <x:v>2.5473297566057065</x:v>
      </x:c>
      <x:c r="L49" s="6" t="n">
        <x:f>IF(J49&lt;=0,"无部署预算",K49/J49)</x:f>
        <x:v>1.2534479754726493</x:v>
      </x:c>
      <x:c r="M49" s="18" t="n">
        <x:f>IF(E49=0,0,B49+'单位战力'!H20+'单位战力'!H20)</x:f>
        <x:v>9</x:v>
      </x:c>
      <x:c r="N49" s="18" t="n">
        <x:v>45</x:v>
      </x:c>
      <x:c r="O49" s="6" t="str">
        <x:v>res://data/levels/level_003.tres</x:v>
      </x:c>
      <x:c r="P49" s="6" t="str">
        <x:v>战力含本轮重复成长</x:v>
      </x:c>
    </x:row>
    <x:row r="50" ht="24" customHeight="1">
      <x:c r="A50" s="6" t="str">
        <x:v>level_003</x:v>
      </x:c>
      <x:c r="B50" s="18" t="n">
        <x:v>8</x:v>
      </x:c>
      <x:c r="C50" s="18" t="n">
        <x:v>5</x:v>
      </x:c>
      <x:c r="D50" s="18" t="n">
        <x:v>1</x:v>
      </x:c>
      <x:c r="E50" s="18" t="n">
        <x:v>3</x:v>
      </x:c>
      <x:c r="F50" s="18" t="n">
        <x:f>MIN('调参总览'!$B$15+(B50-1)*'调参总览'!$B$16,'调参总览'!$B$17)</x:f>
        <x:v>10</x:v>
      </x:c>
      <x:c r="G50" s="18" t="n">
        <x:f>(INT(B50*'调参总览'!$B$18/'调参总览'!$B$20)-INT((B50-1)*'调参总览'!$B$18/'调参总览'!$B$20))*'调参总览'!$B$21+'调参总览'!$B$19</x:f>
        <x:v>1</x:v>
      </x:c>
      <x:c r="H50" s="6" t="n">
        <x:f>'调参总览'!$B$34+(B50-1)*'调参总览'!$B$26</x:f>
        <x:v>3.4499999999999997</x:v>
      </x:c>
      <x:c r="I50" s="6" t="n">
        <x:f>MIN((F50+G50)*'调参总览'!$B$25/H50,'调参总览'!$B$18*'调参总览'!$B$23/'调参总览'!$B$22)</x:f>
        <x:v>2.2318840579710146</x:v>
      </x:c>
      <x:c r="J50" s="6" t="n">
        <x:f>I50*'单位战力'!$P$23</x:f>
        <x:v>2.2318840579710146</x:v>
      </x:c>
      <x:c r="K50" s="6" t="n">
        <x:f>'单位战力'!P20*SQRT(('单位战力'!D20+D50*0)/'单位战力'!D20*MAX('调参总览'!$B$10-'单位战力'!F20,1)/MAX('调参总览'!$B$10-'单位战力'!F20-D50*0,1)*MAX('单位战力'!E20+D50*2-'调参总览'!$B$11,1)/MAX('单位战力'!E20-'调参总览'!$B$11,1))+'单位战力'!P20*SQRT(('单位战力'!D20+D50*0)/'单位战力'!D20*MAX('调参总览'!$B$10-'单位战力'!F20,1)/MAX('调参总览'!$B$10-'单位战力'!F20-D50*0,1)*MAX('单位战力'!E20+D50*2-'调参总览'!$B$11,1)/MAX('单位战力'!E20-'调参总览'!$B$11,1))+'单位战力'!P21*SQRT(('单位战力'!D21+D50*0)/'单位战力'!D21*MAX('调参总览'!$B$10-'单位战力'!F21,1)/MAX('调参总览'!$B$10-'单位战力'!F21-D50*0,1)*MAX('单位战力'!E21+D50*2-'调参总览'!$B$11,1)/MAX('单位战力'!E21-'调参总览'!$B$11,1))</x:f>
        <x:v>3.838324205341512</x:v>
      </x:c>
      <x:c r="L50" s="6" t="n">
        <x:f>IF(J50&lt;=0,"无部署预算",K50/J50)</x:f>
        <x:v>1.7197686374582097</x:v>
      </x:c>
      <x:c r="M50" s="18" t="n">
        <x:f>IF(E50=0,0,B50+'单位战力'!H20+'单位战力'!H20+'单位战力'!H21)</x:f>
        <x:v>12</x:v>
      </x:c>
      <x:c r="N50" s="18" t="n">
        <x:v>45</x:v>
      </x:c>
      <x:c r="O50" s="6" t="str">
        <x:v>res://data/levels/level_003.tres</x:v>
      </x:c>
      <x:c r="P50" s="6" t="str">
        <x:v>战力含本轮重复成长</x:v>
      </x:c>
    </x:row>
    <x:row r="51" ht="24" customHeight="1">
      <x:c r="A51" s="6" t="str">
        <x:v>level_003</x:v>
      </x:c>
      <x:c r="B51" s="18" t="n">
        <x:v>9</x:v>
      </x:c>
      <x:c r="C51" s="18" t="n">
        <x:v>3</x:v>
      </x:c>
      <x:c r="D51" s="18" t="n">
        <x:v>2</x:v>
      </x:c>
      <x:c r="E51" s="18" t="n">
        <x:v>2</x:v>
      </x:c>
      <x:c r="F51" s="18" t="n">
        <x:f>MIN('调参总览'!$B$15+(B51-1)*'调参总览'!$B$16,'调参总览'!$B$17)</x:f>
        <x:v>10</x:v>
      </x:c>
      <x:c r="G51" s="18" t="n">
        <x:f>(INT(B51*'调参总览'!$B$18/'调参总览'!$B$20)-INT((B51-1)*'调参总览'!$B$18/'调参总览'!$B$20))*'调参总览'!$B$21+'调参总览'!$B$19</x:f>
        <x:v>0</x:v>
      </x:c>
      <x:c r="H51" s="6" t="n">
        <x:f>'调参总览'!$B$34+(B51-1)*'调参总览'!$B$26</x:f>
        <x:v>3.8</x:v>
      </x:c>
      <x:c r="I51" s="6" t="n">
        <x:f>MIN((F51+G51)*'调参总览'!$B$25/H51,'调参总览'!$B$18*'调参总览'!$B$23/'调参总览'!$B$22)</x:f>
        <x:v>1.842105263157895</x:v>
      </x:c>
      <x:c r="J51" s="6" t="n">
        <x:f>I51*'单位战力'!$P$23</x:f>
        <x:v>1.842105263157895</x:v>
      </x:c>
      <x:c r="K51" s="6" t="n">
        <x:f>'单位战力'!P20*SQRT(('单位战力'!D20+D51*0)/'单位战力'!D20*MAX('调参总览'!$B$10-'单位战力'!F20,1)/MAX('调参总览'!$B$10-'单位战力'!F20-D51*0,1)*MAX('单位战力'!E20+D51*2-'调参总览'!$B$11,1)/MAX('单位战力'!E20-'调参总览'!$B$11,1))+'单位战力'!P21*SQRT(('单位战力'!D21+D51*0)/'单位战力'!D21*MAX('调参总览'!$B$10-'单位战力'!F21,1)/MAX('调参总览'!$B$10-'单位战力'!F21-D51*0,1)*MAX('单位战力'!E21+D51*2-'调参总览'!$B$11,1)/MAX('单位战力'!E21-'调参总览'!$B$11,1))</x:f>
        <x:v>2.770148679715125</x:v>
      </x:c>
      <x:c r="L51" s="6" t="n">
        <x:f>IF(J51&lt;=0,"无部署预算",K51/J51)</x:f>
        <x:v>1.5037949975596392</x:v>
      </x:c>
      <x:c r="M51" s="18" t="n">
        <x:f>IF(E51=0,0,B51+'单位战力'!H20+'单位战力'!H21)</x:f>
        <x:v>12</x:v>
      </x:c>
      <x:c r="N51" s="18" t="n">
        <x:v>45</x:v>
      </x:c>
      <x:c r="O51" s="6" t="str">
        <x:v>res://data/levels/level_003.tres</x:v>
      </x:c>
      <x:c r="P51" s="6" t="str">
        <x:v>战力含本轮重复成长</x:v>
      </x:c>
    </x:row>
    <x:row r="52" ht="24" customHeight="1">
      <x:c r="A52" s="6" t="str">
        <x:v>level_003</x:v>
      </x:c>
      <x:c r="B52" s="18" t="n">
        <x:v>10</x:v>
      </x:c>
      <x:c r="C52" s="18" t="n">
        <x:v>4</x:v>
      </x:c>
      <x:c r="D52" s="18" t="n">
        <x:v>2</x:v>
      </x:c>
      <x:c r="E52" s="18" t="n">
        <x:v>2</x:v>
      </x:c>
      <x:c r="F52" s="18" t="n">
        <x:f>MIN('调参总览'!$B$15+(B52-1)*'调参总览'!$B$16,'调参总览'!$B$17)</x:f>
        <x:v>10</x:v>
      </x:c>
      <x:c r="G52" s="18" t="n">
        <x:f>(INT(B52*'调参总览'!$B$18/'调参总览'!$B$20)-INT((B52-1)*'调参总览'!$B$18/'调参总览'!$B$20))*'调参总览'!$B$21+'调参总览'!$B$19</x:f>
        <x:v>1</x:v>
      </x:c>
      <x:c r="H52" s="6" t="n">
        <x:f>'调参总览'!$B$34+(B52-1)*'调参总览'!$B$26</x:f>
        <x:v>4.15</x:v>
      </x:c>
      <x:c r="I52" s="6" t="n">
        <x:f>MIN((F52+G52)*'调参总览'!$B$25/H52,'调参总览'!$B$18*'调参总览'!$B$23/'调参总览'!$B$22)</x:f>
        <x:v>1.8554216867469877</x:v>
      </x:c>
      <x:c r="J52" s="6" t="n">
        <x:f>I52*'单位战力'!$P$23</x:f>
        <x:v>1.8554216867469877</x:v>
      </x:c>
      <x:c r="K52" s="6" t="n">
        <x:f>'单位战力'!P20*SQRT(('单位战力'!D20+D52*0)/'单位战力'!D20*MAX('调参总览'!$B$10-'单位战力'!F20,1)/MAX('调参总览'!$B$10-'单位战力'!F20-D52*0,1)*MAX('单位战力'!E20+D52*2-'调参总览'!$B$11,1)/MAX('单位战力'!E20-'调参总览'!$B$11,1))+'单位战力'!P20*SQRT(('单位战力'!D20+D52*0)/'单位战力'!D20*MAX('调参总览'!$B$10-'单位战力'!F20,1)/MAX('调参总览'!$B$10-'单位战力'!F20-D52*0,1)*MAX('单位战力'!E20+D52*2-'调参总览'!$B$11,1)/MAX('单位战力'!E20-'调参总览'!$B$11,1))</x:f>
        <x:v>2.751430604316665</x:v>
      </x:c>
      <x:c r="L52" s="6" t="n">
        <x:f>IF(J52&lt;=0,"无部署预算",K52/J52)</x:f>
        <x:v>1.4829138971317093</x:v>
      </x:c>
      <x:c r="M52" s="18" t="n">
        <x:f>IF(E52=0,0,B52+'单位战力'!H20+'单位战力'!H20)</x:f>
        <x:v>12</x:v>
      </x:c>
      <x:c r="N52" s="18" t="n">
        <x:v>45</x:v>
      </x:c>
      <x:c r="O52" s="6" t="str">
        <x:v>res://data/levels/level_003.tres</x:v>
      </x:c>
      <x:c r="P52" s="6" t="str">
        <x:v>战力含本轮重复成长</x:v>
      </x:c>
    </x:row>
    <x:row r="53" ht="24" customHeight="1">
      <x:c r="A53" s="6" t="str">
        <x:v>level_003</x:v>
      </x:c>
      <x:c r="B53" s="18" t="n">
        <x:v>11</x:v>
      </x:c>
      <x:c r="C53" s="18" t="n">
        <x:v>5</x:v>
      </x:c>
      <x:c r="D53" s="18" t="n">
        <x:v>2</x:v>
      </x:c>
      <x:c r="E53" s="18" t="n">
        <x:v>3</x:v>
      </x:c>
      <x:c r="F53" s="18" t="n">
        <x:f>MIN('调参总览'!$B$15+(B53-1)*'调参总览'!$B$16,'调参总览'!$B$17)</x:f>
        <x:v>10</x:v>
      </x:c>
      <x:c r="G53" s="18" t="n">
        <x:f>(INT(B53*'调参总览'!$B$18/'调参总览'!$B$20)-INT((B53-1)*'调参总览'!$B$18/'调参总览'!$B$20))*'调参总览'!$B$21+'调参总览'!$B$19</x:f>
        <x:v>0</x:v>
      </x:c>
      <x:c r="H53" s="6" t="n">
        <x:f>'调参总览'!$B$34+(B53-1)*'调参总览'!$B$26</x:f>
        <x:v>4.5</x:v>
      </x:c>
      <x:c r="I53" s="6" t="n">
        <x:f>MIN((F53+G53)*'调参总览'!$B$25/H53,'调参总览'!$B$18*'调参总览'!$B$23/'调参总览'!$B$22)</x:f>
        <x:v>1.5555555555555556</x:v>
      </x:c>
      <x:c r="J53" s="6" t="n">
        <x:f>I53*'单位战力'!$P$23</x:f>
        <x:v>1.5555555555555556</x:v>
      </x:c>
      <x:c r="K53" s="6" t="n">
        <x:f>'单位战力'!P20*SQRT(('单位战力'!D20+D53*0)/'单位战力'!D20*MAX('调参总览'!$B$10-'单位战力'!F20,1)/MAX('调参总览'!$B$10-'单位战力'!F20-D53*0,1)*MAX('单位战力'!E20+D53*2-'调参总览'!$B$11,1)/MAX('单位战力'!E20-'调参总览'!$B$11,1))+'单位战力'!P20*SQRT(('单位战力'!D20+D53*0)/'单位战力'!D20*MAX('调参总览'!$B$10-'单位战力'!F20,1)/MAX('调参总览'!$B$10-'单位战力'!F20-D53*0,1)*MAX('单位战力'!E20+D53*2-'调参总览'!$B$11,1)/MAX('单位战力'!E20-'调参总览'!$B$11,1))+'单位战力'!P21*SQRT(('单位战力'!D21+D53*0)/'单位战力'!D21*MAX('调参总览'!$B$10-'单位战力'!F21,1)/MAX('调参总览'!$B$10-'单位战力'!F21-D53*0,1)*MAX('单位战力'!E21+D53*2-'调参总览'!$B$11,1)/MAX('单位战力'!E21-'调参总览'!$B$11,1))</x:f>
        <x:v>4.1458639818734575</x:v>
      </x:c>
      <x:c r="L53" s="6" t="n">
        <x:f>IF(J53&lt;=0,"无部署预算",K53/J53)</x:f>
        <x:v>2.6651982740615083</x:v>
      </x:c>
      <x:c r="M53" s="18" t="n">
        <x:f>IF(E53=0,0,B53+'单位战力'!H20+'单位战力'!H20+'单位战力'!H21)</x:f>
        <x:v>15</x:v>
      </x:c>
      <x:c r="N53" s="18" t="n">
        <x:v>45</x:v>
      </x:c>
      <x:c r="O53" s="6" t="str">
        <x:v>res://data/levels/level_003.tres</x:v>
      </x:c>
      <x:c r="P53" s="6" t="str">
        <x:v>战力含本轮重复成长</x:v>
      </x:c>
    </x:row>
    <x:row r="54" ht="24" customHeight="1">
      <x:c r="A54" s="6" t="str">
        <x:v>level_003</x:v>
      </x:c>
      <x:c r="B54" s="18" t="n">
        <x:v>12</x:v>
      </x:c>
      <x:c r="C54" s="18" t="n">
        <x:v>3</x:v>
      </x:c>
      <x:c r="D54" s="18" t="n">
        <x:v>3</x:v>
      </x:c>
      <x:c r="E54" s="18" t="n">
        <x:v>2</x:v>
      </x:c>
      <x:c r="F54" s="18" t="n">
        <x:f>MIN('调参总览'!$B$15+(B54-1)*'调参总览'!$B$16,'调参总览'!$B$17)</x:f>
        <x:v>10</x:v>
      </x:c>
      <x:c r="G54" s="18" t="n">
        <x:f>(INT(B54*'调参总览'!$B$18/'调参总览'!$B$20)-INT((B54-1)*'调参总览'!$B$18/'调参总览'!$B$20))*'调参总览'!$B$21+'调参总览'!$B$19</x:f>
        <x:v>1</x:v>
      </x:c>
      <x:c r="H54" s="6" t="n">
        <x:f>'调参总览'!$B$34+(B54-1)*'调参总览'!$B$26</x:f>
        <x:v>4.85</x:v>
      </x:c>
      <x:c r="I54" s="6" t="n">
        <x:f>MIN((F54+G54)*'调参总览'!$B$25/H54,'调参总览'!$B$18*'调参总览'!$B$23/'调参总览'!$B$22)</x:f>
        <x:v>1.5876288659793814</x:v>
      </x:c>
      <x:c r="J54" s="6" t="n">
        <x:f>I54*'单位战力'!$P$23</x:f>
        <x:v>1.5876288659793814</x:v>
      </x:c>
      <x:c r="K54" s="6" t="n">
        <x:f>'单位战力'!P20*SQRT(('单位战力'!D20+D54*0)/'单位战力'!D20*MAX('调参总览'!$B$10-'单位战力'!F20,1)/MAX('调参总览'!$B$10-'单位战力'!F20-D54*0,1)*MAX('单位战力'!E20+D54*2-'调参总览'!$B$11,1)/MAX('单位战力'!E20-'调参总览'!$B$11,1))+'单位战力'!P21*SQRT(('单位战力'!D21+D54*0)/'单位战力'!D21*MAX('调参总览'!$B$10-'单位战力'!F21,1)/MAX('调参总览'!$B$10-'单位战力'!F21-D54*0,1)*MAX('单位战力'!E21+D54*2-'调参总览'!$B$11,1)/MAX('单位战力'!E21-'调参总览'!$B$11,1))</x:f>
        <x:v>2.961413505690908</x:v>
      </x:c>
      <x:c r="L54" s="6" t="n">
        <x:f>IF(J54&lt;=0,"无部署预算",K54/J54)</x:f>
        <x:v>1.865305909428689</x:v>
      </x:c>
      <x:c r="M54" s="18" t="n">
        <x:f>IF(E54=0,0,B54+'单位战力'!H20+'单位战力'!H21)</x:f>
        <x:v>15</x:v>
      </x:c>
      <x:c r="N54" s="18" t="n">
        <x:v>45</x:v>
      </x:c>
      <x:c r="O54" s="6" t="str">
        <x:v>res://data/levels/level_003.tres</x:v>
      </x:c>
      <x:c r="P54" s="6" t="str">
        <x:v>战力含本轮重复成长</x:v>
      </x:c>
    </x:row>
    <x:row r="55" ht="24" customHeight="1">
      <x:c r="A55" s="6" t="str">
        <x:v>level_template</x:v>
      </x:c>
      <x:c r="B55" s="18" t="n">
        <x:v>1</x:v>
      </x:c>
      <x:c r="C55" s="18" t="n">
        <x:v>1</x:v>
      </x:c>
      <x:c r="D55" s="18" t="n">
        <x:v>0</x:v>
      </x:c>
      <x:c r="E55" s="18" t="n">
        <x:v>5</x:v>
      </x:c>
      <x:c r="F55" s="18" t="n">
        <x:f>MIN('调参总览'!$B$15+(B55-1)*'调参总览'!$B$16,'调参总览'!$B$17)</x:f>
        <x:v>3</x:v>
      </x:c>
      <x:c r="G55" s="18" t="n">
        <x:f>(INT(B55*'调参总览'!$B$18/'调参总览'!$B$20)-INT((B55-1)*'调参总览'!$B$18/'调参总览'!$B$20))*'调参总览'!$B$21+'调参总览'!$B$19</x:f>
        <x:v>0</x:v>
      </x:c>
      <x:c r="H55" s="6" t="n">
        <x:f>'调参总览'!$B$34+(B55-1)*'调参总览'!$B$26</x:f>
        <x:v>1</x:v>
      </x:c>
      <x:c r="I55" s="6" t="n">
        <x:f>MIN((F55+G55)*'调参总览'!$B$25/H55,'调参总览'!$B$18*'调参总览'!$B$23/'调参总览'!$B$22)</x:f>
        <x:v>2.0999999999999996</x:v>
      </x:c>
      <x:c r="J55" s="6" t="n">
        <x:f>I55*'单位战力'!$P$23</x:f>
        <x:v>2.0999999999999996</x:v>
      </x:c>
      <x:c r="K55" s="6" t="n">
        <x:f>'单位战力'!P17*SQRT(('单位战力'!D17+D55*0)/'单位战力'!D17*MAX('调参总览'!$B$10-'单位战力'!F17,1)/MAX('调参总览'!$B$10-'单位战力'!F17-D55*0,1)*MAX('单位战力'!E17+D55*0-'调参总览'!$B$11,1)/MAX('单位战力'!E17-'调参总览'!$B$11,1))+'单位战力'!P17*SQRT(('单位战力'!D17+D55*0)/'单位战力'!D17*MAX('调参总览'!$B$10-'单位战力'!F17,1)/MAX('调参总览'!$B$10-'单位战力'!F17-D55*0,1)*MAX('单位战力'!E17+D55*0-'调参总览'!$B$11,1)/MAX('单位战力'!E17-'调参总览'!$B$11,1))+'单位战力'!P17*SQRT(('单位战力'!D17+D55*0)/'单位战力'!D17*MAX('调参总览'!$B$10-'单位战力'!F17,1)/MAX('调参总览'!$B$10-'单位战力'!F17-D55*0,1)*MAX('单位战力'!E17+D55*0-'调参总览'!$B$11,1)/MAX('单位战力'!E17-'调参总览'!$B$11,1))+'单位战力'!P17*SQRT(('单位战力'!D17+D55*0)/'单位战力'!D17*MAX('调参总览'!$B$10-'单位战力'!F17,1)/MAX('调参总览'!$B$10-'单位战力'!F17-D55*0,1)*MAX('单位战力'!E17+D55*0-'调参总览'!$B$11,1)/MAX('单位战力'!E17-'调参总览'!$B$11,1))+'单位战力'!P17*SQRT(('单位战力'!D17+D55*0)/'单位战力'!D17*MAX('调参总览'!$B$10-'单位战力'!F17,1)/MAX('调参总览'!$B$10-'单位战力'!F17-D55*0,1)*MAX('单位战力'!E17+D55*0-'调参总览'!$B$11,1)/MAX('单位战力'!E17-'调参总览'!$B$11,1))</x:f>
        <x:v>6.291528696058958</x:v>
      </x:c>
      <x:c r="L55" s="6" t="n">
        <x:f>IF(J55&lt;=0,"无部署预算",K55/J55)</x:f>
        <x:v>2.995966045742361</x:v>
      </x:c>
      <x:c r="M55" s="18" t="n">
        <x:f>IF(E55=0,0,B55+'单位战力'!H17+'单位战力'!H17+'单位战力'!H17+'单位战力'!H17+'单位战力'!H17)</x:f>
        <x:v>6</x:v>
      </x:c>
      <x:c r="N55" s="18" t="n">
        <x:v>45</x:v>
      </x:c>
      <x:c r="O55" s="6" t="str">
        <x:v>res://data/levels/level_template.tres</x:v>
      </x:c>
      <x:c r="P55" s="6" t="str">
        <x:v>战力含本轮重复成长</x:v>
      </x:c>
    </x:row>
    <x:row r="56" ht="24" customHeight="1">
      <x:c r="A56" s="6" t="str">
        <x:v>level_template</x:v>
      </x:c>
      <x:c r="B56" s="18" t="n">
        <x:v>2</x:v>
      </x:c>
      <x:c r="C56" s="18" t="n">
        <x:v>2</x:v>
      </x:c>
      <x:c r="D56" s="18" t="n">
        <x:v>0</x:v>
      </x:c>
      <x:c r="E56" s="18" t="n">
        <x:v>5</x:v>
      </x:c>
      <x:c r="F56" s="18" t="n">
        <x:f>MIN('调参总览'!$B$15+(B56-1)*'调参总览'!$B$16,'调参总览'!$B$17)</x:f>
        <x:v>4</x:v>
      </x:c>
      <x:c r="G56" s="18" t="n">
        <x:f>(INT(B56*'调参总览'!$B$18/'调参总览'!$B$20)-INT((B56-1)*'调参总览'!$B$18/'调参总览'!$B$20))*'调参总览'!$B$21+'调参总览'!$B$19</x:f>
        <x:v>1</x:v>
      </x:c>
      <x:c r="H56" s="6" t="n">
        <x:f>'调参总览'!$B$34+(B56-1)*'调参总览'!$B$26</x:f>
        <x:v>1.35</x:v>
      </x:c>
      <x:c r="I56" s="6" t="n">
        <x:f>MIN((F56+G56)*'调参总览'!$B$25/H56,'调参总览'!$B$18*'调参总览'!$B$23/'调参总览'!$B$22)</x:f>
        <x:v>2.5</x:v>
      </x:c>
      <x:c r="J56" s="6" t="n">
        <x:f>I56*'单位战力'!$P$23</x:f>
        <x:v>2.5</x:v>
      </x:c>
      <x:c r="K56" s="6" t="n">
        <x:f>'单位战力'!P17*SQRT(('单位战力'!D17+D56*0)/'单位战力'!D17*MAX('调参总览'!$B$10-'单位战力'!F17,1)/MAX('调参总览'!$B$10-'单位战力'!F17-D56*0,1)*MAX('单位战力'!E17+D56*0-'调参总览'!$B$11,1)/MAX('单位战力'!E17-'调参总览'!$B$11,1))+'单位战力'!P17*SQRT(('单位战力'!D17+D56*0)/'单位战力'!D17*MAX('调参总览'!$B$10-'单位战力'!F17,1)/MAX('调参总览'!$B$10-'单位战力'!F17-D56*0,1)*MAX('单位战力'!E17+D56*0-'调参总览'!$B$11,1)/MAX('单位战力'!E17-'调参总览'!$B$11,1))+'单位战力'!P17*SQRT(('单位战力'!D17+D56*0)/'单位战力'!D17*MAX('调参总览'!$B$10-'单位战力'!F17,1)/MAX('调参总览'!$B$10-'单位战力'!F17-D56*0,1)*MAX('单位战力'!E17+D56*0-'调参总览'!$B$11,1)/MAX('单位战力'!E17-'调参总览'!$B$11,1))+'单位战力'!P17*SQRT(('单位战力'!D17+D56*0)/'单位战力'!D17*MAX('调参总览'!$B$10-'单位战力'!F17,1)/MAX('调参总览'!$B$10-'单位战力'!F17-D56*0,1)*MAX('单位战力'!E17+D56*0-'调参总览'!$B$11,1)/MAX('单位战力'!E17-'调参总览'!$B$11,1))+'单位战力'!P17*SQRT(('单位战力'!D17+D56*0)/'单位战力'!D17*MAX('调参总览'!$B$10-'单位战力'!F17,1)/MAX('调参总览'!$B$10-'单位战力'!F17-D56*0,1)*MAX('单位战力'!E17+D56*0-'调参总览'!$B$11,1)/MAX('单位战力'!E17-'调参总览'!$B$11,1))</x:f>
        <x:v>6.291528696058958</x:v>
      </x:c>
      <x:c r="L56" s="6" t="n">
        <x:f>IF(J56&lt;=0,"无部署预算",K56/J56)</x:f>
        <x:v>2.516611478423583</x:v>
      </x:c>
      <x:c r="M56" s="18" t="n">
        <x:f>IF(E56=0,0,B56+'单位战力'!H17+'单位战力'!H17+'单位战力'!H17+'单位战力'!H17+'单位战力'!H17)</x:f>
        <x:v>7</x:v>
      </x:c>
      <x:c r="N56" s="18" t="n">
        <x:v>45</x:v>
      </x:c>
      <x:c r="O56" s="6" t="str">
        <x:v>res://data/levels/level_template.tres</x:v>
      </x:c>
      <x:c r="P56" s="6" t="str">
        <x:v>战力含本轮重复成长</x:v>
      </x:c>
    </x:row>
    <x:row r="57" ht="24" customHeight="1">
      <x:c r="A57" s="6" t="str">
        <x:v>level_template</x:v>
      </x:c>
      <x:c r="B57" s="18" t="n">
        <x:v>3</x:v>
      </x:c>
      <x:c r="C57" s="18" t="n">
        <x:v>3</x:v>
      </x:c>
      <x:c r="D57" s="18" t="n">
        <x:v>0</x:v>
      </x:c>
      <x:c r="E57" s="18" t="n">
        <x:v>5</x:v>
      </x:c>
      <x:c r="F57" s="18" t="n">
        <x:f>MIN('调参总览'!$B$15+(B57-1)*'调参总览'!$B$16,'调参总览'!$B$17)</x:f>
        <x:v>5</x:v>
      </x:c>
      <x:c r="G57" s="18" t="n">
        <x:f>(INT(B57*'调参总览'!$B$18/'调参总览'!$B$20)-INT((B57-1)*'调参总览'!$B$18/'调参总览'!$B$20))*'调参总览'!$B$21+'调参总览'!$B$19</x:f>
        <x:v>0</x:v>
      </x:c>
      <x:c r="H57" s="6" t="n">
        <x:f>'调参总览'!$B$34+(B57-1)*'调参总览'!$B$26</x:f>
        <x:v>1.7</x:v>
      </x:c>
      <x:c r="I57" s="6" t="n">
        <x:f>MIN((F57+G57)*'调参总览'!$B$25/H57,'调参总览'!$B$18*'调参总览'!$B$23/'调参总览'!$B$22)</x:f>
        <x:v>2.058823529411765</x:v>
      </x:c>
      <x:c r="J57" s="6" t="n">
        <x:f>I57*'单位战力'!$P$23</x:f>
        <x:v>2.058823529411765</x:v>
      </x:c>
      <x:c r="K57" s="6" t="n">
        <x:f>'单位战力'!P17*SQRT(('单位战力'!D17+D57*0)/'单位战力'!D17*MAX('调参总览'!$B$10-'单位战力'!F17,1)/MAX('调参总览'!$B$10-'单位战力'!F17-D57*0,1)*MAX('单位战力'!E17+D57*0-'调参总览'!$B$11,1)/MAX('单位战力'!E17-'调参总览'!$B$11,1))+'单位战力'!P17*SQRT(('单位战力'!D17+D57*0)/'单位战力'!D17*MAX('调参总览'!$B$10-'单位战力'!F17,1)/MAX('调参总览'!$B$10-'单位战力'!F17-D57*0,1)*MAX('单位战力'!E17+D57*0-'调参总览'!$B$11,1)/MAX('单位战力'!E17-'调参总览'!$B$11,1))+'单位战力'!P17*SQRT(('单位战力'!D17+D57*0)/'单位战力'!D17*MAX('调参总览'!$B$10-'单位战力'!F17,1)/MAX('调参总览'!$B$10-'单位战力'!F17-D57*0,1)*MAX('单位战力'!E17+D57*0-'调参总览'!$B$11,1)/MAX('单位战力'!E17-'调参总览'!$B$11,1))+'单位战力'!P17*SQRT(('单位战力'!D17+D57*0)/'单位战力'!D17*MAX('调参总览'!$B$10-'单位战力'!F17,1)/MAX('调参总览'!$B$10-'单位战力'!F17-D57*0,1)*MAX('单位战力'!E17+D57*0-'调参总览'!$B$11,1)/MAX('单位战力'!E17-'调参总览'!$B$11,1))+'单位战力'!P17*SQRT(('单位战力'!D17+D57*0)/'单位战力'!D17*MAX('调参总览'!$B$10-'单位战力'!F17,1)/MAX('调参总览'!$B$10-'单位战力'!F17-D57*0,1)*MAX('单位战力'!E17+D57*0-'调参总览'!$B$11,1)/MAX('单位战力'!E17-'调参总览'!$B$11,1))</x:f>
        <x:v>6.291528696058958</x:v>
      </x:c>
      <x:c r="L57" s="6" t="n">
        <x:f>IF(J57&lt;=0,"无部署预算",K57/J57)</x:f>
        <x:v>3.0558853666572077</x:v>
      </x:c>
      <x:c r="M57" s="18" t="n">
        <x:f>IF(E57=0,0,B57+'单位战力'!H17+'单位战力'!H17+'单位战力'!H17+'单位战力'!H17+'单位战力'!H17)</x:f>
        <x:v>8</x:v>
      </x:c>
      <x:c r="N57" s="18" t="n">
        <x:v>45</x:v>
      </x:c>
      <x:c r="O57" s="6" t="str">
        <x:v>res://data/levels/level_template.tres</x:v>
      </x:c>
      <x:c r="P57" s="6" t="str">
        <x:v>战力含本轮重复成长</x:v>
      </x:c>
    </x:row>
    <x:row r="58" ht="24" customHeight="1">
      <x:c r="A58" s="6" t="str">
        <x:v>level_template</x:v>
      </x:c>
      <x:c r="B58" s="18" t="n">
        <x:v>4</x:v>
      </x:c>
      <x:c r="C58" s="18" t="n">
        <x:v>3</x:v>
      </x:c>
      <x:c r="D58" s="18" t="n">
        <x:v>0</x:v>
      </x:c>
      <x:c r="E58" s="18" t="n">
        <x:v>5</x:v>
      </x:c>
      <x:c r="F58" s="18" t="n">
        <x:f>MIN('调参总览'!$B$15+(B58-1)*'调参总览'!$B$16,'调参总览'!$B$17)</x:f>
        <x:v>6</x:v>
      </x:c>
      <x:c r="G58" s="18" t="n">
        <x:f>(INT(B58*'调参总览'!$B$18/'调参总览'!$B$20)-INT((B58-1)*'调参总览'!$B$18/'调参总览'!$B$20))*'调参总览'!$B$21+'调参总览'!$B$19</x:f>
        <x:v>1</x:v>
      </x:c>
      <x:c r="H58" s="6" t="n">
        <x:f>'调参总览'!$B$34+(B58-1)*'调参总览'!$B$26</x:f>
        <x:v>2.05</x:v>
      </x:c>
      <x:c r="I58" s="6" t="n">
        <x:f>MIN((F58+G58)*'调参总览'!$B$25/H58,'调参总览'!$B$18*'调参总览'!$B$23/'调参总览'!$B$22)</x:f>
        <x:v>2.3902439024390243</x:v>
      </x:c>
      <x:c r="J58" s="6" t="n">
        <x:f>I58*'单位战力'!$P$23</x:f>
        <x:v>2.3902439024390243</x:v>
      </x:c>
      <x:c r="K58" s="6" t="n">
        <x:f>'单位战力'!P17*SQRT(('单位战力'!D17+D58*0)/'单位战力'!D17*MAX('调参总览'!$B$10-'单位战力'!F17,1)/MAX('调参总览'!$B$10-'单位战力'!F17-D58*0,1)*MAX('单位战力'!E17+D58*0-'调参总览'!$B$11,1)/MAX('单位战力'!E17-'调参总览'!$B$11,1))+'单位战力'!P17*SQRT(('单位战力'!D17+D58*0)/'单位战力'!D17*MAX('调参总览'!$B$10-'单位战力'!F17,1)/MAX('调参总览'!$B$10-'单位战力'!F17-D58*0,1)*MAX('单位战力'!E17+D58*0-'调参总览'!$B$11,1)/MAX('单位战力'!E17-'调参总览'!$B$11,1))+'单位战力'!P17*SQRT(('单位战力'!D17+D58*0)/'单位战力'!D17*MAX('调参总览'!$B$10-'单位战力'!F17,1)/MAX('调参总览'!$B$10-'单位战力'!F17-D58*0,1)*MAX('单位战力'!E17+D58*0-'调参总览'!$B$11,1)/MAX('单位战力'!E17-'调参总览'!$B$11,1))+'单位战力'!P17*SQRT(('单位战力'!D17+D58*0)/'单位战力'!D17*MAX('调参总览'!$B$10-'单位战力'!F17,1)/MAX('调参总览'!$B$10-'单位战力'!F17-D58*0,1)*MAX('单位战力'!E17+D58*0-'调参总览'!$B$11,1)/MAX('单位战力'!E17-'调参总览'!$B$11,1))+'单位战力'!P17*SQRT(('单位战力'!D17+D58*0)/'单位战力'!D17*MAX('调参总览'!$B$10-'单位战力'!F17,1)/MAX('调参总览'!$B$10-'单位战力'!F17-D58*0,1)*MAX('单位战力'!E17+D58*0-'调参总览'!$B$11,1)/MAX('单位战力'!E17-'调参总览'!$B$11,1))</x:f>
        <x:v>6.291528696058958</x:v>
      </x:c>
      <x:c r="L58" s="6" t="n">
        <x:f>IF(J58&lt;=0,"无部署预算",K58/J58)</x:f>
        <x:v>2.6321701687593597</x:v>
      </x:c>
      <x:c r="M58" s="18" t="n">
        <x:f>IF(E58=0,0,B58+'单位战力'!H17+'单位战力'!H17+'单位战力'!H17+'单位战力'!H17+'单位战力'!H17)</x:f>
        <x:v>9</x:v>
      </x:c>
      <x:c r="N58" s="18" t="n">
        <x:v>45</x:v>
      </x:c>
      <x:c r="O58" s="6" t="str">
        <x:v>res://data/levels/level_template.tres</x:v>
      </x:c>
      <x:c r="P58" s="6" t="str">
        <x:v>战力含本轮重复成长</x:v>
      </x:c>
    </x:row>
    <x:row r="59" ht="24" customHeight="1">
      <x:c r="A59" s="6" t="str">
        <x:v>level_template</x:v>
      </x:c>
      <x:c r="B59" s="18" t="n">
        <x:v>5</x:v>
      </x:c>
      <x:c r="C59" s="18" t="n">
        <x:v>3</x:v>
      </x:c>
      <x:c r="D59" s="18" t="n">
        <x:v>0</x:v>
      </x:c>
      <x:c r="E59" s="18" t="n">
        <x:v>5</x:v>
      </x:c>
      <x:c r="F59" s="18" t="n">
        <x:f>MIN('调参总览'!$B$15+(B59-1)*'调参总览'!$B$16,'调参总览'!$B$17)</x:f>
        <x:v>7</x:v>
      </x:c>
      <x:c r="G59" s="18" t="n">
        <x:f>(INT(B59*'调参总览'!$B$18/'调参总览'!$B$20)-INT((B59-1)*'调参总览'!$B$18/'调参总览'!$B$20))*'调参总览'!$B$21+'调参总览'!$B$19</x:f>
        <x:v>0</x:v>
      </x:c>
      <x:c r="H59" s="6" t="n">
        <x:f>'调参总览'!$B$34+(B59-1)*'调参总览'!$B$26</x:f>
        <x:v>2.4</x:v>
      </x:c>
      <x:c r="I59" s="6" t="n">
        <x:f>MIN((F59+G59)*'调参总览'!$B$25/H59,'调参总览'!$B$18*'调参总览'!$B$23/'调参总览'!$B$22)</x:f>
        <x:v>2.0416666666666665</x:v>
      </x:c>
      <x:c r="J59" s="6" t="n">
        <x:f>I59*'单位战力'!$P$23</x:f>
        <x:v>2.0416666666666665</x:v>
      </x:c>
      <x:c r="K59" s="6" t="n">
        <x:f>'单位战力'!P17*SQRT(('单位战力'!D17+D59*0)/'单位战力'!D17*MAX('调参总览'!$B$10-'单位战力'!F17,1)/MAX('调参总览'!$B$10-'单位战力'!F17-D59*0,1)*MAX('单位战力'!E17+D59*0-'调参总览'!$B$11,1)/MAX('单位战力'!E17-'调参总览'!$B$11,1))+'单位战力'!P17*SQRT(('单位战力'!D17+D59*0)/'单位战力'!D17*MAX('调参总览'!$B$10-'单位战力'!F17,1)/MAX('调参总览'!$B$10-'单位战力'!F17-D59*0,1)*MAX('单位战力'!E17+D59*0-'调参总览'!$B$11,1)/MAX('单位战力'!E17-'调参总览'!$B$11,1))+'单位战力'!P17*SQRT(('单位战力'!D17+D59*0)/'单位战力'!D17*MAX('调参总览'!$B$10-'单位战力'!F17,1)/MAX('调参总览'!$B$10-'单位战力'!F17-D59*0,1)*MAX('单位战力'!E17+D59*0-'调参总览'!$B$11,1)/MAX('单位战力'!E17-'调参总览'!$B$11,1))+'单位战力'!P17*SQRT(('单位战力'!D17+D59*0)/'单位战力'!D17*MAX('调参总览'!$B$10-'单位战力'!F17,1)/MAX('调参总览'!$B$10-'单位战力'!F17-D59*0,1)*MAX('单位战力'!E17+D59*0-'调参总览'!$B$11,1)/MAX('单位战力'!E17-'调参总览'!$B$11,1))+'单位战力'!P17*SQRT(('单位战力'!D17+D59*0)/'单位战力'!D17*MAX('调参总览'!$B$10-'单位战力'!F17,1)/MAX('调参总览'!$B$10-'单位战力'!F17-D59*0,1)*MAX('单位战力'!E17+D59*0-'调参总览'!$B$11,1)/MAX('单位战力'!E17-'调参总览'!$B$11,1))</x:f>
        <x:v>6.291528696058958</x:v>
      </x:c>
      <x:c r="L59" s="6" t="n">
        <x:f>IF(J59&lt;=0,"无部署预算",K59/J59)</x:f>
        <x:v>3.081565075620714</x:v>
      </x:c>
      <x:c r="M59" s="18" t="n">
        <x:f>IF(E59=0,0,B59+'单位战力'!H17+'单位战力'!H17+'单位战力'!H17+'单位战力'!H17+'单位战力'!H17)</x:f>
        <x:v>10</x:v>
      </x:c>
      <x:c r="N59" s="18" t="n">
        <x:v>45</x:v>
      </x:c>
      <x:c r="O59" s="6" t="str">
        <x:v>res://data/levels/level_template.tres</x:v>
      </x:c>
      <x:c r="P59" s="6" t="str">
        <x:v>战力含本轮重复成长</x:v>
      </x:c>
    </x:row>
    <x:row r="60" ht="24" customHeight="1">
      <x:c r="A60" s="6" t="str">
        <x:v>level_template</x:v>
      </x:c>
      <x:c r="B60" s="18" t="n">
        <x:v>6</x:v>
      </x:c>
      <x:c r="C60" s="18" t="n">
        <x:v>3</x:v>
      </x:c>
      <x:c r="D60" s="18" t="n">
        <x:v>0</x:v>
      </x:c>
      <x:c r="E60" s="18" t="n">
        <x:v>5</x:v>
      </x:c>
      <x:c r="F60" s="18" t="n">
        <x:f>MIN('调参总览'!$B$15+(B60-1)*'调参总览'!$B$16,'调参总览'!$B$17)</x:f>
        <x:v>8</x:v>
      </x:c>
      <x:c r="G60" s="18" t="n">
        <x:f>(INT(B60*'调参总览'!$B$18/'调参总览'!$B$20)-INT((B60-1)*'调参总览'!$B$18/'调参总览'!$B$20))*'调参总览'!$B$21+'调参总览'!$B$19</x:f>
        <x:v>1</x:v>
      </x:c>
      <x:c r="H60" s="6" t="n">
        <x:f>'调参总览'!$B$34+(B60-1)*'调参总览'!$B$26</x:f>
        <x:v>2.75</x:v>
      </x:c>
      <x:c r="I60" s="6" t="n">
        <x:f>MIN((F60+G60)*'调参总览'!$B$25/H60,'调参总览'!$B$18*'调参总览'!$B$23/'调参总览'!$B$22)</x:f>
        <x:v>2.290909090909091</x:v>
      </x:c>
      <x:c r="J60" s="6" t="n">
        <x:f>I60*'单位战力'!$P$23</x:f>
        <x:v>2.290909090909091</x:v>
      </x:c>
      <x:c r="K60" s="6" t="n">
        <x:f>'单位战力'!P17*SQRT(('单位战力'!D17+D60*0)/'单位战力'!D17*MAX('调参总览'!$B$10-'单位战力'!F17,1)/MAX('调参总览'!$B$10-'单位战力'!F17-D60*0,1)*MAX('单位战力'!E17+D60*0-'调参总览'!$B$11,1)/MAX('单位战力'!E17-'调参总览'!$B$11,1))+'单位战力'!P17*SQRT(('单位战力'!D17+D60*0)/'单位战力'!D17*MAX('调参总览'!$B$10-'单位战力'!F17,1)/MAX('调参总览'!$B$10-'单位战力'!F17-D60*0,1)*MAX('单位战力'!E17+D60*0-'调参总览'!$B$11,1)/MAX('单位战力'!E17-'调参总览'!$B$11,1))+'单位战力'!P17*SQRT(('单位战力'!D17+D60*0)/'单位战力'!D17*MAX('调参总览'!$B$10-'单位战力'!F17,1)/MAX('调参总览'!$B$10-'单位战力'!F17-D60*0,1)*MAX('单位战力'!E17+D60*0-'调参总览'!$B$11,1)/MAX('单位战力'!E17-'调参总览'!$B$11,1))+'单位战力'!P17*SQRT(('单位战力'!D17+D60*0)/'单位战力'!D17*MAX('调参总览'!$B$10-'单位战力'!F17,1)/MAX('调参总览'!$B$10-'单位战力'!F17-D60*0,1)*MAX('单位战力'!E17+D60*0-'调参总览'!$B$11,1)/MAX('单位战力'!E17-'调参总览'!$B$11,1))+'单位战力'!P17*SQRT(('单位战力'!D17+D60*0)/'单位战力'!D17*MAX('调参总览'!$B$10-'单位战力'!F17,1)/MAX('调参总览'!$B$10-'单位战力'!F17-D60*0,1)*MAX('单位战力'!E17+D60*0-'调参总览'!$B$11,1)/MAX('单位战力'!E17-'调参总览'!$B$11,1))</x:f>
        <x:v>6.291528696058958</x:v>
      </x:c>
      <x:c r="L60" s="6" t="n">
        <x:f>IF(J60&lt;=0,"无部署预算",K60/J60)</x:f>
        <x:v>2.746302208597164</x:v>
      </x:c>
      <x:c r="M60" s="18" t="n">
        <x:f>IF(E60=0,0,B60+'单位战力'!H17+'单位战力'!H17+'单位战力'!H17+'单位战力'!H17+'单位战力'!H17)</x:f>
        <x:v>11</x:v>
      </x:c>
      <x:c r="N60" s="18" t="n">
        <x:v>45</x:v>
      </x:c>
      <x:c r="O60" s="6" t="str">
        <x:v>res://data/levels/level_template.tres</x:v>
      </x:c>
      <x:c r="P60" s="6" t="str">
        <x:v>战力含本轮重复成长</x:v>
      </x:c>
    </x:row>
    <x:row r="61" ht="24" customHeight="1">
      <x:c r="A61" s="6" t="str">
        <x:v>level_template</x:v>
      </x:c>
      <x:c r="B61" s="18" t="n">
        <x:v>7</x:v>
      </x:c>
      <x:c r="C61" s="18" t="n">
        <x:v>3</x:v>
      </x:c>
      <x:c r="D61" s="18" t="n">
        <x:v>0</x:v>
      </x:c>
      <x:c r="E61" s="18" t="n">
        <x:v>5</x:v>
      </x:c>
      <x:c r="F61" s="18" t="n">
        <x:f>MIN('调参总览'!$B$15+(B61-1)*'调参总览'!$B$16,'调参总览'!$B$17)</x:f>
        <x:v>9</x:v>
      </x:c>
      <x:c r="G61" s="18" t="n">
        <x:f>(INT(B61*'调参总览'!$B$18/'调参总览'!$B$20)-INT((B61-1)*'调参总览'!$B$18/'调参总览'!$B$20))*'调参总览'!$B$21+'调参总览'!$B$19</x:f>
        <x:v>0</x:v>
      </x:c>
      <x:c r="H61" s="6" t="n">
        <x:f>'调参总览'!$B$34+(B61-1)*'调参总览'!$B$26</x:f>
        <x:v>3.0999999999999996</x:v>
      </x:c>
      <x:c r="I61" s="6" t="n">
        <x:f>MIN((F61+G61)*'调参总览'!$B$25/H61,'调参总览'!$B$18*'调参总览'!$B$23/'调参总览'!$B$22)</x:f>
        <x:v>2.032258064516129</x:v>
      </x:c>
      <x:c r="J61" s="6" t="n">
        <x:f>I61*'单位战力'!$P$23</x:f>
        <x:v>2.032258064516129</x:v>
      </x:c>
      <x:c r="K61" s="6" t="n">
        <x:f>'单位战力'!P17*SQRT(('单位战力'!D17+D61*0)/'单位战力'!D17*MAX('调参总览'!$B$10-'单位战力'!F17,1)/MAX('调参总览'!$B$10-'单位战力'!F17-D61*0,1)*MAX('单位战力'!E17+D61*0-'调参总览'!$B$11,1)/MAX('单位战力'!E17-'调参总览'!$B$11,1))+'单位战力'!P17*SQRT(('单位战力'!D17+D61*0)/'单位战力'!D17*MAX('调参总览'!$B$10-'单位战力'!F17,1)/MAX('调参总览'!$B$10-'单位战力'!F17-D61*0,1)*MAX('单位战力'!E17+D61*0-'调参总览'!$B$11,1)/MAX('单位战力'!E17-'调参总览'!$B$11,1))+'单位战力'!P17*SQRT(('单位战力'!D17+D61*0)/'单位战力'!D17*MAX('调参总览'!$B$10-'单位战力'!F17,1)/MAX('调参总览'!$B$10-'单位战力'!F17-D61*0,1)*MAX('单位战力'!E17+D61*0-'调参总览'!$B$11,1)/MAX('单位战力'!E17-'调参总览'!$B$11,1))+'单位战力'!P17*SQRT(('单位战力'!D17+D61*0)/'单位战力'!D17*MAX('调参总览'!$B$10-'单位战力'!F17,1)/MAX('调参总览'!$B$10-'单位战力'!F17-D61*0,1)*MAX('单位战力'!E17+D61*0-'调参总览'!$B$11,1)/MAX('单位战力'!E17-'调参总览'!$B$11,1))+'单位战力'!P17*SQRT(('单位战力'!D17+D61*0)/'单位战力'!D17*MAX('调参总览'!$B$10-'单位战力'!F17,1)/MAX('调参总览'!$B$10-'单位战力'!F17-D61*0,1)*MAX('单位战力'!E17+D61*0-'调参总览'!$B$11,1)/MAX('单位战力'!E17-'调参总览'!$B$11,1))</x:f>
        <x:v>6.291528696058958</x:v>
      </x:c>
      <x:c r="L61" s="6" t="n">
        <x:f>IF(J61&lt;=0,"无部署预算",K61/J61)</x:f>
        <x:v>3.0958315806004393</x:v>
      </x:c>
      <x:c r="M61" s="18" t="n">
        <x:f>IF(E61=0,0,B61+'单位战力'!H17+'单位战力'!H17+'单位战力'!H17+'单位战力'!H17+'单位战力'!H17)</x:f>
        <x:v>12</x:v>
      </x:c>
      <x:c r="N61" s="18" t="n">
        <x:v>45</x:v>
      </x:c>
      <x:c r="O61" s="6" t="str">
        <x:v>res://data/levels/level_template.tres</x:v>
      </x:c>
      <x:c r="P61" s="6" t="str">
        <x:v>战力含本轮重复成长</x:v>
      </x:c>
    </x:row>
    <x:row r="62" ht="24" customHeight="1">
      <x:c r="A62" s="6" t="str">
        <x:v>level_template</x:v>
      </x:c>
      <x:c r="B62" s="18" t="n">
        <x:v>8</x:v>
      </x:c>
      <x:c r="C62" s="18" t="n">
        <x:v>3</x:v>
      </x:c>
      <x:c r="D62" s="18" t="n">
        <x:v>0</x:v>
      </x:c>
      <x:c r="E62" s="18" t="n">
        <x:v>5</x:v>
      </x:c>
      <x:c r="F62" s="18" t="n">
        <x:f>MIN('调参总览'!$B$15+(B62-1)*'调参总览'!$B$16,'调参总览'!$B$17)</x:f>
        <x:v>10</x:v>
      </x:c>
      <x:c r="G62" s="18" t="n">
        <x:f>(INT(B62*'调参总览'!$B$18/'调参总览'!$B$20)-INT((B62-1)*'调参总览'!$B$18/'调参总览'!$B$20))*'调参总览'!$B$21+'调参总览'!$B$19</x:f>
        <x:v>1</x:v>
      </x:c>
      <x:c r="H62" s="6" t="n">
        <x:f>'调参总览'!$B$34+(B62-1)*'调参总览'!$B$26</x:f>
        <x:v>3.4499999999999997</x:v>
      </x:c>
      <x:c r="I62" s="6" t="n">
        <x:f>MIN((F62+G62)*'调参总览'!$B$25/H62,'调参总览'!$B$18*'调参总览'!$B$23/'调参总览'!$B$22)</x:f>
        <x:v>2.2318840579710146</x:v>
      </x:c>
      <x:c r="J62" s="6" t="n">
        <x:f>I62*'单位战力'!$P$23</x:f>
        <x:v>2.2318840579710146</x:v>
      </x:c>
      <x:c r="K62" s="6" t="n">
        <x:f>'单位战力'!P17*SQRT(('单位战力'!D17+D62*0)/'单位战力'!D17*MAX('调参总览'!$B$10-'单位战力'!F17,1)/MAX('调参总览'!$B$10-'单位战力'!F17-D62*0,1)*MAX('单位战力'!E17+D62*0-'调参总览'!$B$11,1)/MAX('单位战力'!E17-'调参总览'!$B$11,1))+'单位战力'!P17*SQRT(('单位战力'!D17+D62*0)/'单位战力'!D17*MAX('调参总览'!$B$10-'单位战力'!F17,1)/MAX('调参总览'!$B$10-'单位战力'!F17-D62*0,1)*MAX('单位战力'!E17+D62*0-'调参总览'!$B$11,1)/MAX('单位战力'!E17-'调参总览'!$B$11,1))+'单位战力'!P17*SQRT(('单位战力'!D17+D62*0)/'单位战力'!D17*MAX('调参总览'!$B$10-'单位战力'!F17,1)/MAX('调参总览'!$B$10-'单位战力'!F17-D62*0,1)*MAX('单位战力'!E17+D62*0-'调参总览'!$B$11,1)/MAX('单位战力'!E17-'调参总览'!$B$11,1))+'单位战力'!P17*SQRT(('单位战力'!D17+D62*0)/'单位战力'!D17*MAX('调参总览'!$B$10-'单位战力'!F17,1)/MAX('调参总览'!$B$10-'单位战力'!F17-D62*0,1)*MAX('单位战力'!E17+D62*0-'调参总览'!$B$11,1)/MAX('单位战力'!E17-'调参总览'!$B$11,1))+'单位战力'!P17*SQRT(('单位战力'!D17+D62*0)/'单位战力'!D17*MAX('调参总览'!$B$10-'单位战力'!F17,1)/MAX('调参总览'!$B$10-'单位战力'!F17-D62*0,1)*MAX('单位战力'!E17+D62*0-'调参总览'!$B$11,1)/MAX('单位战力'!E17-'调参总览'!$B$11,1))</x:f>
        <x:v>6.291528696058958</x:v>
      </x:c>
      <x:c r="L62" s="6" t="n">
        <x:f>IF(J62&lt;=0,"无部署预算",K62/J62)</x:f>
        <x:v>2.818931688493948</x:v>
      </x:c>
      <x:c r="M62" s="18" t="n">
        <x:f>IF(E62=0,0,B62+'单位战力'!H17+'单位战力'!H17+'单位战力'!H17+'单位战力'!H17+'单位战力'!H17)</x:f>
        <x:v>13</x:v>
      </x:c>
      <x:c r="N62" s="18" t="n">
        <x:v>45</x:v>
      </x:c>
      <x:c r="O62" s="6" t="str">
        <x:v>res://data/levels/level_template.tres</x:v>
      </x:c>
      <x:c r="P62" s="6" t="str">
        <x:v>战力含本轮重复成长</x:v>
      </x:c>
    </x:row>
    <x:row r="63" ht="24" customHeight="1">
      <x:c r="A63" s="6" t="str">
        <x:v>level_template</x:v>
      </x:c>
      <x:c r="B63" s="18" t="n">
        <x:v>9</x:v>
      </x:c>
      <x:c r="C63" s="18" t="n">
        <x:v>3</x:v>
      </x:c>
      <x:c r="D63" s="18" t="n">
        <x:v>0</x:v>
      </x:c>
      <x:c r="E63" s="18" t="n">
        <x:v>5</x:v>
      </x:c>
      <x:c r="F63" s="18" t="n">
        <x:f>MIN('调参总览'!$B$15+(B63-1)*'调参总览'!$B$16,'调参总览'!$B$17)</x:f>
        <x:v>10</x:v>
      </x:c>
      <x:c r="G63" s="18" t="n">
        <x:f>(INT(B63*'调参总览'!$B$18/'调参总览'!$B$20)-INT((B63-1)*'调参总览'!$B$18/'调参总览'!$B$20))*'调参总览'!$B$21+'调参总览'!$B$19</x:f>
        <x:v>0</x:v>
      </x:c>
      <x:c r="H63" s="6" t="n">
        <x:f>'调参总览'!$B$34+(B63-1)*'调参总览'!$B$26</x:f>
        <x:v>3.8</x:v>
      </x:c>
      <x:c r="I63" s="6" t="n">
        <x:f>MIN((F63+G63)*'调参总览'!$B$25/H63,'调参总览'!$B$18*'调参总览'!$B$23/'调参总览'!$B$22)</x:f>
        <x:v>1.842105263157895</x:v>
      </x:c>
      <x:c r="J63" s="6" t="n">
        <x:f>I63*'单位战力'!$P$23</x:f>
        <x:v>1.842105263157895</x:v>
      </x:c>
      <x:c r="K63" s="6" t="n">
        <x:f>'单位战力'!P17*SQRT(('单位战力'!D17+D63*0)/'单位战力'!D17*MAX('调参总览'!$B$10-'单位战力'!F17,1)/MAX('调参总览'!$B$10-'单位战力'!F17-D63*0,1)*MAX('单位战力'!E17+D63*0-'调参总览'!$B$11,1)/MAX('单位战力'!E17-'调参总览'!$B$11,1))+'单位战力'!P17*SQRT(('单位战力'!D17+D63*0)/'单位战力'!D17*MAX('调参总览'!$B$10-'单位战力'!F17,1)/MAX('调参总览'!$B$10-'单位战力'!F17-D63*0,1)*MAX('单位战力'!E17+D63*0-'调参总览'!$B$11,1)/MAX('单位战力'!E17-'调参总览'!$B$11,1))+'单位战力'!P17*SQRT(('单位战力'!D17+D63*0)/'单位战力'!D17*MAX('调参总览'!$B$10-'单位战力'!F17,1)/MAX('调参总览'!$B$10-'单位战力'!F17-D63*0,1)*MAX('单位战力'!E17+D63*0-'调参总览'!$B$11,1)/MAX('单位战力'!E17-'调参总览'!$B$11,1))+'单位战力'!P17*SQRT(('单位战力'!D17+D63*0)/'单位战力'!D17*MAX('调参总览'!$B$10-'单位战力'!F17,1)/MAX('调参总览'!$B$10-'单位战力'!F17-D63*0,1)*MAX('单位战力'!E17+D63*0-'调参总览'!$B$11,1)/MAX('单位战力'!E17-'调参总览'!$B$11,1))+'单位战力'!P17*SQRT(('单位战力'!D17+D63*0)/'单位战力'!D17*MAX('调参总览'!$B$10-'单位战力'!F17,1)/MAX('调参总览'!$B$10-'单位战力'!F17-D63*0,1)*MAX('单位战力'!E17+D63*0-'调参总览'!$B$11,1)/MAX('单位战力'!E17-'调参总览'!$B$11,1))</x:f>
        <x:v>6.291528696058958</x:v>
      </x:c>
      <x:c r="L63" s="6" t="n">
        <x:f>IF(J63&lt;=0,"无部署预算",K63/J63)</x:f>
        <x:v>3.415401292146291</x:v>
      </x:c>
      <x:c r="M63" s="18" t="n">
        <x:f>IF(E63=0,0,B63+'单位战力'!H17+'单位战力'!H17+'单位战力'!H17+'单位战力'!H17+'单位战力'!H17)</x:f>
        <x:v>14</x:v>
      </x:c>
      <x:c r="N63" s="18" t="n">
        <x:v>45</x:v>
      </x:c>
      <x:c r="O63" s="6" t="str">
        <x:v>res://data/levels/level_template.tres</x:v>
      </x:c>
      <x:c r="P63" s="6" t="str">
        <x:v>战力含本轮重复成长</x:v>
      </x:c>
    </x:row>
    <x:row r="64" ht="24" customHeight="1">
      <x:c r="A64" s="6" t="str">
        <x:v>level_template</x:v>
      </x:c>
      <x:c r="B64" s="18" t="n">
        <x:v>10</x:v>
      </x:c>
      <x:c r="C64" s="18" t="n">
        <x:v>3</x:v>
      </x:c>
      <x:c r="D64" s="18" t="n">
        <x:v>0</x:v>
      </x:c>
      <x:c r="E64" s="18" t="n">
        <x:v>5</x:v>
      </x:c>
      <x:c r="F64" s="18" t="n">
        <x:f>MIN('调参总览'!$B$15+(B64-1)*'调参总览'!$B$16,'调参总览'!$B$17)</x:f>
        <x:v>10</x:v>
      </x:c>
      <x:c r="G64" s="18" t="n">
        <x:f>(INT(B64*'调参总览'!$B$18/'调参总览'!$B$20)-INT((B64-1)*'调参总览'!$B$18/'调参总览'!$B$20))*'调参总览'!$B$21+'调参总览'!$B$19</x:f>
        <x:v>1</x:v>
      </x:c>
      <x:c r="H64" s="6" t="n">
        <x:f>'调参总览'!$B$34+(B64-1)*'调参总览'!$B$26</x:f>
        <x:v>4.15</x:v>
      </x:c>
      <x:c r="I64" s="6" t="n">
        <x:f>MIN((F64+G64)*'调参总览'!$B$25/H64,'调参总览'!$B$18*'调参总览'!$B$23/'调参总览'!$B$22)</x:f>
        <x:v>1.8554216867469877</x:v>
      </x:c>
      <x:c r="J64" s="6" t="n">
        <x:f>I64*'单位战力'!$P$23</x:f>
        <x:v>1.8554216867469877</x:v>
      </x:c>
      <x:c r="K64" s="6" t="n">
        <x:f>'单位战力'!P17*SQRT(('单位战力'!D17+D64*0)/'单位战力'!D17*MAX('调参总览'!$B$10-'单位战力'!F17,1)/MAX('调参总览'!$B$10-'单位战力'!F17-D64*0,1)*MAX('单位战力'!E17+D64*0-'调参总览'!$B$11,1)/MAX('单位战力'!E17-'调参总览'!$B$11,1))+'单位战力'!P17*SQRT(('单位战力'!D17+D64*0)/'单位战力'!D17*MAX('调参总览'!$B$10-'单位战力'!F17,1)/MAX('调参总览'!$B$10-'单位战力'!F17-D64*0,1)*MAX('单位战力'!E17+D64*0-'调参总览'!$B$11,1)/MAX('单位战力'!E17-'调参总览'!$B$11,1))+'单位战力'!P17*SQRT(('单位战力'!D17+D64*0)/'单位战力'!D17*MAX('调参总览'!$B$10-'单位战力'!F17,1)/MAX('调参总览'!$B$10-'单位战力'!F17-D64*0,1)*MAX('单位战力'!E17+D64*0-'调参总览'!$B$11,1)/MAX('单位战力'!E17-'调参总览'!$B$11,1))+'单位战力'!P17*SQRT(('单位战力'!D17+D64*0)/'单位战力'!D17*MAX('调参总览'!$B$10-'单位战力'!F17,1)/MAX('调参总览'!$B$10-'单位战力'!F17-D64*0,1)*MAX('单位战力'!E17+D64*0-'调参总览'!$B$11,1)/MAX('单位战力'!E17-'调参总览'!$B$11,1))+'单位战力'!P17*SQRT(('单位战力'!D17+D64*0)/'单位战力'!D17*MAX('调参总览'!$B$10-'单位战力'!F17,1)/MAX('调参总览'!$B$10-'单位战力'!F17-D64*0,1)*MAX('单位战力'!E17+D64*0-'调参总览'!$B$11,1)/MAX('单位战力'!E17-'调参总览'!$B$11,1))</x:f>
        <x:v>6.291528696058958</x:v>
      </x:c>
      <x:c r="L64" s="6" t="n">
        <x:f>IF(J64&lt;=0,"无部署预算",K64/J64)</x:f>
        <x:v>3.390888842681127</x:v>
      </x:c>
      <x:c r="M64" s="18" t="n">
        <x:f>IF(E64=0,0,B64+'单位战力'!H17+'单位战力'!H17+'单位战力'!H17+'单位战力'!H17+'单位战力'!H17)</x:f>
        <x:v>15</x:v>
      </x:c>
      <x:c r="N64" s="18" t="n">
        <x:v>45</x:v>
      </x:c>
      <x:c r="O64" s="6" t="str">
        <x:v>res://data/levels/level_template.tres</x:v>
      </x:c>
      <x:c r="P64" s="6" t="str">
        <x:v>战力含本轮重复成长</x:v>
      </x:c>
    </x:row>
    <x:row r="65" ht="24" customHeight="1">
      <x:c r="A65" s="6" t="str">
        <x:v>level_template</x:v>
      </x:c>
      <x:c r="B65" s="18" t="n">
        <x:v>11</x:v>
      </x:c>
      <x:c r="C65" s="18" t="n">
        <x:v>3</x:v>
      </x:c>
      <x:c r="D65" s="18" t="n">
        <x:v>0</x:v>
      </x:c>
      <x:c r="E65" s="18" t="n">
        <x:v>5</x:v>
      </x:c>
      <x:c r="F65" s="18" t="n">
        <x:f>MIN('调参总览'!$B$15+(B65-1)*'调参总览'!$B$16,'调参总览'!$B$17)</x:f>
        <x:v>10</x:v>
      </x:c>
      <x:c r="G65" s="18" t="n">
        <x:f>(INT(B65*'调参总览'!$B$18/'调参总览'!$B$20)-INT((B65-1)*'调参总览'!$B$18/'调参总览'!$B$20))*'调参总览'!$B$21+'调参总览'!$B$19</x:f>
        <x:v>0</x:v>
      </x:c>
      <x:c r="H65" s="6" t="n">
        <x:f>'调参总览'!$B$34+(B65-1)*'调参总览'!$B$26</x:f>
        <x:v>4.5</x:v>
      </x:c>
      <x:c r="I65" s="6" t="n">
        <x:f>MIN((F65+G65)*'调参总览'!$B$25/H65,'调参总览'!$B$18*'调参总览'!$B$23/'调参总览'!$B$22)</x:f>
        <x:v>1.5555555555555556</x:v>
      </x:c>
      <x:c r="J65" s="6" t="n">
        <x:f>I65*'单位战力'!$P$23</x:f>
        <x:v>1.5555555555555556</x:v>
      </x:c>
      <x:c r="K65" s="6" t="n">
        <x:f>'单位战力'!P17*SQRT(('单位战力'!D17+D65*0)/'单位战力'!D17*MAX('调参总览'!$B$10-'单位战力'!F17,1)/MAX('调参总览'!$B$10-'单位战力'!F17-D65*0,1)*MAX('单位战力'!E17+D65*0-'调参总览'!$B$11,1)/MAX('单位战力'!E17-'调参总览'!$B$11,1))+'单位战力'!P17*SQRT(('单位战力'!D17+D65*0)/'单位战力'!D17*MAX('调参总览'!$B$10-'单位战力'!F17,1)/MAX('调参总览'!$B$10-'单位战力'!F17-D65*0,1)*MAX('单位战力'!E17+D65*0-'调参总览'!$B$11,1)/MAX('单位战力'!E17-'调参总览'!$B$11,1))+'单位战力'!P17*SQRT(('单位战力'!D17+D65*0)/'单位战力'!D17*MAX('调参总览'!$B$10-'单位战力'!F17,1)/MAX('调参总览'!$B$10-'单位战力'!F17-D65*0,1)*MAX('单位战力'!E17+D65*0-'调参总览'!$B$11,1)/MAX('单位战力'!E17-'调参总览'!$B$11,1))+'单位战力'!P17*SQRT(('单位战力'!D17+D65*0)/'单位战力'!D17*MAX('调参总览'!$B$10-'单位战力'!F17,1)/MAX('调参总览'!$B$10-'单位战力'!F17-D65*0,1)*MAX('单位战力'!E17+D65*0-'调参总览'!$B$11,1)/MAX('单位战力'!E17-'调参总览'!$B$11,1))+'单位战力'!P17*SQRT(('单位战力'!D17+D65*0)/'单位战力'!D17*MAX('调参总览'!$B$10-'单位战力'!F17,1)/MAX('调参总览'!$B$10-'单位战力'!F17-D65*0,1)*MAX('单位战力'!E17+D65*0-'调参总览'!$B$11,1)/MAX('单位战力'!E17-'调参总览'!$B$11,1))</x:f>
        <x:v>6.291528696058958</x:v>
      </x:c>
      <x:c r="L65" s="6" t="n">
        <x:f>IF(J65&lt;=0,"无部署预算",K65/J65)</x:f>
        <x:v>4.0445541617521865</x:v>
      </x:c>
      <x:c r="M65" s="18" t="n">
        <x:f>IF(E65=0,0,B65+'单位战力'!H17+'单位战力'!H17+'单位战力'!H17+'单位战力'!H17+'单位战力'!H17)</x:f>
        <x:v>16</x:v>
      </x:c>
      <x:c r="N65" s="18" t="n">
        <x:v>45</x:v>
      </x:c>
      <x:c r="O65" s="6" t="str">
        <x:v>res://data/levels/level_template.tres</x:v>
      </x:c>
      <x:c r="P65" s="6" t="str">
        <x:v>战力含本轮重复成长</x:v>
      </x:c>
    </x:row>
    <x:row r="66" ht="24" customHeight="1">
      <x:c r="A66" s="6" t="str">
        <x:v>level_template</x:v>
      </x:c>
      <x:c r="B66" s="18" t="n">
        <x:v>12</x:v>
      </x:c>
      <x:c r="C66" s="18" t="n">
        <x:v>3</x:v>
      </x:c>
      <x:c r="D66" s="18" t="n">
        <x:v>0</x:v>
      </x:c>
      <x:c r="E66" s="18" t="n">
        <x:v>5</x:v>
      </x:c>
      <x:c r="F66" s="18" t="n">
        <x:f>MIN('调参总览'!$B$15+(B66-1)*'调参总览'!$B$16,'调参总览'!$B$17)</x:f>
        <x:v>10</x:v>
      </x:c>
      <x:c r="G66" s="18" t="n">
        <x:f>(INT(B66*'调参总览'!$B$18/'调参总览'!$B$20)-INT((B66-1)*'调参总览'!$B$18/'调参总览'!$B$20))*'调参总览'!$B$21+'调参总览'!$B$19</x:f>
        <x:v>1</x:v>
      </x:c>
      <x:c r="H66" s="6" t="n">
        <x:f>'调参总览'!$B$34+(B66-1)*'调参总览'!$B$26</x:f>
        <x:v>4.85</x:v>
      </x:c>
      <x:c r="I66" s="6" t="n">
        <x:f>MIN((F66+G66)*'调参总览'!$B$25/H66,'调参总览'!$B$18*'调参总览'!$B$23/'调参总览'!$B$22)</x:f>
        <x:v>1.5876288659793814</x:v>
      </x:c>
      <x:c r="J66" s="6" t="n">
        <x:f>I66*'单位战力'!$P$23</x:f>
        <x:v>1.5876288659793814</x:v>
      </x:c>
      <x:c r="K66" s="6" t="n">
        <x:f>'单位战力'!P17*SQRT(('单位战力'!D17+D66*0)/'单位战力'!D17*MAX('调参总览'!$B$10-'单位战力'!F17,1)/MAX('调参总览'!$B$10-'单位战力'!F17-D66*0,1)*MAX('单位战力'!E17+D66*0-'调参总览'!$B$11,1)/MAX('单位战力'!E17-'调参总览'!$B$11,1))+'单位战力'!P17*SQRT(('单位战力'!D17+D66*0)/'单位战力'!D17*MAX('调参总览'!$B$10-'单位战力'!F17,1)/MAX('调参总览'!$B$10-'单位战力'!F17-D66*0,1)*MAX('单位战力'!E17+D66*0-'调参总览'!$B$11,1)/MAX('单位战力'!E17-'调参总览'!$B$11,1))+'单位战力'!P17*SQRT(('单位战力'!D17+D66*0)/'单位战力'!D17*MAX('调参总览'!$B$10-'单位战力'!F17,1)/MAX('调参总览'!$B$10-'单位战力'!F17-D66*0,1)*MAX('单位战力'!E17+D66*0-'调参总览'!$B$11,1)/MAX('单位战力'!E17-'调参总览'!$B$11,1))+'单位战力'!P17*SQRT(('单位战力'!D17+D66*0)/'单位战力'!D17*MAX('调参总览'!$B$10-'单位战力'!F17,1)/MAX('调参总览'!$B$10-'单位战力'!F17-D66*0,1)*MAX('单位战力'!E17+D66*0-'调参总览'!$B$11,1)/MAX('单位战力'!E17-'调参总览'!$B$11,1))+'单位战力'!P17*SQRT(('单位战力'!D17+D66*0)/'单位战力'!D17*MAX('调参总览'!$B$10-'单位战力'!F17,1)/MAX('调参总览'!$B$10-'单位战力'!F17-D66*0,1)*MAX('单位战力'!E17+D66*0-'调参总览'!$B$11,1)/MAX('单位战力'!E17-'调参总览'!$B$11,1))</x:f>
        <x:v>6.291528696058958</x:v>
      </x:c>
      <x:c r="L66" s="6" t="n">
        <x:f>IF(J66&lt;=0,"无部署预算",K66/J66)</x:f>
        <x:v>3.9628459968683045</x:v>
      </x:c>
      <x:c r="M66" s="18" t="n">
        <x:f>IF(E66=0,0,B66+'单位战力'!H17+'单位战力'!H17+'单位战力'!H17+'单位战力'!H17+'单位战力'!H17)</x:f>
        <x:v>17</x:v>
      </x:c>
      <x:c r="N66" s="18" t="n">
        <x:v>45</x:v>
      </x:c>
      <x:c r="O66" s="6" t="str">
        <x:v>res://data/levels/level_template.tres</x:v>
      </x:c>
      <x:c r="P66" s="6" t="str">
        <x:v>战力含本轮重复成长</x:v>
      </x:c>
    </x:row>
    <x:row r="67" ht="24" customHeight="1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</x:row>
  </x:sheetData>
  <x:conditionalFormatting sqref="L7:L66">
    <x:cfRule type="cellIs" dxfId="2" priority="1" operator="greaterThan">
      <x:formula>1.3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14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64" hidden="0" customWidth="1"/>
    <x:col min="15" max="15" width="62" hidden="0" customWidth="1"/>
    <x:col min="16" max="16" width="1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4" t="str">
        <x:v>效果牌、遗物与药水估价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30" customHeight="1">
      <x:c r="A4" s="2" t="str">
        <x:v>效果按参考士兵估价。黄色兑现率与额外战力由试玩校准。玩家生命成本和部队生命必须分开。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40" customHeight="1">
      <x:c r="A6" s="10" t="str">
        <x:v>效果牌</x:v>
      </x:c>
      <x:c r="B6" s="10" t="str">
        <x:v>费用</x:v>
      </x:c>
      <x:c r="C6" s="10" t="str">
        <x:v>主效果数值</x:v>
      </x:c>
      <x:c r="D6" s="10" t="str">
        <x:v>类型</x:v>
      </x:c>
      <x:c r="E6" s="10" t="str">
        <x:v>消耗牌</x:v>
      </x:c>
      <x:c r="F6" s="10" t="str">
        <x:v>额外有效生命</x:v>
      </x:c>
      <x:c r="G6" s="10" t="str">
        <x:v>额外单位伤害</x:v>
      </x:c>
      <x:c r="H6" s="10" t="str">
        <x:v>附加战力</x:v>
      </x:c>
      <x:c r="I6" s="10" t="str">
        <x:v>净获得能量</x:v>
      </x:c>
      <x:c r="J6" s="10" t="str">
        <x:v>玩家生命成本</x:v>
      </x:c>
      <x:c r="K6" s="10" t="str">
        <x:v>兑现率</x:v>
      </x:c>
      <x:c r="L6" s="10" t="str">
        <x:v>毛能量价值</x:v>
      </x:c>
      <x:c r="M6" s="10" t="str">
        <x:v>净能量价值</x:v>
      </x:c>
      <x:c r="N6" s="10" t="str">
        <x:v>风险或规则</x:v>
      </x:c>
      <x:c r="O6" s="10" t="str">
        <x:v>来源</x:v>
      </x:c>
      <x:c r="P6" s="10" t="str">
        <x:v>副效果</x:v>
      </x:c>
    </x:row>
    <x:row r="7" ht="36" customHeight="1">
      <x:c r="A7" s="6" t="str">
        <x:v>镜像</x:v>
      </x:c>
      <x:c r="B7" s="17" t="n">
        <x:v>1</x:v>
      </x:c>
      <x:c r="C7" s="17" t="n">
        <x:v>5</x:v>
      </x:c>
      <x:c r="D7" s="6" t="str">
        <x:v>复制</x:v>
      </x:c>
      <x:c r="E7" s="6" t="str">
        <x:v>是</x:v>
      </x:c>
      <x:c r="F7" s="12" t="n">
        <x:v>0</x:v>
      </x:c>
      <x:c r="G7" s="12" t="n">
        <x:v>0</x:v>
      </x:c>
      <x:c r="H7" s="23" t="n">
        <x:f>'单位战力'!P23</x:f>
        <x:v>1</x:v>
      </x:c>
      <x:c r="I7" s="12" t="n">
        <x:v>0</x:v>
      </x:c>
      <x:c r="J7" s="12" t="n">
        <x:v>0</x:v>
      </x:c>
      <x:c r="K7" s="13" t="n">
        <x:v>1</x:v>
      </x:c>
      <x:c r="L7" s="6" t="n">
        <x:f>((SQRT((1+F7/'单位战力'!O23)*(1+G7/('单位战力'!M23*'调参总览'!$B$14)))-1)*'单位战力'!P23+H7)*K7+I7-J7*'调参总览'!$B$33</x:f>
        <x:v>1</x:v>
      </x:c>
      <x:c r="M7" s="6" t="n">
        <x:f>L7-B7</x:f>
        <x:v>0</x:v>
      </x:c>
      <x:c r="N7" s="24" t="str">
        <x:v>当前实际继承强化，复制品不生成原牌</x:v>
      </x:c>
      <x:c r="O7" s="24" t="str">
        <x:v>res://data/cards/copy_ally.tres</x:v>
      </x:c>
      <x:c r="P7" s="6" t="str"/>
    </x:row>
    <x:row r="8" ht="36" customHeight="1">
      <x:c r="A8" s="6" t="str">
        <x:v>悼亡战意</x:v>
      </x:c>
      <x:c r="B8" s="17" t="n">
        <x:v>1</x:v>
      </x:c>
      <x:c r="C8" s="17" t="n">
        <x:v>1</x:v>
      </x:c>
      <x:c r="D8" s="6" t="str">
        <x:v>伤亡光环</x:v>
      </x:c>
      <x:c r="E8" s="6" t="str">
        <x:v>是</x:v>
      </x:c>
      <x:c r="F8" s="12" t="n">
        <x:v>0</x:v>
      </x:c>
      <x:c r="G8" s="12" t="n">
        <x:v>0</x:v>
      </x:c>
      <x:c r="H8" s="12" t="n">
        <x:v>0</x:v>
      </x:c>
      <x:c r="I8" s="12" t="n">
        <x:v>0</x:v>
      </x:c>
      <x:c r="J8" s="12" t="n">
        <x:v>0</x:v>
      </x:c>
      <x:c r="K8" s="13" t="n">
        <x:v>1</x:v>
      </x:c>
      <x:c r="L8" s="6" t="n">
        <x:f>((SQRT((1+F8/'单位战力'!O23)*(1+G8/('单位战力'!M23*'调参总览'!$B$14)))-1)*'单位战力'!P23+H8)*K8+I8-J8*'调参总览'!$B$33</x:f>
        <x:v>0</x:v>
      </x:c>
      <x:c r="M8" s="6" t="n">
        <x:f>L8-B8</x:f>
        <x:v>-1</x:v>
      </x:c>
      <x:c r="N8" s="24" t="str">
        <x:v>累计己方死亡，后续新生成单位也获得加成</x:v>
      </x:c>
      <x:c r="O8" s="24" t="str">
        <x:v>res://data/cards/death_attack.tres</x:v>
      </x:c>
      <x:c r="P8" s="6" t="str"/>
    </x:row>
    <x:row r="9" ht="36" customHeight="1">
      <x:c r="A9" s="6" t="str">
        <x:v>同生共死</x:v>
      </x:c>
      <x:c r="B9" s="17" t="n">
        <x:v>1</x:v>
      </x:c>
      <x:c r="C9" s="17" t="n">
        <x:v>20</x:v>
      </x:c>
      <x:c r="D9" s="6" t="str">
        <x:v>死亡爆炸</x:v>
      </x:c>
      <x:c r="E9" s="6" t="str">
        <x:v>否</x:v>
      </x:c>
      <x:c r="F9" s="12" t="n">
        <x:v>0</x:v>
      </x:c>
      <x:c r="G9" s="23" t="n">
        <x:f>C9</x:f>
        <x:v>20</x:v>
      </x:c>
      <x:c r="H9" s="12" t="n">
        <x:v>0</x:v>
      </x:c>
      <x:c r="I9" s="12" t="n">
        <x:v>0</x:v>
      </x:c>
      <x:c r="J9" s="12" t="n">
        <x:v>0</x:v>
      </x:c>
      <x:c r="K9" s="13" t="n">
        <x:v>0.7</x:v>
      </x:c>
      <x:c r="L9" s="6" t="n">
        <x:f>((SQRT((1+F9/'单位战力'!O23)*(1+G9/('单位战力'!M23*'调参总览'!$B$14)))-1)*'单位战力'!P23+H9)*K9+I9-J9*'调参总览'!$B$33</x:f>
        <x:v>0.07680494715592917</x:v>
      </x:c>
      <x:c r="M9" s="6" t="n">
        <x:f>L9-B9</x:f>
        <x:v>-0.9231950528440709</x:v>
      </x:c>
      <x:c r="N9" s="24" t="str">
        <x:v>当前爆炸伤害遍历附近双方单位</x:v>
      </x:c>
      <x:c r="O9" s="24" t="str">
        <x:v>res://data/cards/death_explosion.tres</x:v>
      </x:c>
      <x:c r="P9" s="6" t="str"/>
    </x:row>
    <x:row r="10" ht="36" customHeight="1">
      <x:c r="A10" s="6" t="str">
        <x:v>护甲加固</x:v>
      </x:c>
      <x:c r="B10" s="17" t="n">
        <x:v>1</x:v>
      </x:c>
      <x:c r="C10" s="17" t="n">
        <x:v>3</x:v>
      </x:c>
      <x:c r="D10" s="6" t="str">
        <x:v>防御强化</x:v>
      </x:c>
      <x:c r="E10" s="6" t="str">
        <x:v>否</x:v>
      </x:c>
      <x:c r="F10" s="23" t="n">
        <x:f>'单位战力'!O23*(MAX('调参总览'!$B$10-'单位战力'!F23,1)/MAX('调参总览'!$B$10-'单位战力'!F23-C10,1)-1)</x:f>
        <x:v>64.28571428571429</x:v>
      </x:c>
      <x:c r="G10" s="12" t="n">
        <x:v>0</x:v>
      </x:c>
      <x:c r="H10" s="12" t="n">
        <x:v>0</x:v>
      </x:c>
      <x:c r="I10" s="12" t="n">
        <x:v>0</x:v>
      </x:c>
      <x:c r="J10" s="12" t="n">
        <x:v>0</x:v>
      </x:c>
      <x:c r="K10" s="13" t="n">
        <x:v>1</x:v>
      </x:c>
      <x:c r="L10" s="6" t="n">
        <x:f>((SQRT((1+F10/'单位战力'!O23)*(1+G10/('单位战力'!M23*'调参总览'!$B$14)))-1)*'单位战力'!P23+H10)*K10+I10-J10*'调参总览'!$B$33</x:f>
        <x:v>0.19522860933439357</x:v>
      </x:c>
      <x:c r="M10" s="6" t="n">
        <x:f>L10-B10</x:f>
        <x:v>-0.8047713906656064</x:v>
      </x:c>
      <x:c r="N10" s="24" t="str">
        <x:v>平减防御，接近每击伤害时收益陡升</x:v>
      </x:c>
      <x:c r="O10" s="24" t="str">
        <x:v>res://data/cards/defend.tres</x:v>
      </x:c>
      <x:c r="P10" s="6" t="str"/>
    </x:row>
    <x:row r="11" ht="36" customHeight="1">
      <x:c r="A11" s="6" t="str">
        <x:v>孤注一掷</x:v>
      </x:c>
      <x:c r="B11" s="17" t="n">
        <x:v>1</x:v>
      </x:c>
      <x:c r="C11" s="17" t="n">
        <x:v>3</x:v>
      </x:c>
      <x:c r="D11" s="6" t="str">
        <x:v>抽牌</x:v>
      </x:c>
      <x:c r="E11" s="6" t="str">
        <x:v>是</x:v>
      </x:c>
      <x:c r="F11" s="12" t="n">
        <x:v>0</x:v>
      </x:c>
      <x:c r="G11" s="12" t="n">
        <x:v>0</x:v>
      </x:c>
      <x:c r="H11" s="12" t="n">
        <x:v>0.6</x:v>
      </x:c>
      <x:c r="I11" s="12" t="n">
        <x:v>0</x:v>
      </x:c>
      <x:c r="J11" s="12" t="n">
        <x:v>0</x:v>
      </x:c>
      <x:c r="K11" s="13" t="n">
        <x:v>1</x:v>
      </x:c>
      <x:c r="L11" s="6" t="n">
        <x:f>((SQRT((1+F11/'单位战力'!O23)*(1+G11/('单位战力'!M23*'调参总览'!$B$14)))-1)*'单位战力'!P23+H11)*K11+I11-J11*'调参总览'!$B$33</x:f>
        <x:v>0.6</x:v>
      </x:c>
      <x:c r="M11" s="6" t="n">
        <x:f>L11-B11</x:f>
        <x:v>-0.4</x:v>
      </x:c>
      <x:c r="N11" s="24" t="str">
        <x:v>抽到的牌还要有能量和合法目标</x:v>
      </x:c>
      <x:c r="O11" s="24" t="str">
        <x:v>res://data/cards/draw_four.tres</x:v>
      </x:c>
      <x:c r="P11" s="6" t="str">
        <x:v>kind=10 amount=5</x:v>
      </x:c>
    </x:row>
    <x:row r="12" ht="36" customHeight="1">
      <x:c r="A12" s="6" t="str">
        <x:v>血契补给</x:v>
      </x:c>
      <x:c r="B12" s="17" t="n">
        <x:v>0</x:v>
      </x:c>
      <x:c r="C12" s="17" t="n">
        <x:v>3</x:v>
      </x:c>
      <x:c r="D12" s="6" t="str">
        <x:v>付玩家生命</x:v>
      </x:c>
      <x:c r="E12" s="6" t="str">
        <x:v>否</x:v>
      </x:c>
      <x:c r="F12" s="12" t="n">
        <x:v>0</x:v>
      </x:c>
      <x:c r="G12" s="12" t="n">
        <x:v>0</x:v>
      </x:c>
      <x:c r="H12" s="12" t="n">
        <x:v>0</x:v>
      </x:c>
      <x:c r="I12" s="12" t="n">
        <x:v>3</x:v>
      </x:c>
      <x:c r="J12" s="23" t="n">
        <x:f>C12</x:f>
        <x:v>3</x:v>
      </x:c>
      <x:c r="K12" s="13" t="n">
        <x:v>1</x:v>
      </x:c>
      <x:c r="L12" s="6" t="n">
        <x:f>((SQRT((1+F12/'单位战力'!O23)*(1+G12/('单位战力'!M23*'调参总览'!$B$14)))-1)*'单位战力'!P23+H12)*K12+I12-J12*'调参总览'!$B$33</x:f>
        <x:v>2.25</x:v>
      </x:c>
      <x:c r="M12" s="6" t="n">
        <x:f>L12-B12</x:f>
        <x:v>2.25</x:v>
      </x:c>
      <x:c r="N12" s="24" t="str">
        <x:v>0费可重复循环；是否值3HP需实战</x:v>
      </x:c>
      <x:c r="O12" s="24" t="str">
        <x:v>res://data/cards/draw_hp.tres</x:v>
      </x:c>
      <x:c r="P12" s="6" t="str">
        <x:v>kind=17 amount=3</x:v>
      </x:c>
    </x:row>
    <x:row r="13" ht="36" customHeight="1">
      <x:c r="A13" s="6" t="str">
        <x:v>烈焰灼烧</x:v>
      </x:c>
      <x:c r="B13" s="17" t="n">
        <x:v>1</x:v>
      </x:c>
      <x:c r="C13" s="17" t="n">
        <x:v>5</x:v>
      </x:c>
      <x:c r="D13" s="6" t="str">
        <x:v>伤害区域</x:v>
      </x:c>
      <x:c r="E13" s="6" t="str">
        <x:v>是</x:v>
      </x:c>
      <x:c r="F13" s="12" t="n">
        <x:v>0</x:v>
      </x:c>
      <x:c r="G13" s="23" t="n">
        <x:f>C13*'调参总览'!$B$14/1</x:f>
        <x:v>60</x:v>
      </x:c>
      <x:c r="H13" s="12" t="n">
        <x:v>0</x:v>
      </x:c>
      <x:c r="I13" s="12" t="n">
        <x:v>0</x:v>
      </x:c>
      <x:c r="J13" s="12" t="n">
        <x:v>0</x:v>
      </x:c>
      <x:c r="K13" s="13" t="n">
        <x:v>1</x:v>
      </x:c>
      <x:c r="L13" s="6" t="n">
        <x:f>((SQRT((1+F13/'单位战力'!O23)*(1+G13/('单位战力'!M23*'调参总览'!$B$14)))-1)*'单位战力'!P23+H13)*K13+I13-J13*'调参总览'!$B$33</x:f>
        <x:v>0.30170827931777566</x:v>
      </x:c>
      <x:c r="M13" s="6" t="n">
        <x:f>L13-B13</x:f>
        <x:v>-0.6982917206822243</x:v>
      </x:c>
      <x:c r="N13" s="24" t="str">
        <x:v>区域持续到本场结束，受停留时间影响</x:v>
      </x:c>
      <x:c r="O13" s="24" t="str">
        <x:v>res://data/cards/fire_zone.tres</x:v>
      </x:c>
      <x:c r="P13" s="6" t="str"/>
    </x:row>
    <x:row r="14" ht="36" customHeight="1">
      <x:c r="A14" s="6" t="str">
        <x:v>战地治疗</x:v>
      </x:c>
      <x:c r="B14" s="17" t="n">
        <x:v>1</x:v>
      </x:c>
      <x:c r="C14" s="17" t="n">
        <x:v>35</x:v>
      </x:c>
      <x:c r="D14" s="6" t="str">
        <x:v>单位治疗</x:v>
      </x:c>
      <x:c r="E14" s="6" t="str">
        <x:v>否</x:v>
      </x:c>
      <x:c r="F14" s="23" t="n">
        <x:f>'单位战力'!O23*C14/100</x:f>
        <x:v>52.5</x:v>
      </x:c>
      <x:c r="G14" s="12" t="n">
        <x:v>0</x:v>
      </x:c>
      <x:c r="H14" s="12" t="n">
        <x:v>0</x:v>
      </x:c>
      <x:c r="I14" s="12" t="n">
        <x:v>0</x:v>
      </x:c>
      <x:c r="J14" s="12" t="n">
        <x:v>0</x:v>
      </x:c>
      <x:c r="K14" s="13" t="n">
        <x:v>0</x:v>
      </x:c>
      <x:c r="L14" s="6" t="n">
        <x:f>((SQRT((1+F14/'单位战力'!O23)*(1+G14/('单位战力'!M23*'调参总览'!$B$14)))-1)*'单位战力'!P23+H14)*K14+I14-J14*'调参总览'!$B$33</x:f>
        <x:v>0</x:v>
      </x:c>
      <x:c r="M14" s="6" t="n">
        <x:f>L14-B14</x:f>
        <x:v>-1</x:v>
      </x:c>
      <x:c r="N14" s="24" t="str">
        <x:v>准备阶段通常满血，初始兑现率为0</x:v>
      </x:c>
      <x:c r="O14" s="24" t="str">
        <x:v>res://data/cards/heal.tres</x:v>
      </x:c>
      <x:c r="P14" s="6" t="str"/>
    </x:row>
    <x:row r="15" ht="36" customHeight="1">
      <x:c r="A15" s="6" t="str">
        <x:v>泥潭</x:v>
      </x:c>
      <x:c r="B15" s="17" t="n">
        <x:v>1</x:v>
      </x:c>
      <x:c r="C15" s="17" t="n">
        <x:v>80</x:v>
      </x:c>
      <x:c r="D15" s="6" t="str">
        <x:v>泥潭</x:v>
      </x:c>
      <x:c r="E15" s="6" t="str">
        <x:v>是</x:v>
      </x:c>
      <x:c r="F15" s="12" t="n">
        <x:v>0</x:v>
      </x:c>
      <x:c r="G15" s="12" t="n">
        <x:v>0</x:v>
      </x:c>
      <x:c r="H15" s="12" t="n">
        <x:v>0</x:v>
      </x:c>
      <x:c r="I15" s="12" t="n">
        <x:v>0</x:v>
      </x:c>
      <x:c r="J15" s="12" t="n">
        <x:v>0</x:v>
      </x:c>
      <x:c r="K15" s="13" t="n">
        <x:v>1</x:v>
      </x:c>
      <x:c r="L15" s="6" t="n">
        <x:f>((SQRT((1+F15/'单位战力'!O23)*(1+G15/('单位战力'!M23*'调参总览'!$B$14)))-1)*'单位战力'!P23+H15)*K15+I15-J15*'调参总览'!$B$33</x:f>
        <x:v>0</x:v>
      </x:c>
      <x:c r="M15" s="6" t="n">
        <x:f>L15-B15</x:f>
        <x:v>-1</x:v>
      </x:c>
      <x:c r="N15" s="24" t="str">
        <x:v>双方80%减速，不能直接视为伤害</x:v>
      </x:c>
      <x:c r="O15" s="24" t="str">
        <x:v>res://data/cards/mud_zone.tres</x:v>
      </x:c>
      <x:c r="P15" s="6" t="str"/>
    </x:row>
    <x:row r="16" ht="36" customHeight="1">
      <x:c r="A16" s="6" t="str">
        <x:v>淬毒武器</x:v>
      </x:c>
      <x:c r="B16" s="17" t="n">
        <x:v>1</x:v>
      </x:c>
      <x:c r="C16" s="17" t="n">
        <x:v>2</x:v>
      </x:c>
      <x:c r="D16" s="6" t="str">
        <x:v>附毒</x:v>
      </x:c>
      <x:c r="E16" s="6" t="str">
        <x:v>否</x:v>
      </x:c>
      <x:c r="F16" s="12" t="n">
        <x:v>0</x:v>
      </x:c>
      <x:c r="G16" s="12" t="n">
        <x:v>0</x:v>
      </x:c>
      <x:c r="H16" s="12" t="n">
        <x:v>0</x:v>
      </x:c>
      <x:c r="I16" s="12" t="n">
        <x:v>0</x:v>
      </x:c>
      <x:c r="J16" s="12" t="n">
        <x:v>0</x:v>
      </x:c>
      <x:c r="K16" s="13" t="n">
        <x:v>0</x:v>
      </x:c>
      <x:c r="L16" s="6" t="n">
        <x:f>((SQRT((1+F16/'单位战力'!O23)*(1+G16/('单位战力'!M23*'调参总览'!$B$14)))-1)*'单位战力'!P23+H16)*K16+I16-J16*'调参总览'!$B$33</x:f>
        <x:v>0</x:v>
      </x:c>
      <x:c r="M16" s="6" t="n">
        <x:f>L16-B16</x:f>
        <x:v>-1</x:v>
      </x:c>
      <x:c r="N16" s="24" t="str">
        <x:v>回合末扣幸存者，不当作战斗DPS</x:v>
      </x:c>
      <x:c r="O16" s="24" t="str">
        <x:v>res://data/cards/poison_on_hit.tres</x:v>
      </x:c>
      <x:c r="P16" s="6" t="str"/>
    </x:row>
    <x:row r="17" ht="36" customHeight="1">
      <x:c r="A17" s="6" t="str">
        <x:v>力量强化</x:v>
      </x:c>
      <x:c r="B17" s="17" t="n">
        <x:v>1</x:v>
      </x:c>
      <x:c r="C17" s="17" t="n">
        <x:v>5</x:v>
      </x:c>
      <x:c r="D17" s="6" t="str">
        <x:v>攻击强化</x:v>
      </x:c>
      <x:c r="E17" s="6" t="str">
        <x:v>否</x:v>
      </x:c>
      <x:c r="F17" s="12" t="n">
        <x:v>0</x:v>
      </x:c>
      <x:c r="G17" s="23" t="n">
        <x:f>'单位战力'!M23*C17/MAX('单位战力'!E23-'调参总览'!$B$11,1)*'调参总览'!$B$14</x:f>
        <x:v>86.4</x:v>
      </x:c>
      <x:c r="H17" s="12" t="n">
        <x:v>0</x:v>
      </x:c>
      <x:c r="I17" s="12" t="n">
        <x:v>0</x:v>
      </x:c>
      <x:c r="J17" s="12" t="n">
        <x:v>0</x:v>
      </x:c>
      <x:c r="K17" s="13" t="n">
        <x:v>1</x:v>
      </x:c>
      <x:c r="L17" s="6" t="n">
        <x:f>((SQRT((1+F17/'单位战力'!O23)*(1+G17/('单位战力'!M23*'调参总览'!$B$14)))-1)*'单位战力'!P23+H17)*K17+I17-J17*'调参总览'!$B$33</x:f>
        <x:v>0.41421356237309515</x:v>
      </x:c>
      <x:c r="M17" s="6" t="n">
        <x:f>L17-B17</x:f>
        <x:v>-0.5857864376269049</x:v>
      </x:c>
      <x:c r="N17" s="24" t="str">
        <x:v>只延续到本单位退场；Rounds不会自动转移到下一轮</x:v>
      </x:c>
      <x:c r="O17" s="24" t="str">
        <x:v>res://data/cards/power_enhance.tres</x:v>
      </x:c>
      <x:c r="P17" s="6" t="str"/>
    </x:row>
    <x:row r="18" ht="36" customHeight="1">
      <x:c r="A18" s="6" t="str">
        <x:v>战术涌现</x:v>
      </x:c>
      <x:c r="B18" s="17" t="n">
        <x:v>1</x:v>
      </x:c>
      <x:c r="C18" s="17" t="n">
        <x:v>2</x:v>
      </x:c>
      <x:c r="D18" s="6" t="str">
        <x:v>随机出牌</x:v>
      </x:c>
      <x:c r="E18" s="6" t="str">
        <x:v>否</x:v>
      </x:c>
      <x:c r="F18" s="12" t="n">
        <x:v>0</x:v>
      </x:c>
      <x:c r="G18" s="12" t="n">
        <x:v>0</x:v>
      </x:c>
      <x:c r="H18" s="23" t="n">
        <x:f>C18*'单位战力'!P23</x:f>
        <x:v>2</x:v>
      </x:c>
      <x:c r="I18" s="12" t="n">
        <x:v>0</x:v>
      </x:c>
      <x:c r="J18" s="12" t="n">
        <x:v>0</x:v>
      </x:c>
      <x:c r="K18" s="13" t="n">
        <x:v>0.6</x:v>
      </x:c>
      <x:c r="L18" s="6" t="n">
        <x:f>((SQRT((1+F18/'单位战力'!O23)*(1+G18/('单位战力'!M23*'调参总览'!$B$14)))-1)*'单位战力'!P23+H18)*K18+I18-J18*'调参总览'!$B$33</x:f>
        <x:v>1.2</x:v>
      </x:c>
      <x:c r="M18" s="6" t="n">
        <x:f>L18-B18</x:f>
        <x:v>0.19999999999999996</x:v>
      </x:c>
      <x:c r="N18" s="24" t="str">
        <x:v>免费出牌，可触发后续连锁；随机位置需折损</x:v>
      </x:c>
      <x:c r="O18" s="24" t="str">
        <x:v>res://data/cards/random_play.tres</x:v>
      </x:c>
      <x:c r="P18" s="6" t="str"/>
    </x:row>
    <x:row r="19" ht="36" customHeight="1">
      <x:c r="A19" s="6" t="str">
        <x:v>部队回撤</x:v>
      </x:c>
      <x:c r="B19" s="17" t="n">
        <x:v>1</x:v>
      </x:c>
      <x:c r="C19" s="17" t="n">
        <x:v>1</x:v>
      </x:c>
      <x:c r="D19" s="6" t="str">
        <x:v>回撤</x:v>
      </x:c>
      <x:c r="E19" s="6" t="str">
        <x:v>否</x:v>
      </x:c>
      <x:c r="F19" s="12" t="n">
        <x:v>0</x:v>
      </x:c>
      <x:c r="G19" s="12" t="n">
        <x:v>0</x:v>
      </x:c>
      <x:c r="H19" s="12" t="n">
        <x:v>0</x:v>
      </x:c>
      <x:c r="I19" s="12" t="n">
        <x:v>0</x:v>
      </x:c>
      <x:c r="J19" s="12" t="n">
        <x:v>0</x:v>
      </x:c>
      <x:c r="K19" s="13" t="n">
        <x:v>1</x:v>
      </x:c>
      <x:c r="L19" s="6" t="n">
        <x:f>((SQRT((1+F19/'单位战力'!O23)*(1+G19/('单位战力'!M23*'调参总览'!$B$14)))-1)*'单位战力'!P23+H19)*K19+I19-J19*'调参总览'!$B$33</x:f>
        <x:v>0</x:v>
      </x:c>
      <x:c r="M19" s="6" t="n">
        <x:f>L19-B19</x:f>
        <x:v>-1</x:v>
      </x:c>
      <x:c r="N19" s="24" t="str">
        <x:v>当前回到手牌，不加费，可重新满血部署</x:v>
      </x:c>
      <x:c r="O19" s="24" t="str">
        <x:v>res://data/cards/recall_ally.tres</x:v>
      </x:c>
      <x:c r="P19" s="6" t="str"/>
    </x:row>
    <x:row r="20" ht="36" customHeight="1">
      <x:c r="A20" s="6" t="str">
        <x:v>延长交锋</x:v>
      </x:c>
      <x:c r="B20" s="17" t="n">
        <x:v>1</x:v>
      </x:c>
      <x:c r="C20" s="17" t="n">
        <x:v>2</x:v>
      </x:c>
      <x:c r="D20" s="6" t="str">
        <x:v>时长</x:v>
      </x:c>
      <x:c r="E20" s="6" t="str">
        <x:v>是</x:v>
      </x:c>
      <x:c r="F20" s="12" t="n">
        <x:v>0</x:v>
      </x:c>
      <x:c r="G20" s="12" t="n">
        <x:v>0</x:v>
      </x:c>
      <x:c r="H20" s="12" t="n">
        <x:v>0</x:v>
      </x:c>
      <x:c r="I20" s="12" t="n">
        <x:v>0</x:v>
      </x:c>
      <x:c r="J20" s="12" t="n">
        <x:v>0</x:v>
      </x:c>
      <x:c r="K20" s="13" t="n">
        <x:v>0</x:v>
      </x:c>
      <x:c r="L20" s="6" t="n">
        <x:f>((SQRT((1+F20/'单位战力'!O23)*(1+G20/('单位战力'!M23*'调参总览'!$B$14)))-1)*'单位战力'!P23+H20)*K20+I20-J20*'调参总览'!$B$33</x:f>
        <x:v>0</x:v>
      </x:c>
      <x:c r="M20" s="6" t="n">
        <x:f>L20-B20</x:f>
        <x:v>-1</x:v>
      </x:c>
      <x:c r="N20" s="24" t="str">
        <x:v>运行逻辑停用，不进入有效奖励池</x:v>
      </x:c>
      <x:c r="O20" s="24" t="str">
        <x:v>res://data/cards/round_add.tres</x:v>
      </x:c>
      <x:c r="P20" s="6" t="str"/>
    </x:row>
    <x:row r="21" ht="36" customHeight="1">
      <x:c r="A21" s="6" t="str">
        <x:v>短兵速决</x:v>
      </x:c>
      <x:c r="B21" s="17" t="n">
        <x:v>1</x:v>
      </x:c>
      <x:c r="C21" s="17" t="n">
        <x:v>-2</x:v>
      </x:c>
      <x:c r="D21" s="6" t="str">
        <x:v>时长</x:v>
      </x:c>
      <x:c r="E21" s="6" t="str">
        <x:v>是</x:v>
      </x:c>
      <x:c r="F21" s="12" t="n">
        <x:v>0</x:v>
      </x:c>
      <x:c r="G21" s="12" t="n">
        <x:v>0</x:v>
      </x:c>
      <x:c r="H21" s="12" t="n">
        <x:v>0</x:v>
      </x:c>
      <x:c r="I21" s="12" t="n">
        <x:v>0</x:v>
      </x:c>
      <x:c r="J21" s="12" t="n">
        <x:v>0</x:v>
      </x:c>
      <x:c r="K21" s="13" t="n">
        <x:v>0</x:v>
      </x:c>
      <x:c r="L21" s="6" t="n">
        <x:f>((SQRT((1+F21/'单位战力'!O23)*(1+G21/('单位战力'!M23*'调参总览'!$B$14)))-1)*'单位战力'!P23+H21)*K21+I21-J21*'调参总览'!$B$33</x:f>
        <x:v>0</x:v>
      </x:c>
      <x:c r="M21" s="6" t="n">
        <x:f>L21-B21</x:f>
        <x:v>-1</x:v>
      </x:c>
      <x:c r="N21" s="24" t="str">
        <x:v>运行逻辑停用，不进入有效奖励池</x:v>
      </x:c>
      <x:c r="O21" s="24" t="str">
        <x:v>res://data/cards/round_reduce.tres</x:v>
      </x:c>
      <x:c r="P21" s="6" t="str"/>
    </x:row>
    <x:row r="22" ht="24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</x:row>
    <x:row r="23" ht="24" customHeight="1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</x:row>
    <x:row r="24" ht="24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</x:row>
    <x:row r="25" ht="34" customHeight="1">
      <x:c r="A25" s="10" t="str">
        <x:v>遗物</x:v>
      </x:c>
      <x:c r="B25" s="10" t="str">
        <x:v>类型</x:v>
      </x:c>
      <x:c r="C25" s="10" t="str">
        <x:v>数值</x:v>
      </x:c>
      <x:c r="D25" s="10" t="str">
        <x:v>抽牌阈值</x:v>
      </x:c>
      <x:c r="E25" s="10" t="str">
        <x:v>生效范围</x:v>
      </x:c>
      <x:c r="F25" s="6"/>
      <x:c r="G25" s="6"/>
      <x:c r="H25" s="6"/>
      <x:c r="I25" s="6"/>
      <x:c r="J25" s="6"/>
      <x:c r="K25" s="6"/>
      <x:c r="L25" s="6"/>
      <x:c r="M25" s="6"/>
      <x:c r="N25" s="6" t="str">
        <x:v>遗物说明</x:v>
      </x:c>
      <x:c r="O25" s="6" t="str">
        <x:v>来源</x:v>
      </x:c>
      <x:c r="P25" s="6"/>
    </x:row>
    <x:row r="26" ht="43" customHeight="1">
      <x:c r="A26" s="6" t="str">
        <x:v>城防铁壁</x:v>
      </x:c>
      <x:c r="B26" s="6" t="str">
        <x:v>旧城防</x:v>
      </x:c>
      <x:c r="C26" s="6" t="n">
        <x:v>2</x:v>
      </x:c>
      <x:c r="D26" s="6" t="n">
        <x:v>10</x:v>
      </x:c>
      <x:c r="E26" s="6" t="str">
        <x:v>已停用</x:v>
      </x:c>
      <x:c r="F26" s="6"/>
      <x:c r="G26" s="6"/>
      <x:c r="H26" s="6"/>
      <x:c r="I26" s="6"/>
      <x:c r="J26" s="6"/>
      <x:c r="K26" s="6"/>
      <x:c r="L26" s="6"/>
      <x:c r="M26" s="6"/>
      <x:c r="N26" s="24" t="str">
        <x:v>已停用：主堡移除后不再提供基地防御，无法获得此旧版遗物。</x:v>
      </x:c>
      <x:c r="O26" s="24" t="str">
        <x:v>res://data/relics/base_armour.tres</x:v>
      </x:c>
      <x:c r="P26" s="6"/>
    </x:row>
    <x:row r="27" ht="43" customHeight="1">
      <x:c r="A27" s="6" t="str">
        <x:v>坚城之心</x:v>
      </x:c>
      <x:c r="B27" s="6" t="str">
        <x:v>玩家生命</x:v>
      </x:c>
      <x:c r="C27" s="6" t="n">
        <x:v>20</x:v>
      </x:c>
      <x:c r="D27" s="6" t="n">
        <x:v>10</x:v>
      </x:c>
      <x:c r="E27" s="6" t="str">
        <x:v>本局</x:v>
      </x:c>
      <x:c r="F27" s="6"/>
      <x:c r="G27" s="6"/>
      <x:c r="H27" s="6"/>
      <x:c r="I27" s="6"/>
      <x:c r="J27" s="6"/>
      <x:c r="K27" s="6"/>
      <x:c r="L27" s="6"/>
      <x:c r="M27" s="6"/>
      <x:c r="N27" s="24" t="str">
        <x:v>本局玩家生命上限增加20，获得时回复20点生命，剩余生命跨节点保留。</x:v>
      </x:c>
      <x:c r="O27" s="24" t="str">
        <x:v>res://data/relics/base_heart.tres</x:v>
      </x:c>
      <x:c r="P27" s="6"/>
    </x:row>
    <x:row r="28" ht="43" customHeight="1">
      <x:c r="A28" s="6" t="str">
        <x:v>十抽引擎</x:v>
      </x:c>
      <x:c r="B28" s="6" t="str">
        <x:v>抽牌能量</x:v>
      </x:c>
      <x:c r="C28" s="6" t="n">
        <x:v>1</x:v>
      </x:c>
      <x:c r="D28" s="6" t="n">
        <x:v>10</x:v>
      </x:c>
      <x:c r="E28" s="6" t="str">
        <x:v>本局</x:v>
      </x:c>
      <x:c r="F28" s="6"/>
      <x:c r="G28" s="6"/>
      <x:c r="H28" s="6"/>
      <x:c r="I28" s="6"/>
      <x:c r="J28" s="6"/>
      <x:c r="K28" s="6"/>
      <x:c r="L28" s="6"/>
      <x:c r="M28" s="6"/>
      <x:c r="N28" s="24" t="str">
        <x:v>每实际抽到10张牌获得1点能量，计数跨回合、跨战斗保留。</x:v>
      </x:c>
      <x:c r="O28" s="24" t="str">
        <x:v>res://data/relics/draw_engine.tres</x:v>
      </x:c>
      <x:c r="P28" s="6"/>
    </x:row>
    <x:row r="29" ht="43" customHeight="1">
      <x:c r="A29" s="6" t="str">
        <x:v>行军戒指</x:v>
      </x:c>
      <x:c r="B29" s="6" t="str">
        <x:v>抽牌能量</x:v>
      </x:c>
      <x:c r="C29" s="6" t="n">
        <x:v>1</x:v>
      </x:c>
      <x:c r="D29" s="6" t="n">
        <x:v>8</x:v>
      </x:c>
      <x:c r="E29" s="6" t="str">
        <x:v>本局</x:v>
      </x:c>
      <x:c r="F29" s="6"/>
      <x:c r="G29" s="6"/>
      <x:c r="H29" s="6"/>
      <x:c r="I29" s="6"/>
      <x:c r="J29" s="6"/>
      <x:c r="K29" s="6"/>
      <x:c r="L29" s="6"/>
      <x:c r="M29" s="6"/>
      <x:c r="N29" s="24" t="str">
        <x:v>每实际抽到8张牌获得1点能量，计数跨回合、跨战斗保留。</x:v>
      </x:c>
      <x:c r="O29" s="24" t="str">
        <x:v>res://data/relics/draw_ring.tres</x:v>
      </x:c>
      <x:c r="P29" s="6"/>
    </x:row>
    <x:row r="30" ht="43" customHeight="1">
      <x:c r="A30" s="6" t="str">
        <x:v>出征护甲</x:v>
      </x:c>
      <x:c r="B30" s="6" t="str">
        <x:v>首次护甲</x:v>
      </x:c>
      <x:c r="C30" s="6" t="n">
        <x:v>2</x:v>
      </x:c>
      <x:c r="D30" s="6" t="n">
        <x:v>10</x:v>
      </x:c>
      <x:c r="E30" s="6" t="str">
        <x:v>仅首轮单位</x:v>
      </x:c>
      <x:c r="F30" s="6"/>
      <x:c r="G30" s="6"/>
      <x:c r="H30" s="6"/>
      <x:c r="I30" s="6"/>
      <x:c r="J30" s="6"/>
      <x:c r="K30" s="6"/>
      <x:c r="L30" s="6"/>
      <x:c r="M30" s="6"/>
      <x:c r="N30" s="24" t="str">
        <x:v>每场首次开启自动战斗时，己方士兵防御增加2，持续3个战斗回合。</x:v>
      </x:c>
      <x:c r="O30" s="24" t="str">
        <x:v>res://data/relics/opening_armour.tres</x:v>
      </x:c>
      <x:c r="P30" s="6"/>
    </x:row>
    <x:row r="31" ht="43" customHeight="1">
      <x:c r="A31" s="6" t="str">
        <x:v>储能水晶</x:v>
      </x:c>
      <x:c r="B31" s="6" t="str">
        <x:v>能量上限</x:v>
      </x:c>
      <x:c r="C31" s="6" t="n">
        <x:v>1</x:v>
      </x:c>
      <x:c r="D31" s="6" t="n">
        <x:v>10</x:v>
      </x:c>
      <x:c r="E31" s="6" t="str">
        <x:v>本局</x:v>
      </x:c>
      <x:c r="F31" s="6"/>
      <x:c r="G31" s="6"/>
      <x:c r="H31" s="6"/>
      <x:c r="I31" s="6"/>
      <x:c r="J31" s="6"/>
      <x:c r="K31" s="6"/>
      <x:c r="L31" s="6"/>
      <x:c r="M31" s="6"/>
      <x:c r="N31" s="24" t="str">
        <x:v>本局每回合最大能量增加1。</x:v>
      </x:c>
      <x:c r="O31" s="24" t="str">
        <x:v>res://data/relics/reserve_crystal.tres</x:v>
      </x:c>
      <x:c r="P31" s="6"/>
    </x:row>
    <x:row r="32" ht="43" customHeight="1">
      <x:c r="A32" s="6" t="str">
        <x:v>旅人护符</x:v>
      </x:c>
      <x:c r="B32" s="6" t="str">
        <x:v>玩家生命</x:v>
      </x:c>
      <x:c r="C32" s="6" t="n">
        <x:v>12</x:v>
      </x:c>
      <x:c r="D32" s="6" t="n">
        <x:v>10</x:v>
      </x:c>
      <x:c r="E32" s="6" t="str">
        <x:v>本局</x:v>
      </x:c>
      <x:c r="F32" s="6"/>
      <x:c r="G32" s="6"/>
      <x:c r="H32" s="6"/>
      <x:c r="I32" s="6"/>
      <x:c r="J32" s="6"/>
      <x:c r="K32" s="6"/>
      <x:c r="L32" s="6"/>
      <x:c r="M32" s="6"/>
      <x:c r="N32" s="24" t="str">
        <x:v>本局生命上限增加12，获得时回复12点生命。</x:v>
      </x:c>
      <x:c r="O32" s="24" t="str">
        <x:v>res://data/relics/traveler_amulet.tres</x:v>
      </x:c>
      <x:c r="P32" s="6"/>
    </x:row>
    <x:row r="33" ht="24" customHeight="1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</x:row>
    <x:row r="34" ht="24" customHeight="1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</x:row>
    <x:row r="35" ht="24" customHeight="1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</x:row>
    <x:row r="36" ht="34" customHeight="1">
      <x:c r="A36" s="10" t="str">
        <x:v>药水</x:v>
      </x:c>
      <x:c r="B36" s="10" t="str">
        <x:v>每跳伤害</x:v>
      </x:c>
      <x:c r="C36" s="10" t="str">
        <x:v>间隔秒</x:v>
      </x:c>
      <x:c r="D36" s="10" t="str">
        <x:v>观察秒数</x:v>
      </x:c>
      <x:c r="E36" s="10" t="str">
        <x:v>命中跳数</x:v>
      </x:c>
      <x:c r="F36" s="10" t="str">
        <x:v>平均目标</x:v>
      </x:c>
      <x:c r="G36" s="10" t="str">
        <x:v>覆盖率</x:v>
      </x:c>
      <x:c r="H36" s="10" t="str">
        <x:v>估计总伤害</x:v>
      </x:c>
      <x:c r="I36" s="10" t="str">
        <x:v>折算能量</x:v>
      </x:c>
      <x:c r="J36" s="6"/>
      <x:c r="K36" s="6"/>
      <x:c r="L36" s="6"/>
      <x:c r="M36" s="6"/>
      <x:c r="N36" s="6" t="str">
        <x:v>药水说明</x:v>
      </x:c>
      <x:c r="O36" s="6" t="str">
        <x:v>来源</x:v>
      </x:c>
      <x:c r="P36" s="6"/>
    </x:row>
    <x:row r="37" ht="48" customHeight="1">
      <x:c r="A37" s="6" t="str">
        <x:v>火焰药水</x:v>
      </x:c>
      <x:c r="B37" s="12" t="n">
        <x:v>6</x:v>
      </x:c>
      <x:c r="C37" s="12" t="n">
        <x:v>0.5</x:v>
      </x:c>
      <x:c r="D37" s="12" t="n">
        <x:v>12</x:v>
      </x:c>
      <x:c r="E37" s="6" t="n">
        <x:f>1+MAX(0,INT((D37-0.000001)/C37))</x:f>
        <x:v>24</x:v>
      </x:c>
      <x:c r="F37" s="12" t="n">
        <x:v>1.5</x:v>
      </x:c>
      <x:c r="G37" s="12" t="n">
        <x:v>0.5</x:v>
      </x:c>
      <x:c r="H37" s="6" t="n">
        <x:f>B37*E37*F37*G37</x:f>
        <x:v>108</x:v>
      </x:c>
      <x:c r="I37" s="6" t="n">
        <x:f>H37/('单位战力'!M23*'调参总览'!$B$14)</x:f>
        <x:v>1.25</x:v>
      </x:c>
      <x:c r="J37" s="6"/>
      <x:c r="K37" s="6"/>
      <x:c r="L37" s="6"/>
      <x:c r="M37" s="6"/>
      <x:c r="N37" s="24" t="str">
        <x:v>选择落点，每0.5秒对范围内敌军造成6点伤害，持续到本轮结束。</x:v>
      </x:c>
      <x:c r="O37" s="24" t="str">
        <x:v>res://data/potions/fire.tres</x:v>
      </x:c>
      <x:c r="P37" s="6"/>
    </x:row>
    <x:row r="38" ht="48" customHeight="1">
      <x:c r="A38" s="6" t="str">
        <x:v>闪电药水</x:v>
      </x:c>
      <x:c r="B38" s="12" t="n">
        <x:v>20</x:v>
      </x:c>
      <x:c r="C38" s="12" t="n">
        <x:v>0.5</x:v>
      </x:c>
      <x:c r="D38" s="12" t="n">
        <x:v>12</x:v>
      </x:c>
      <x:c r="E38" s="6" t="n">
        <x:f>4</x:f>
        <x:v>4</x:v>
      </x:c>
      <x:c r="F38" s="12" t="n">
        <x:v>1.5</x:v>
      </x:c>
      <x:c r="G38" s="12" t="n">
        <x:v>0.5</x:v>
      </x:c>
      <x:c r="H38" s="6" t="n">
        <x:f>B38*E38*F38*G38</x:f>
        <x:v>60</x:v>
      </x:c>
      <x:c r="I38" s="6" t="n">
        <x:f>H38/('单位战力'!M23*'调参总览'!$B$14)</x:f>
        <x:v>0.6944444444444444</x:v>
      </x:c>
      <x:c r="J38" s="6"/>
      <x:c r="K38" s="6"/>
      <x:c r="L38" s="6"/>
      <x:c r="M38" s="6"/>
      <x:c r="N38" s="24" t="str">
        <x:v>依次点击4个落点，每次对小范围敌军造成20点伤害。每次间隔0.4秒。</x:v>
      </x:c>
      <x:c r="O38" s="24" t="str">
        <x:v>res://data/potions/lightning.tres</x:v>
      </x:c>
      <x:c r="P38" s="6"/>
    </x:row>
    <x:row r="39" ht="48" customHeight="1">
      <x:c r="A39" s="6" t="str">
        <x:v>龙卷风药水</x:v>
      </x:c>
      <x:c r="B39" s="12" t="n">
        <x:v>8</x:v>
      </x:c>
      <x:c r="C39" s="12" t="n">
        <x:v>0.5</x:v>
      </x:c>
      <x:c r="D39" s="12" t="n">
        <x:v>6</x:v>
      </x:c>
      <x:c r="E39" s="6" t="n">
        <x:f>1+MAX(0,INT((D39-0.000001)/C39))</x:f>
        <x:v>12</x:v>
      </x:c>
      <x:c r="F39" s="12" t="n">
        <x:v>1.5</x:v>
      </x:c>
      <x:c r="G39" s="12" t="n">
        <x:v>0.5</x:v>
      </x:c>
      <x:c r="H39" s="6" t="n">
        <x:f>B39*E39*F39*G39</x:f>
        <x:v>72</x:v>
      </x:c>
      <x:c r="I39" s="6" t="n">
        <x:f>H39/('单位战力'!M23*'调参总览'!$B$14)</x:f>
        <x:v>0.8333333333333333</x:v>
      </x:c>
      <x:c r="J39" s="6"/>
      <x:c r="K39" s="6"/>
      <x:c r="L39" s="6"/>
      <x:c r="M39" s="6"/>
      <x:c r="N39" s="24" t="str">
        <x:v>选择落点，龙卷风背离基地移动6秒，每0.5秒对范围内敌军造成8点伤害。</x:v>
      </x:c>
      <x:c r="O39" s="24" t="str">
        <x:v>res://data/potions/tornado.tres</x:v>
      </x:c>
      <x:c r="P39" s="6"/>
    </x:row>
    <x:row r="40" ht="24" customHeight="1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</x:row>
    <x:row r="41" ht="24" customHeight="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</x:row>
    <x:row r="42" ht="24" customHeight="1">
      <x:c r="A42" s="6" t="str">
        <x:v>药水先命中一次。火焰持续到本轮结束；龙卷持续6秒；闪电4次须实际点完。</x:v>
      </x:c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</x:row>
    <x:row r="43" ht="24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</x:row>
    <x:row r="44" ht="24" customHeight="1">
      <x:c r="A44" s="6" t="str">
        <x:v>遗物和药水的真实价值，应看省下的玩家生命与改变的交锋胜负。</x:v>
      </x:c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</x:row>
    <x:row r="45" ht="24" customHeight="1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</x:row>
    <x:row r="46" ht="24" customHeight="1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</x:row>
    <x:row r="47" ht="24" customHeight="1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</x:row>
    <x:row r="48" ht="24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</x:row>
    <x:row r="49" ht="24" customHeight="1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</x:row>
    <x:row r="50" ht="24" customHeight="1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</x:row>
    <x:row r="51" ht="24" customHeight="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</x:row>
    <x:row r="52" ht="24" customHeight="1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</x:row>
    <x:row r="53" ht="24" customHeight="1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55" hidden="0" customWidth="1"/>
    <x:col min="16" max="16" width="1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4" t="str">
        <x:v>一条路线的生命与金币收支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30" customHeight="1">
      <x:c r="A4" s="2" t="str">
        <x:v>10节点为设计示例，并非当前导入路线；采用较高战损检验生命预算。金币支出只是未来商店预算。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40" customHeight="1">
      <x:c r="A6" s="10" t="str">
        <x:v>节点</x:v>
      </x:c>
      <x:c r="B6" s="10" t="str">
        <x:v>类型</x:v>
      </x:c>
      <x:c r="C6" s="10" t="str">
        <x:v>预计交锋数</x:v>
      </x:c>
      <x:c r="D6" s="10" t="str">
        <x:v>交锋胜率</x:v>
      </x:c>
      <x:c r="E6" s="10" t="str">
        <x:v>败轮幸存扣血和</x:v>
      </x:c>
      <x:c r="F6" s="10" t="str">
        <x:v>期望损失生命</x:v>
      </x:c>
      <x:c r="G6" s="10" t="str">
        <x:v>回复生命</x:v>
      </x:c>
      <x:c r="H6" s="10" t="str">
        <x:v>获得金币</x:v>
      </x:c>
      <x:c r="I6" s="10" t="str">
        <x:v>花费金币</x:v>
      </x:c>
      <x:c r="J6" s="10" t="str">
        <x:v>进入生命</x:v>
      </x:c>
      <x:c r="K6" s="10" t="str">
        <x:v>离开生命</x:v>
      </x:c>
      <x:c r="L6" s="10" t="str">
        <x:v>进入金币</x:v>
      </x:c>
      <x:c r="M6" s="10" t="str">
        <x:v>离开金币</x:v>
      </x:c>
      <x:c r="N6" s="10" t="str">
        <x:v>生命状态</x:v>
      </x:c>
      <x:c r="O6" s="10" t="str">
        <x:v>说明</x:v>
      </x:c>
      <x:c r="P6" s="10" t="str">
        <x:v>设计依据</x:v>
      </x:c>
    </x:row>
    <x:row r="7" ht="24" customHeight="1">
      <x:c r="A7" s="18" t="n">
        <x:v>1</x:v>
      </x:c>
      <x:c r="B7" s="12" t="str">
        <x:v>普通战斗</x:v>
      </x:c>
      <x:c r="C7" s="17" t="n">
        <x:v>8</x:v>
      </x:c>
      <x:c r="D7" s="13" t="n">
        <x:v>0.7</x:v>
      </x:c>
      <x:c r="E7" s="17" t="n">
        <x:v>2</x:v>
      </x:c>
      <x:c r="F7" s="22" t="n">
        <x:f>(1-D7)*(C7*(C7+1)/2+C7*E7)</x:f>
        <x:v>15.600000000000001</x:v>
      </x:c>
      <x:c r="G7" s="21" t="n">
        <x:v>0</x:v>
      </x:c>
      <x:c r="H7" s="21" t="n">
        <x:v>0</x:v>
      </x:c>
      <x:c r="I7" s="21" t="n">
        <x:v>0</x:v>
      </x:c>
      <x:c r="J7" s="22" t="n">
        <x:f>'调参总览'!$B$31</x:f>
        <x:v>100</x:v>
      </x:c>
      <x:c r="K7" s="22" t="n">
        <x:f>IF(J7&lt;=0,0,IF(J7-F7&lt;=0,0,MIN('调参总览'!$B$31,J7-F7+G7)))</x:f>
        <x:v>84.4</x:v>
      </x:c>
      <x:c r="L7" s="22" t="n">
        <x:f>'调参总览'!$B$32</x:f>
        <x:v>99</x:v>
      </x:c>
      <x:c r="M7" s="22" t="n">
        <x:f>MAX(0,L7+H7-I7)</x:f>
        <x:v>99</x:v>
      </x:c>
      <x:c r="N7" s="6" t="str">
        <x:f>IF(K7&lt;=0,"死亡",IF(K7&lt;'调参总览'!$B$31*0.25,"生命偏低","尚有余量"))</x:f>
        <x:v>尚有余量</x:v>
      </x:c>
      <x:c r="O7" s="6" t="str">
        <x:v>按同胜率简化估计；非通关率</x:v>
      </x:c>
      <x:c r="P7" s="6" t="str">
        <x:v>建议首版路线</x:v>
      </x:c>
    </x:row>
    <x:row r="8" ht="24" customHeight="1">
      <x:c r="A8" s="18" t="n">
        <x:v>2</x:v>
      </x:c>
      <x:c r="B8" s="12" t="str">
        <x:v>招募事件</x:v>
      </x:c>
      <x:c r="C8" s="17" t="n">
        <x:v>0</x:v>
      </x:c>
      <x:c r="D8" s="13" t="n">
        <x:v>1</x:v>
      </x:c>
      <x:c r="E8" s="17" t="n">
        <x:v>0</x:v>
      </x:c>
      <x:c r="F8" s="22" t="n">
        <x:f>(1-D8)*(C8*(C8+1)/2+C8*E8)</x:f>
        <x:v>0</x:v>
      </x:c>
      <x:c r="G8" s="21" t="n">
        <x:v>0</x:v>
      </x:c>
      <x:c r="H8" s="21" t="n">
        <x:v>0</x:v>
      </x:c>
      <x:c r="I8" s="21" t="n">
        <x:v>0</x:v>
      </x:c>
      <x:c r="J8" s="22" t="n">
        <x:f>K7</x:f>
        <x:v>84.4</x:v>
      </x:c>
      <x:c r="K8" s="22" t="n">
        <x:f>IF(J8&lt;=0,0,IF(J8-F8&lt;=0,0,MIN('调参总览'!$B$31,J8-F8+G8)))</x:f>
        <x:v>84.4</x:v>
      </x:c>
      <x:c r="L8" s="22" t="n">
        <x:f>M7</x:f>
        <x:v>99</x:v>
      </x:c>
      <x:c r="M8" s="22" t="n">
        <x:f>MAX(0,L8+H8-I8)</x:f>
        <x:v>99</x:v>
      </x:c>
      <x:c r="N8" s="6" t="str">
        <x:f>IF(K8&lt;=0,"死亡",IF(K8&lt;'调参总览'!$B$31*0.25,"生命偏低","尚有余量"))</x:f>
        <x:v>尚有余量</x:v>
      </x:c>
      <x:c r="O8" s="6" t="str">
        <x:v>按同胜率简化估计；非通关率</x:v>
      </x:c>
      <x:c r="P8" s="6" t="str">
        <x:v>建议首版路线</x:v>
      </x:c>
    </x:row>
    <x:row r="9" ht="24" customHeight="1">
      <x:c r="A9" s="18" t="n">
        <x:v>3</x:v>
      </x:c>
      <x:c r="B9" s="12" t="str">
        <x:v>普通战斗</x:v>
      </x:c>
      <x:c r="C9" s="17" t="n">
        <x:v>8</x:v>
      </x:c>
      <x:c r="D9" s="13" t="n">
        <x:v>0.7</x:v>
      </x:c>
      <x:c r="E9" s="17" t="n">
        <x:v>2</x:v>
      </x:c>
      <x:c r="F9" s="22" t="n">
        <x:f>(1-D9)*(C9*(C9+1)/2+C9*E9)</x:f>
        <x:v>15.600000000000001</x:v>
      </x:c>
      <x:c r="G9" s="21" t="n">
        <x:v>0</x:v>
      </x:c>
      <x:c r="H9" s="21" t="n">
        <x:v>0</x:v>
      </x:c>
      <x:c r="I9" s="21" t="n">
        <x:v>0</x:v>
      </x:c>
      <x:c r="J9" s="22" t="n">
        <x:f>K8</x:f>
        <x:v>84.4</x:v>
      </x:c>
      <x:c r="K9" s="22" t="n">
        <x:f>IF(J9&lt;=0,0,IF(J9-F9&lt;=0,0,MIN('调参总览'!$B$31,J9-F9+G9)))</x:f>
        <x:v>68.80000000000001</x:v>
      </x:c>
      <x:c r="L9" s="22" t="n">
        <x:f>M8</x:f>
        <x:v>99</x:v>
      </x:c>
      <x:c r="M9" s="22" t="n">
        <x:f>MAX(0,L9+H9-I9)</x:f>
        <x:v>99</x:v>
      </x:c>
      <x:c r="N9" s="6" t="str">
        <x:f>IF(K9&lt;=0,"死亡",IF(K9&lt;'调参总览'!$B$31*0.25,"生命偏低","尚有余量"))</x:f>
        <x:v>尚有余量</x:v>
      </x:c>
      <x:c r="O9" s="6" t="str">
        <x:v>按同胜率简化估计；非通关率</x:v>
      </x:c>
      <x:c r="P9" s="6" t="str">
        <x:v>建议首版路线</x:v>
      </x:c>
    </x:row>
    <x:row r="10" ht="24" customHeight="1">
      <x:c r="A10" s="18" t="n">
        <x:v>4</x:v>
      </x:c>
      <x:c r="B10" s="12" t="str">
        <x:v>休息</x:v>
      </x:c>
      <x:c r="C10" s="17" t="n">
        <x:v>0</x:v>
      </x:c>
      <x:c r="D10" s="13" t="n">
        <x:v>1</x:v>
      </x:c>
      <x:c r="E10" s="17" t="n">
        <x:v>0</x:v>
      </x:c>
      <x:c r="F10" s="22" t="n">
        <x:f>(1-D10)*(C10*(C10+1)/2+C10*E10)</x:f>
        <x:v>0</x:v>
      </x:c>
      <x:c r="G10" s="21" t="n">
        <x:v>20</x:v>
      </x:c>
      <x:c r="H10" s="21" t="n">
        <x:v>0</x:v>
      </x:c>
      <x:c r="I10" s="21" t="n">
        <x:v>0</x:v>
      </x:c>
      <x:c r="J10" s="22" t="n">
        <x:f>K9</x:f>
        <x:v>68.80000000000001</x:v>
      </x:c>
      <x:c r="K10" s="22" t="n">
        <x:f>IF(J10&lt;=0,0,IF(J10-F10&lt;=0,0,MIN('调参总览'!$B$31,J10-F10+G10)))</x:f>
        <x:v>88.80000000000001</x:v>
      </x:c>
      <x:c r="L10" s="22" t="n">
        <x:f>M9</x:f>
        <x:v>99</x:v>
      </x:c>
      <x:c r="M10" s="22" t="n">
        <x:f>MAX(0,L10+H10-I10)</x:f>
        <x:v>99</x:v>
      </x:c>
      <x:c r="N10" s="6" t="str">
        <x:f>IF(K10&lt;=0,"死亡",IF(K10&lt;'调参总览'!$B$31*0.25,"生命偏低","尚有余量"))</x:f>
        <x:v>尚有余量</x:v>
      </x:c>
      <x:c r="O10" s="6" t="str">
        <x:v>按同胜率简化估计；非通关率</x:v>
      </x:c>
      <x:c r="P10" s="6" t="str">
        <x:v>建议首版路线</x:v>
      </x:c>
    </x:row>
    <x:row r="11" ht="24" customHeight="1">
      <x:c r="A11" s="18" t="n">
        <x:v>5</x:v>
      </x:c>
      <x:c r="B11" s="12" t="str">
        <x:v>普通战斗</x:v>
      </x:c>
      <x:c r="C11" s="17" t="n">
        <x:v>8</x:v>
      </x:c>
      <x:c r="D11" s="13" t="n">
        <x:v>0.7</x:v>
      </x:c>
      <x:c r="E11" s="17" t="n">
        <x:v>2</x:v>
      </x:c>
      <x:c r="F11" s="22" t="n">
        <x:f>(1-D11)*(C11*(C11+1)/2+C11*E11)</x:f>
        <x:v>15.600000000000001</x:v>
      </x:c>
      <x:c r="G11" s="21" t="n">
        <x:v>0</x:v>
      </x:c>
      <x:c r="H11" s="21" t="n">
        <x:v>0</x:v>
      </x:c>
      <x:c r="I11" s="21" t="n">
        <x:v>0</x:v>
      </x:c>
      <x:c r="J11" s="22" t="n">
        <x:f>K10</x:f>
        <x:v>88.80000000000001</x:v>
      </x:c>
      <x:c r="K11" s="22" t="n">
        <x:f>IF(J11&lt;=0,0,IF(J11-F11&lt;=0,0,MIN('调参总览'!$B$31,J11-F11+G11)))</x:f>
        <x:v>73.20000000000002</x:v>
      </x:c>
      <x:c r="L11" s="22" t="n">
        <x:f>M10</x:f>
        <x:v>99</x:v>
      </x:c>
      <x:c r="M11" s="22" t="n">
        <x:f>MAX(0,L11+H11-I11)</x:f>
        <x:v>99</x:v>
      </x:c>
      <x:c r="N11" s="6" t="str">
        <x:f>IF(K11&lt;=0,"死亡",IF(K11&lt;'调参总览'!$B$31*0.25,"生命偏低","尚有余量"))</x:f>
        <x:v>尚有余量</x:v>
      </x:c>
      <x:c r="O11" s="6" t="str">
        <x:v>按同胜率简化估计；非通关率</x:v>
      </x:c>
      <x:c r="P11" s="6" t="str">
        <x:v>建议首版路线</x:v>
      </x:c>
    </x:row>
    <x:row r="12" ht="24" customHeight="1">
      <x:c r="A12" s="18" t="n">
        <x:v>6</x:v>
      </x:c>
      <x:c r="B12" s="12" t="str">
        <x:v>遗物事件</x:v>
      </x:c>
      <x:c r="C12" s="17" t="n">
        <x:v>0</x:v>
      </x:c>
      <x:c r="D12" s="13" t="n">
        <x:v>1</x:v>
      </x:c>
      <x:c r="E12" s="17" t="n">
        <x:v>0</x:v>
      </x:c>
      <x:c r="F12" s="22" t="n">
        <x:f>(1-D12)*(C12*(C12+1)/2+C12*E12)</x:f>
        <x:v>0</x:v>
      </x:c>
      <x:c r="G12" s="21" t="n">
        <x:v>0</x:v>
      </x:c>
      <x:c r="H12" s="21" t="n">
        <x:v>0</x:v>
      </x:c>
      <x:c r="I12" s="21" t="n">
        <x:v>0</x:v>
      </x:c>
      <x:c r="J12" s="22" t="n">
        <x:f>K11</x:f>
        <x:v>73.20000000000002</x:v>
      </x:c>
      <x:c r="K12" s="22" t="n">
        <x:f>IF(J12&lt;=0,0,IF(J12-F12&lt;=0,0,MIN('调参总览'!$B$31,J12-F12+G12)))</x:f>
        <x:v>73.20000000000002</x:v>
      </x:c>
      <x:c r="L12" s="22" t="n">
        <x:f>M11</x:f>
        <x:v>99</x:v>
      </x:c>
      <x:c r="M12" s="22" t="n">
        <x:f>MAX(0,L12+H12-I12)</x:f>
        <x:v>99</x:v>
      </x:c>
      <x:c r="N12" s="6" t="str">
        <x:f>IF(K12&lt;=0,"死亡",IF(K12&lt;'调参总览'!$B$31*0.25,"生命偏低","尚有余量"))</x:f>
        <x:v>尚有余量</x:v>
      </x:c>
      <x:c r="O12" s="6" t="str">
        <x:v>按同胜率简化估计；非通关率</x:v>
      </x:c>
      <x:c r="P12" s="6" t="str">
        <x:v>建议首版路线</x:v>
      </x:c>
    </x:row>
    <x:row r="13" ht="24" customHeight="1">
      <x:c r="A13" s="18" t="n">
        <x:v>7</x:v>
      </x:c>
      <x:c r="B13" s="12" t="str">
        <x:v>普通战斗</x:v>
      </x:c>
      <x:c r="C13" s="17" t="n">
        <x:v>8</x:v>
      </x:c>
      <x:c r="D13" s="13" t="n">
        <x:v>0.7</x:v>
      </x:c>
      <x:c r="E13" s="17" t="n">
        <x:v>2</x:v>
      </x:c>
      <x:c r="F13" s="22" t="n">
        <x:f>(1-D13)*(C13*(C13+1)/2+C13*E13)</x:f>
        <x:v>15.600000000000001</x:v>
      </x:c>
      <x:c r="G13" s="21" t="n">
        <x:v>0</x:v>
      </x:c>
      <x:c r="H13" s="21" t="n">
        <x:v>0</x:v>
      </x:c>
      <x:c r="I13" s="21" t="n">
        <x:v>0</x:v>
      </x:c>
      <x:c r="J13" s="22" t="n">
        <x:f>K12</x:f>
        <x:v>73.20000000000002</x:v>
      </x:c>
      <x:c r="K13" s="22" t="n">
        <x:f>IF(J13&lt;=0,0,IF(J13-F13&lt;=0,0,MIN('调参总览'!$B$31,J13-F13+G13)))</x:f>
        <x:v>57.600000000000016</x:v>
      </x:c>
      <x:c r="L13" s="22" t="n">
        <x:f>M12</x:f>
        <x:v>99</x:v>
      </x:c>
      <x:c r="M13" s="22" t="n">
        <x:f>MAX(0,L13+H13-I13)</x:f>
        <x:v>99</x:v>
      </x:c>
      <x:c r="N13" s="6" t="str">
        <x:f>IF(K13&lt;=0,"死亡",IF(K13&lt;'调参总览'!$B$31*0.25,"生命偏低","尚有余量"))</x:f>
        <x:v>尚有余量</x:v>
      </x:c>
      <x:c r="O13" s="6" t="str">
        <x:v>按同胜率简化估计；非通关率</x:v>
      </x:c>
      <x:c r="P13" s="6" t="str">
        <x:v>建议首版路线</x:v>
      </x:c>
    </x:row>
    <x:row r="14" ht="24" customHeight="1">
      <x:c r="A14" s="18" t="n">
        <x:v>8</x:v>
      </x:c>
      <x:c r="B14" s="12" t="str">
        <x:v>普通战斗</x:v>
      </x:c>
      <x:c r="C14" s="17" t="n">
        <x:v>8</x:v>
      </x:c>
      <x:c r="D14" s="13" t="n">
        <x:v>0.7</x:v>
      </x:c>
      <x:c r="E14" s="17" t="n">
        <x:v>2</x:v>
      </x:c>
      <x:c r="F14" s="22" t="n">
        <x:f>(1-D14)*(C14*(C14+1)/2+C14*E14)</x:f>
        <x:v>15.600000000000001</x:v>
      </x:c>
      <x:c r="G14" s="21" t="n">
        <x:v>0</x:v>
      </x:c>
      <x:c r="H14" s="21" t="n">
        <x:v>0</x:v>
      </x:c>
      <x:c r="I14" s="21" t="n">
        <x:v>0</x:v>
      </x:c>
      <x:c r="J14" s="22" t="n">
        <x:f>K13</x:f>
        <x:v>57.600000000000016</x:v>
      </x:c>
      <x:c r="K14" s="22" t="n">
        <x:f>IF(J14&lt;=0,0,IF(J14-F14&lt;=0,0,MIN('调参总览'!$B$31,J14-F14+G14)))</x:f>
        <x:v>42.000000000000014</x:v>
      </x:c>
      <x:c r="L14" s="22" t="n">
        <x:f>M13</x:f>
        <x:v>99</x:v>
      </x:c>
      <x:c r="M14" s="22" t="n">
        <x:f>MAX(0,L14+H14-I14)</x:f>
        <x:v>99</x:v>
      </x:c>
      <x:c r="N14" s="6" t="str">
        <x:f>IF(K14&lt;=0,"死亡",IF(K14&lt;'调参总览'!$B$31*0.25,"生命偏低","尚有余量"))</x:f>
        <x:v>尚有余量</x:v>
      </x:c>
      <x:c r="O14" s="6" t="str">
        <x:v>按同胜率简化估计；非通关率</x:v>
      </x:c>
      <x:c r="P14" s="6" t="str">
        <x:v>建议首版路线</x:v>
      </x:c>
    </x:row>
    <x:row r="15" ht="24" customHeight="1">
      <x:c r="A15" s="18" t="n">
        <x:v>9</x:v>
      </x:c>
      <x:c r="B15" s="12" t="str">
        <x:v>休息</x:v>
      </x:c>
      <x:c r="C15" s="17" t="n">
        <x:v>0</x:v>
      </x:c>
      <x:c r="D15" s="13" t="n">
        <x:v>1</x:v>
      </x:c>
      <x:c r="E15" s="17" t="n">
        <x:v>0</x:v>
      </x:c>
      <x:c r="F15" s="22" t="n">
        <x:f>(1-D15)*(C15*(C15+1)/2+C15*E15)</x:f>
        <x:v>0</x:v>
      </x:c>
      <x:c r="G15" s="21" t="n">
        <x:v>20</x:v>
      </x:c>
      <x:c r="H15" s="21" t="n">
        <x:v>0</x:v>
      </x:c>
      <x:c r="I15" s="21" t="n">
        <x:v>0</x:v>
      </x:c>
      <x:c r="J15" s="22" t="n">
        <x:f>K14</x:f>
        <x:v>42.000000000000014</x:v>
      </x:c>
      <x:c r="K15" s="22" t="n">
        <x:f>IF(J15&lt;=0,0,IF(J15-F15&lt;=0,0,MIN('调参总览'!$B$31,J15-F15+G15)))</x:f>
        <x:v>62.000000000000014</x:v>
      </x:c>
      <x:c r="L15" s="22" t="n">
        <x:f>M14</x:f>
        <x:v>99</x:v>
      </x:c>
      <x:c r="M15" s="22" t="n">
        <x:f>MAX(0,L15+H15-I15)</x:f>
        <x:v>99</x:v>
      </x:c>
      <x:c r="N15" s="6" t="str">
        <x:f>IF(K15&lt;=0,"死亡",IF(K15&lt;'调参总览'!$B$31*0.25,"生命偏低","尚有余量"))</x:f>
        <x:v>尚有余量</x:v>
      </x:c>
      <x:c r="O15" s="6" t="str">
        <x:v>按同胜率简化估计；非通关率</x:v>
      </x:c>
      <x:c r="P15" s="6" t="str">
        <x:v>建议首版路线</x:v>
      </x:c>
    </x:row>
    <x:row r="16" ht="24" customHeight="1">
      <x:c r="A16" s="18" t="n">
        <x:v>10</x:v>
      </x:c>
      <x:c r="B16" s="12" t="str">
        <x:v>Boss</x:v>
      </x:c>
      <x:c r="C16" s="17" t="n">
        <x:v>10</x:v>
      </x:c>
      <x:c r="D16" s="13" t="n">
        <x:v>0.65</x:v>
      </x:c>
      <x:c r="E16" s="17" t="n">
        <x:v>3</x:v>
      </x:c>
      <x:c r="F16" s="22" t="n">
        <x:f>(1-D16)*(C16*(C16+1)/2+C16*E16)</x:f>
        <x:v>29.749999999999996</x:v>
      </x:c>
      <x:c r="G16" s="21" t="n">
        <x:v>0</x:v>
      </x:c>
      <x:c r="H16" s="21" t="n">
        <x:v>0</x:v>
      </x:c>
      <x:c r="I16" s="21" t="n">
        <x:v>0</x:v>
      </x:c>
      <x:c r="J16" s="22" t="n">
        <x:f>K15</x:f>
        <x:v>62.000000000000014</x:v>
      </x:c>
      <x:c r="K16" s="22" t="n">
        <x:f>IF(J16&lt;=0,0,IF(J16-F16&lt;=0,0,MIN('调参总览'!$B$31,J16-F16+G16)))</x:f>
        <x:v>32.250000000000014</x:v>
      </x:c>
      <x:c r="L16" s="22" t="n">
        <x:f>M15</x:f>
        <x:v>99</x:v>
      </x:c>
      <x:c r="M16" s="22" t="n">
        <x:f>MAX(0,L16+H16-I16)</x:f>
        <x:v>99</x:v>
      </x:c>
      <x:c r="N16" s="6" t="str">
        <x:f>IF(K16&lt;=0,"死亡",IF(K16&lt;'调参总览'!$B$31*0.25,"生命偏低","尚有余量"))</x:f>
        <x:v>尚有余量</x:v>
      </x:c>
      <x:c r="O16" s="6" t="str">
        <x:v>按同胜率简化估计；非通关率</x:v>
      </x:c>
      <x:c r="P16" s="6" t="str">
        <x:v>建议首版路线</x:v>
      </x:c>
    </x:row>
    <x:row r="17" ht="24" customHeight="1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</x:row>
    <x:row r="18" ht="24" customHeight="1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</x:row>
    <x:row r="19" ht="24" customHeight="1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</x:row>
    <x:row r="20" ht="24" customHeight="1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</x:row>
  </x:sheetData>
  <x:conditionalFormatting sqref="K7:K16">
    <x:cfRule type="cellIs" dxfId="3" priority="1" operator="lessThanOrEqual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22" topLeftCell="A23" activePane="bottomLeft" state="frozen"/>
    </x:sheetView>
  </x:sheetViews>
  <x:sheetFormatPr defaultRowHeight="15"/>
  <x:cols>
    <x:col min="1" max="1" width="23" hidden="0" customWidth="1"/>
    <x:col min="2" max="2" width="14" hidden="0" customWidth="1"/>
    <x:col min="3" max="3" width="14" hidden="0" customWidth="1"/>
    <x:col min="4" max="4" width="14" hidden="0" customWidth="1"/>
    <x:col min="5" max="5" width="2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6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4" t="str">
        <x:v>试玩记录与胜率区间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30" customHeight="1">
      <x:c r="A4" s="2" t="str">
        <x:v>每行一场同版本、同关卡、同策略的遭遇；当前没有填入虚构试玩数据。最多200行。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4" customHeight="1">
      <x:c r="A6" s="6" t="str">
        <x:v>有效场次</x:v>
      </x:c>
      <x:c r="B6" s="18" t="n">
        <x:f>COUNT(O23:O222)</x:f>
        <x:v>0</x:v>
      </x:c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</x:row>
    <x:row r="7" ht="24" customHeight="1">
      <x:c r="A7" s="6" t="str">
        <x:v>遭遇胜率</x:v>
      </x:c>
      <x:c r="B7" s="14" t="str">
        <x:f>IF(B6=0,"",AVERAGE(O23:O222))</x:f>
      </x:c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</x:row>
    <x:row r="8" ht="24" customHeight="1">
      <x:c r="A8" s="6" t="str">
        <x:v>95%区间下限</x:v>
      </x:c>
      <x:c r="B8" s="14" t="str">
        <x:f>IF(B6=0,"",(B7+'调参总览'!$B$35^2/(2*B6)-'调参总览'!$B$35*SQRT(B7*(1-B7)/B6+'调参总览'!$B$35^2/(4*B6^2)))/(1+'调参总览'!$B$35^2/B6))</x:f>
      </x:c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</x:row>
    <x:row r="9" ht="24" customHeight="1">
      <x:c r="A9" s="6" t="str">
        <x:v>95%区间上限</x:v>
      </x:c>
      <x:c r="B9" s="14" t="str">
        <x:f>IF(B6=0,"",(B7+'调参总览'!$B$35^2/(2*B6)+'调参总览'!$B$35*SQRT(B7*(1-B7)/B6+'调参总览'!$B$35^2/(4*B6^2)))/(1+'调参总览'!$B$35^2/B6))</x:f>
      </x:c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</x:row>
    <x:row r="10" ht="24" customHeight="1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</x:row>
    <x:row r="11" ht="24" customHeight="1">
      <x:c r="A11" s="6" t="str">
        <x:v>来源：https://www.itl.nist.gov/div898/handbook/prc/section2/prc241.htm</x:v>
      </x:c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</x:row>
    <x:row r="12" ht="24" customHeight="1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</x:row>
    <x:row r="13" ht="24" customHeight="1">
      <x:c r="A13" s="6" t="str">
        <x:v>上方统计全部有效行，不随Excel筛选变化；比较分组时复制所需行到空白副本。</x:v>
      </x:c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</x:row>
    <x:row r="14" ht="24" customHeight="1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</x:row>
    <x:row r="15" ht="24" customHeight="1">
      <x:c r="A15" s="6" t="str">
        <x:v>重复测试同一玩家或同一随机种子的样本不独立，区间只作为方向参考。</x:v>
      </x:c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</x:row>
    <x:row r="16" ht="24" customHeight="1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</x:row>
    <x:row r="17" ht="24" customHeight="1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</x:row>
    <x:row r="18" ht="24" customHeight="1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</x:row>
    <x:row r="19" ht="24" customHeight="1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</x:row>
    <x:row r="20" ht="24" customHeight="1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</x:row>
    <x:row r="21" ht="24" customHeight="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</x:row>
    <x:row r="22" ht="34" customHeight="1">
      <x:c r="A22" s="10" t="str">
        <x:v>版本</x:v>
      </x:c>
      <x:c r="B22" s="10" t="str">
        <x:v>随机种子</x:v>
      </x:c>
      <x:c r="C22" s="10" t="str">
        <x:v>局ID</x:v>
      </x:c>
      <x:c r="D22" s="10" t="str">
        <x:v>关卡</x:v>
      </x:c>
      <x:c r="E22" s="10" t="str">
        <x:v>策略/牌组</x:v>
      </x:c>
      <x:c r="F22" s="10" t="str">
        <x:v>药水次数</x:v>
      </x:c>
      <x:c r="G22" s="10" t="str">
        <x:v>可用能量</x:v>
      </x:c>
      <x:c r="H22" s="10" t="str">
        <x:v>消耗能量</x:v>
      </x:c>
      <x:c r="I22" s="10" t="str">
        <x:v>准备秒</x:v>
      </x:c>
      <x:c r="J22" s="10" t="str">
        <x:v>交锋总秒</x:v>
      </x:c>
      <x:c r="K22" s="10" t="str">
        <x:v>交锋轮数</x:v>
      </x:c>
      <x:c r="L22" s="10" t="str">
        <x:v>进入生命</x:v>
      </x:c>
      <x:c r="M22" s="10" t="str">
        <x:v>离开生命</x:v>
      </x:c>
      <x:c r="N22" s="10" t="str">
        <x:v>败轮扣血和</x:v>
      </x:c>
      <x:c r="O22" s="10" t="str">
        <x:v>胜利1失败0</x:v>
      </x:c>
      <x:c r="P22" s="10" t="str">
        <x:v>问题备注</x:v>
      </x:c>
    </x:row>
    <x:row r="23" ht="24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</x:row>
    <x:row r="24" ht="24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</x:row>
    <x:row r="25" ht="24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</x:row>
    <x:row r="26" ht="24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</x:row>
    <x:row r="27" ht="24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</x:row>
    <x:row r="28" ht="24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</x:row>
    <x:row r="29" ht="24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</x:row>
    <x:row r="30" ht="24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</x:row>
    <x:row r="31" ht="24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</x:row>
    <x:row r="32" ht="24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</x:row>
    <x:row r="33" ht="24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</x:row>
    <x:row r="34" ht="24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</x:row>
    <x:row r="35" ht="24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</x:row>
    <x:row r="36" ht="24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</x:row>
    <x:row r="37" ht="24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</x:row>
    <x:row r="38" ht="24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</x:row>
    <x:row r="39" ht="24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</x:row>
    <x:row r="40" ht="24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</x:row>
    <x:row r="41" ht="24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</x:row>
    <x:row r="42" ht="24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</x:row>
    <x:row r="43" ht="24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</x:row>
    <x:row r="44" ht="24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</x:row>
    <x:row r="45" ht="24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</x:row>
    <x:row r="46" ht="24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</x:row>
    <x:row r="47" ht="24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</x:row>
    <x:row r="48" ht="24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</x:row>
    <x:row r="49" ht="24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</x:row>
    <x:row r="50" ht="24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</x:row>
    <x:row r="51" ht="24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</x:row>
    <x:row r="52" ht="24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</x:row>
    <x:row r="53" ht="24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</x:row>
    <x:row r="54" ht="24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</x:row>
    <x:row r="55" ht="24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</x:row>
    <x:row r="56" ht="24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</x:row>
    <x:row r="57" ht="24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</x:row>
    <x:row r="58" ht="24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</x:row>
    <x:row r="59" ht="24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</x:row>
    <x:row r="60" ht="24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</x:row>
    <x:row r="61" ht="24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</x:row>
    <x:row r="62" ht="24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</x:row>
    <x:row r="63" ht="24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</x:row>
    <x:row r="64" ht="24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</x:row>
    <x:row r="65" ht="24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</x:row>
    <x:row r="66" ht="24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</x:row>
    <x:row r="67" ht="24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</x:row>
    <x:row r="68" ht="24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</x:row>
    <x:row r="69" ht="24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</x:row>
    <x:row r="70" ht="24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</x:row>
    <x:row r="71" ht="24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</x:row>
    <x:row r="72" ht="24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</x:row>
    <x:row r="73" ht="24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</x:row>
    <x:row r="74" ht="24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</x:row>
    <x:row r="75" ht="24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</x:row>
    <x:row r="76" ht="24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</x:row>
    <x:row r="77" ht="24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</x:row>
    <x:row r="78" ht="24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</x:row>
    <x:row r="79" ht="24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</x:row>
    <x:row r="80" ht="24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</x:row>
    <x:row r="81" ht="24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</x:row>
    <x:row r="82" ht="24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</x:row>
    <x:row r="83" ht="24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</x:row>
    <x:row r="84" ht="24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</x:row>
    <x:row r="85" ht="24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</x:row>
    <x:row r="86" ht="24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</x:row>
    <x:row r="87" ht="24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</x:row>
    <x:row r="88" ht="24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</x:row>
    <x:row r="89" ht="24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</x:row>
    <x:row r="90" ht="24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</x:row>
    <x:row r="91" ht="24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</x:row>
    <x:row r="92" ht="24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</x:row>
    <x:row r="93" ht="24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</x:row>
    <x:row r="94" ht="24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</x:row>
    <x:row r="95" ht="24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</x:row>
    <x:row r="96" ht="24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</x:row>
    <x:row r="97" ht="24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</x:row>
    <x:row r="98" ht="24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</x:row>
    <x:row r="99" ht="24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</x:row>
    <x:row r="100" ht="24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</x:row>
    <x:row r="101" ht="24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</x:row>
    <x:row r="102" ht="24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</x:row>
    <x:row r="103" ht="24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</x:row>
    <x:row r="104" ht="24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</x:row>
    <x:row r="105" ht="24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</x:row>
    <x:row r="106" ht="24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</x:row>
    <x:row r="107" ht="24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</x:row>
    <x:row r="108" ht="24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</x:row>
    <x:row r="109" ht="24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</x:row>
    <x:row r="110" ht="24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</x:row>
    <x:row r="111" ht="24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</x:row>
    <x:row r="112" ht="24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</x:row>
    <x:row r="113" ht="24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</x:row>
    <x:row r="114" ht="24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</x:row>
    <x:row r="115" ht="24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</x:row>
    <x:row r="116" ht="24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</x:row>
    <x:row r="117" ht="24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</x:row>
    <x:row r="118" ht="24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</x:row>
    <x:row r="119" ht="24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</x:row>
    <x:row r="120" ht="24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</x:row>
    <x:row r="121" ht="24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</x:row>
    <x:row r="122" ht="24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</x:row>
    <x:row r="123" ht="24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</x:row>
    <x:row r="124" ht="24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</x:row>
    <x:row r="125" ht="24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</x:row>
    <x:row r="126" ht="24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</x:row>
    <x:row r="127" ht="24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</x:row>
    <x:row r="128" ht="24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</x:row>
    <x:row r="129" ht="24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</x:row>
    <x:row r="130" ht="24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</x:row>
    <x:row r="131" ht="24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</x:row>
    <x:row r="132" ht="24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</x:row>
    <x:row r="133" ht="24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</x:row>
    <x:row r="134" ht="24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</x:row>
    <x:row r="135" ht="24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</x:row>
    <x:row r="136" ht="24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</x:row>
    <x:row r="137" ht="24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</x:row>
    <x:row r="138" ht="24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</x:row>
    <x:row r="139" ht="24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</x:row>
    <x:row r="140" ht="24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</x:row>
    <x:row r="141" ht="24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</x:row>
    <x:row r="142" ht="24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</x:row>
    <x:row r="143" ht="24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</x:row>
    <x:row r="144" ht="24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</x:row>
    <x:row r="145" ht="24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</x:row>
    <x:row r="146" ht="24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</x:row>
    <x:row r="147" ht="24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</x:row>
    <x:row r="148" ht="24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</x:row>
    <x:row r="149" ht="24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</x:row>
    <x:row r="150" ht="24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</x:row>
    <x:row r="151" ht="24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</x:row>
    <x:row r="152" ht="24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</x:row>
    <x:row r="153" ht="24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</x:row>
    <x:row r="154" ht="24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</x:row>
    <x:row r="155" ht="24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</x:row>
    <x:row r="156" ht="24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</x:row>
    <x:row r="157" ht="24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</x:row>
    <x:row r="158" ht="24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</x:row>
    <x:row r="159" ht="24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</x:row>
    <x:row r="160" ht="24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</x:row>
    <x:row r="161" ht="24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</x:row>
    <x:row r="162" ht="24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</x:row>
    <x:row r="163" ht="24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</x:row>
    <x:row r="164" ht="24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</x:row>
    <x:row r="165" ht="24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</x:row>
    <x:row r="166" ht="24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</x:row>
    <x:row r="167" ht="24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</x:row>
    <x:row r="168" ht="24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</x:row>
    <x:row r="169" ht="24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</x:row>
    <x:row r="170" ht="24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</x:row>
    <x:row r="171" ht="24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</x:row>
    <x:row r="172" ht="24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</x:row>
    <x:row r="173" ht="24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</x:row>
    <x:row r="174" ht="24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</x:row>
    <x:row r="175" ht="24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</x:row>
    <x:row r="176" ht="24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</x:row>
    <x:row r="177" ht="24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</x:row>
    <x:row r="178" ht="24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</x:row>
    <x:row r="179" ht="24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</x:row>
    <x:row r="180" ht="24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</x:row>
    <x:row r="181" ht="24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</x:row>
    <x:row r="182" ht="24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</x:row>
    <x:row r="183" ht="24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</x:row>
    <x:row r="184" ht="24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</x:row>
    <x:row r="185" ht="24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</x:row>
    <x:row r="186" ht="24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</x:row>
    <x:row r="187" ht="24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</x:row>
    <x:row r="188" ht="24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</x:row>
    <x:row r="189" ht="24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</x:row>
    <x:row r="190" ht="24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</x:row>
    <x:row r="191" ht="24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</x:row>
    <x:row r="192" ht="24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</x:row>
    <x:row r="193" ht="24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</x:row>
    <x:row r="194" ht="24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</x:row>
    <x:row r="195" ht="24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</x:row>
    <x:row r="196" ht="24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</x:row>
    <x:row r="197" ht="24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</x:row>
    <x:row r="198" ht="24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</x:row>
    <x:row r="199" ht="24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</x:row>
    <x:row r="200" ht="24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</x:row>
    <x:row r="201" ht="24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</x:row>
    <x:row r="202" ht="24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</x:row>
    <x:row r="203" ht="24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</x:row>
    <x:row r="204" ht="24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</x:row>
    <x:row r="205" ht="24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</x:row>
    <x:row r="206" ht="24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</x:row>
    <x:row r="207" ht="24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</x:row>
    <x:row r="208" ht="24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</x:row>
    <x:row r="209" ht="24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</x:row>
    <x:row r="210" ht="24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</x:row>
    <x:row r="211" ht="24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</x:row>
    <x:row r="212" ht="24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</x:row>
    <x:row r="213" ht="24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</x:row>
    <x:row r="214" ht="24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</x:row>
    <x:row r="215" ht="24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</x:row>
    <x:row r="216" ht="24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</x:row>
    <x:row r="217" ht="24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</x:row>
    <x:row r="218" ht="24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</x:row>
    <x:row r="219" ht="24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</x:row>
    <x:row r="220" ht="24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</x:row>
    <x:row r="221" ht="24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</x:row>
    <x:row r="222" ht="24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</x:row>
  </x:sheetData>
  <x:dataValidations count="1">
    <x:dataValidation type="whole" operator="between" sqref="O23:O222">
      <x:formula1>0</x:formula1>
      <x:formula2>1</x:formula2>
    </x:dataValidation>
  </x:dataValidations>
  <x:pageMargins left="0.7" right="0.7" top="0.75" bottom="0.75" header="0.3" footer="0.3"/>
</x:worksheet>
</file>