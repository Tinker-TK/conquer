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大盘" sheetId="2" state="visible" r:id="rId2"/>
    <sheet xmlns:r="http://schemas.openxmlformats.org/officeDocument/2006/relationships" name="02_对标样本" sheetId="3" state="visible" r:id="rId3"/>
    <sheet xmlns:r="http://schemas.openxmlformats.org/officeDocument/2006/relationships" name="03_评论校准" sheetId="4" state="visible" r:id="rId4"/>
    <sheet xmlns:r="http://schemas.openxmlformats.org/officeDocument/2006/relationships" name="04_财务模型" sheetId="5" state="visible" r:id="rId5"/>
    <sheet xmlns:r="http://schemas.openxmlformats.org/officeDocument/2006/relationships" name="05_大盘原始池" sheetId="6" state="visible" r:id="rId6"/>
  </sheets>
  <definedNames>
    <definedName name="_xlnm._FilterDatabase" localSheetId="1" hidden="1">'01_大盘'!$A$44:$E$60</definedName>
    <definedName name="_xlnm._FilterDatabase" localSheetId="2" hidden="1">'02_对标样本'!$A$4:$O$52</definedName>
    <definedName name="_xlnm._FilterDatabase" localSheetId="3" hidden="1">'03_评论校准'!$A$12:$G$152</definedName>
    <definedName name="_xlnm._FilterDatabase" localSheetId="5" hidden="1">'05_大盘原始池'!$A$4:$H$953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.0"/>
    <numFmt numFmtId="166" formatCode="0.000"/>
    <numFmt numFmtId="167" formatCode="\$#,##0"/>
    <numFmt numFmtId="168" formatCode="0.00\×"/>
    <numFmt numFmtId="169" formatCode="\$#,##0.00"/>
    <numFmt numFmtId="170" formatCode="\¥#,##0"/>
    <numFmt numFmtId="171" formatCode="0.0\×"/>
    <numFmt numFmtId="172" formatCode="\¥#,##0.00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icrosoft YaHei"/>
      <charset val="1"/>
      <family val="0"/>
      <b val="1"/>
      <color rgb="FF1F5C48"/>
      <sz val="22"/>
    </font>
    <font>
      <name val="Microsoft YaHei"/>
      <charset val="1"/>
      <family val="0"/>
      <color rgb="FF64736B"/>
      <sz val="11"/>
    </font>
    <font>
      <name val="Microsoft YaHei"/>
      <charset val="1"/>
      <family val="0"/>
      <color rgb="FF64736B"/>
      <sz val="9"/>
    </font>
    <font>
      <name val="Microsoft YaHei"/>
      <charset val="1"/>
      <family val="0"/>
      <b val="1"/>
      <color rgb="FF1F5C48"/>
      <sz val="9.5"/>
    </font>
    <font>
      <name val="Microsoft YaHei"/>
      <charset val="1"/>
      <family val="0"/>
      <color rgb="FF1B2A24"/>
      <sz val="10"/>
    </font>
    <font>
      <name val="Microsoft YaHei"/>
      <charset val="1"/>
      <family val="0"/>
      <b val="1"/>
      <color rgb="FF1F5C48"/>
      <sz val="11.5"/>
    </font>
    <font>
      <name val="Microsoft YaHei"/>
      <charset val="1"/>
      <family val="0"/>
      <b val="1"/>
      <color rgb="FF1B2A24"/>
      <sz val="9.5"/>
    </font>
    <font>
      <name val="Microsoft YaHei"/>
      <charset val="1"/>
      <family val="0"/>
      <color rgb="FF64736B"/>
      <sz val="9.5"/>
    </font>
    <font>
      <name val="Microsoft YaHei"/>
      <charset val="1"/>
      <family val="0"/>
      <color rgb="FF64736B"/>
      <sz val="8.5"/>
    </font>
    <font>
      <name val="Microsoft YaHei"/>
      <charset val="1"/>
      <family val="0"/>
      <b val="1"/>
      <color rgb="FF1F5C48"/>
      <sz val="16"/>
    </font>
    <font>
      <name val="Microsoft YaHei"/>
      <charset val="1"/>
      <family val="0"/>
      <b val="1"/>
      <color rgb="FFFFFFFF"/>
      <sz val="9.5"/>
    </font>
    <font>
      <name val="Microsoft YaHei"/>
      <charset val="1"/>
      <family val="0"/>
      <color rgb="FF1B2A24"/>
      <sz val="9.5"/>
    </font>
    <font>
      <name val="Noto Sans SC"/>
      <family val="2"/>
      <b val="1"/>
      <color rgb="FF000000"/>
      <sz val="18"/>
    </font>
    <font>
      <name val="Calibri"/>
      <family val="2"/>
      <color rgb="FF000000"/>
      <sz val="10"/>
    </font>
    <font>
      <name val="Noto Sans SC"/>
      <family val="2"/>
      <b val="1"/>
      <color rgb="FF000000"/>
      <sz val="10"/>
    </font>
    <font>
      <name val="Calibri"/>
      <family val="2"/>
      <b val="1"/>
      <color rgb="FF000000"/>
      <sz val="18"/>
    </font>
    <font>
      <name val="Microsoft YaHei"/>
      <charset val="1"/>
      <family val="0"/>
      <color rgb="FF1B2A24"/>
      <sz val="9"/>
    </font>
    <font>
      <name val="Microsoft YaHei"/>
      <charset val="1"/>
      <family val="0"/>
      <b val="1"/>
      <color rgb="FF64736B"/>
      <sz val="9"/>
    </font>
    <font>
      <name val="Microsoft YaHei"/>
      <charset val="1"/>
      <family val="0"/>
      <b val="1"/>
      <color rgb="FF1F5C48"/>
      <sz val="10"/>
    </font>
    <font>
      <name val="Microsoft YaHei"/>
      <charset val="1"/>
      <family val="0"/>
      <b val="1"/>
      <color rgb="FFFFFFFF"/>
      <sz val="8.5"/>
    </font>
    <font>
      <name val="Microsoft YaHei"/>
      <charset val="1"/>
      <family val="0"/>
      <color rgb="FF1B2A24"/>
      <sz val="8.5"/>
    </font>
    <font>
      <name val="Microsoft YaHei"/>
      <charset val="1"/>
      <family val="0"/>
      <b val="1"/>
      <color rgb="FF1B2A24"/>
      <sz val="9"/>
    </font>
    <font>
      <name val="Microsoft YaHei"/>
      <charset val="1"/>
      <family val="0"/>
      <b val="1"/>
      <sz val="9"/>
    </font>
  </fonts>
  <fills count="5">
    <fill>
      <patternFill/>
    </fill>
    <fill>
      <patternFill patternType="gray125"/>
    </fill>
    <fill>
      <patternFill patternType="solid">
        <fgColor rgb="FF1F5C48"/>
        <bgColor rgb="FF008080"/>
      </patternFill>
    </fill>
    <fill>
      <patternFill patternType="solid">
        <fgColor rgb="FFF6EEDC"/>
        <bgColor rgb="FFFFF2CC"/>
      </patternFill>
    </fill>
    <fill>
      <patternFill patternType="solid">
        <fgColor rgb="FFFFF2CC"/>
        <bgColor rgb="FFF6EED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8CDB8"/>
      </bottom>
      <diagonal/>
    </border>
    <border>
      <left/>
      <right/>
      <top/>
      <bottom style="hair">
        <color rgb="FFD8CD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14" fillId="2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general" vertical="top"/>
    </xf>
    <xf numFmtId="3" fontId="15" fillId="0" borderId="2" applyAlignment="1" pivotButton="0" quotePrefix="0" xfId="0">
      <alignment horizontal="general" vertical="top"/>
    </xf>
    <xf numFmtId="164" fontId="15" fillId="0" borderId="2" applyAlignment="1" pivotButton="0" quotePrefix="0" xfId="0">
      <alignment horizontal="general" vertical="top"/>
    </xf>
    <xf numFmtId="165" fontId="15" fillId="0" borderId="2" applyAlignment="1" pivotButton="0" quotePrefix="0" xfId="0">
      <alignment horizontal="general" vertical="top"/>
    </xf>
    <xf numFmtId="0" fontId="15" fillId="3" borderId="2" applyAlignment="1" pivotButton="0" quotePrefix="0" xfId="0">
      <alignment horizontal="general" vertical="top"/>
    </xf>
    <xf numFmtId="3" fontId="15" fillId="3" borderId="2" applyAlignment="1" pivotButton="0" quotePrefix="0" xfId="0">
      <alignment horizontal="general" vertical="top"/>
    </xf>
    <xf numFmtId="164" fontId="15" fillId="3" borderId="2" applyAlignment="1" pivotButton="0" quotePrefix="0" xfId="0">
      <alignment horizontal="general" vertical="top"/>
    </xf>
    <xf numFmtId="165" fontId="15" fillId="3" borderId="2" applyAlignment="1" pivotButton="0" quotePrefix="0" xfId="0">
      <alignment horizontal="general" vertical="top"/>
    </xf>
    <xf numFmtId="166" fontId="15" fillId="0" borderId="2" applyAlignment="1" pivotButton="0" quotePrefix="0" xfId="0">
      <alignment horizontal="general" vertical="top"/>
    </xf>
    <xf numFmtId="166" fontId="15" fillId="3" borderId="2" applyAlignment="1" pivotButton="0" quotePrefix="0" xfId="0">
      <alignment horizontal="general" vertical="top"/>
    </xf>
    <xf numFmtId="167" fontId="15" fillId="0" borderId="2" applyAlignment="1" pivotButton="0" quotePrefix="0" xfId="0">
      <alignment horizontal="general" vertical="top"/>
    </xf>
    <xf numFmtId="167" fontId="15" fillId="3" borderId="2" applyAlignment="1" pivotButton="0" quotePrefix="0" xfId="0">
      <alignment horizontal="general" vertical="top"/>
    </xf>
    <xf numFmtId="168" fontId="15" fillId="0" borderId="2" applyAlignment="1" pivotButton="0" quotePrefix="0" xfId="0">
      <alignment horizontal="general" vertical="top"/>
    </xf>
    <xf numFmtId="168" fontId="15" fillId="3" borderId="2" applyAlignment="1" pivotButton="0" quotePrefix="0" xfId="0">
      <alignment horizontal="general" vertical="top"/>
    </xf>
    <xf numFmtId="0" fontId="20" fillId="0" borderId="2" applyAlignment="1" pivotButton="0" quotePrefix="0" xfId="0">
      <alignment horizontal="general" vertical="top"/>
    </xf>
    <xf numFmtId="0" fontId="20" fillId="0" borderId="2" applyAlignment="1" pivotButton="0" quotePrefix="0" xfId="0">
      <alignment horizontal="general" vertical="top" wrapText="1"/>
    </xf>
    <xf numFmtId="169" fontId="20" fillId="0" borderId="2" applyAlignment="1" pivotButton="0" quotePrefix="0" xfId="0">
      <alignment horizontal="general" vertical="top"/>
    </xf>
    <xf numFmtId="170" fontId="20" fillId="0" borderId="2" applyAlignment="1" pivotButton="0" quotePrefix="0" xfId="0">
      <alignment horizontal="general" vertical="top"/>
    </xf>
    <xf numFmtId="3" fontId="20" fillId="0" borderId="2" applyAlignment="1" pivotButton="0" quotePrefix="0" xfId="0">
      <alignment horizontal="general" vertical="top"/>
    </xf>
    <xf numFmtId="164" fontId="20" fillId="0" borderId="2" applyAlignment="1" pivotButton="0" quotePrefix="0" xfId="0">
      <alignment horizontal="general" vertical="top"/>
    </xf>
    <xf numFmtId="171" fontId="20" fillId="0" borderId="2" applyAlignment="1" pivotButton="0" quotePrefix="0" xfId="0">
      <alignment horizontal="general" vertical="top"/>
    </xf>
    <xf numFmtId="167" fontId="20" fillId="0" borderId="2" applyAlignment="1" pivotButton="0" quotePrefix="0" xfId="0">
      <alignment horizontal="general" vertical="top"/>
    </xf>
    <xf numFmtId="0" fontId="20" fillId="3" borderId="2" applyAlignment="1" pivotButton="0" quotePrefix="0" xfId="0">
      <alignment horizontal="general" vertical="top"/>
    </xf>
    <xf numFmtId="0" fontId="20" fillId="3" borderId="2" applyAlignment="1" pivotButton="0" quotePrefix="0" xfId="0">
      <alignment horizontal="general" vertical="top" wrapText="1"/>
    </xf>
    <xf numFmtId="169" fontId="20" fillId="3" borderId="2" applyAlignment="1" pivotButton="0" quotePrefix="0" xfId="0">
      <alignment horizontal="general" vertical="top"/>
    </xf>
    <xf numFmtId="170" fontId="20" fillId="3" borderId="2" applyAlignment="1" pivotButton="0" quotePrefix="0" xfId="0">
      <alignment horizontal="general" vertical="top"/>
    </xf>
    <xf numFmtId="3" fontId="20" fillId="3" borderId="2" applyAlignment="1" pivotButton="0" quotePrefix="0" xfId="0">
      <alignment horizontal="general" vertical="top"/>
    </xf>
    <xf numFmtId="164" fontId="20" fillId="3" borderId="2" applyAlignment="1" pivotButton="0" quotePrefix="0" xfId="0">
      <alignment horizontal="general" vertical="top"/>
    </xf>
    <xf numFmtId="171" fontId="20" fillId="3" borderId="2" applyAlignment="1" pivotButton="0" quotePrefix="0" xfId="0">
      <alignment horizontal="general" vertical="top"/>
    </xf>
    <xf numFmtId="167" fontId="20" fillId="3" borderId="2" applyAlignment="1" pivotButton="0" quotePrefix="0" xfId="0">
      <alignment horizontal="general" vertical="top"/>
    </xf>
    <xf numFmtId="0" fontId="21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3" fontId="20" fillId="0" borderId="2" applyAlignment="1" pivotButton="0" quotePrefix="0" xfId="0">
      <alignment horizontal="general" vertical="bottom"/>
    </xf>
    <xf numFmtId="171" fontId="20" fillId="0" borderId="2" applyAlignment="1" pivotButton="0" quotePrefix="0" xfId="0">
      <alignment horizontal="general" vertical="bottom"/>
    </xf>
    <xf numFmtId="0" fontId="23" fillId="2" borderId="0" applyAlignment="1" pivotButton="0" quotePrefix="0" xfId="0">
      <alignment horizontal="center" vertical="bottom"/>
    </xf>
    <xf numFmtId="0" fontId="20" fillId="3" borderId="2" applyAlignment="1" pivotButton="0" quotePrefix="0" xfId="0">
      <alignment horizontal="general" vertical="bottom"/>
    </xf>
    <xf numFmtId="3" fontId="20" fillId="3" borderId="2" applyAlignment="1" pivotButton="0" quotePrefix="0" xfId="0">
      <alignment horizontal="general" vertical="bottom"/>
    </xf>
    <xf numFmtId="171" fontId="20" fillId="3" borderId="2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4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70" fontId="8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horizontal="general" vertical="bottom"/>
    </xf>
    <xf numFmtId="169" fontId="8" fillId="4" borderId="0" applyAlignment="1" pivotButton="0" quotePrefix="0" xfId="0">
      <alignment horizontal="general" vertical="bottom"/>
    </xf>
    <xf numFmtId="9" fontId="8" fillId="4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172" fontId="22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170" fontId="20" fillId="0" borderId="2" applyAlignment="1" pivotButton="0" quotePrefix="0" xfId="0">
      <alignment horizontal="general" vertical="bottom"/>
    </xf>
    <xf numFmtId="164" fontId="20" fillId="0" borderId="2" applyAlignment="1" pivotButton="0" quotePrefix="0" xfId="0">
      <alignment horizontal="general" vertical="bottom"/>
    </xf>
    <xf numFmtId="170" fontId="20" fillId="3" borderId="2" applyAlignment="1" pivotButton="0" quotePrefix="0" xfId="0">
      <alignment horizontal="general" vertical="bottom"/>
    </xf>
    <xf numFmtId="164" fontId="20" fillId="3" borderId="2" applyAlignment="1" pivotButton="0" quotePrefix="0" xfId="0">
      <alignment horizontal="general" vertical="bottom"/>
    </xf>
    <xf numFmtId="172" fontId="20" fillId="0" borderId="2" applyAlignment="1" pivotButton="0" quotePrefix="0" xfId="0">
      <alignment horizontal="general" vertical="bottom"/>
    </xf>
    <xf numFmtId="172" fontId="20" fillId="3" borderId="2" applyAlignment="1" pivotButton="0" quotePrefix="0" xfId="0">
      <alignment horizontal="general" vertical="bottom"/>
    </xf>
    <xf numFmtId="0" fontId="24" fillId="0" borderId="2" applyAlignment="1" pivotButton="0" quotePrefix="0" xfId="0">
      <alignment horizontal="general" vertical="bottom"/>
    </xf>
    <xf numFmtId="169" fontId="24" fillId="0" borderId="2" applyAlignment="1" pivotButton="0" quotePrefix="0" xfId="0">
      <alignment horizontal="general" vertical="bottom"/>
    </xf>
    <xf numFmtId="3" fontId="24" fillId="0" borderId="2" applyAlignment="1" pivotButton="0" quotePrefix="0" xfId="0">
      <alignment horizontal="general" vertical="bottom"/>
    </xf>
    <xf numFmtId="0" fontId="24" fillId="3" borderId="2" applyAlignment="1" pivotButton="0" quotePrefix="0" xfId="0">
      <alignment horizontal="general" vertical="bottom"/>
    </xf>
    <xf numFmtId="169" fontId="24" fillId="3" borderId="2" applyAlignment="1" pivotButton="0" quotePrefix="0" xfId="0">
      <alignment horizontal="general" vertical="bottom"/>
    </xf>
    <xf numFmtId="3" fontId="24" fillId="3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14" fillId="2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general" vertical="top"/>
    </xf>
    <xf numFmtId="3" fontId="15" fillId="0" borderId="2" applyAlignment="1" pivotButton="0" quotePrefix="0" xfId="0">
      <alignment horizontal="general" vertical="top"/>
    </xf>
    <xf numFmtId="164" fontId="15" fillId="0" borderId="2" applyAlignment="1" pivotButton="0" quotePrefix="0" xfId="0">
      <alignment horizontal="general" vertical="top"/>
    </xf>
    <xf numFmtId="165" fontId="15" fillId="0" borderId="2" applyAlignment="1" pivotButton="0" quotePrefix="0" xfId="0">
      <alignment horizontal="general" vertical="top"/>
    </xf>
    <xf numFmtId="0" fontId="15" fillId="3" borderId="2" applyAlignment="1" pivotButton="0" quotePrefix="0" xfId="0">
      <alignment horizontal="general" vertical="top"/>
    </xf>
    <xf numFmtId="3" fontId="15" fillId="3" borderId="2" applyAlignment="1" pivotButton="0" quotePrefix="0" xfId="0">
      <alignment horizontal="general" vertical="top"/>
    </xf>
    <xf numFmtId="164" fontId="15" fillId="3" borderId="2" applyAlignment="1" pivotButton="0" quotePrefix="0" xfId="0">
      <alignment horizontal="general" vertical="top"/>
    </xf>
    <xf numFmtId="165" fontId="15" fillId="3" borderId="2" applyAlignment="1" pivotButton="0" quotePrefix="0" xfId="0">
      <alignment horizontal="general" vertical="top"/>
    </xf>
    <xf numFmtId="166" fontId="15" fillId="0" borderId="2" applyAlignment="1" pivotButton="0" quotePrefix="0" xfId="0">
      <alignment horizontal="general" vertical="top"/>
    </xf>
    <xf numFmtId="166" fontId="15" fillId="3" borderId="2" applyAlignment="1" pivotButton="0" quotePrefix="0" xfId="0">
      <alignment horizontal="general" vertical="top"/>
    </xf>
    <xf numFmtId="167" fontId="15" fillId="0" borderId="2" applyAlignment="1" pivotButton="0" quotePrefix="0" xfId="0">
      <alignment horizontal="general" vertical="top"/>
    </xf>
    <xf numFmtId="167" fontId="15" fillId="3" borderId="2" applyAlignment="1" pivotButton="0" quotePrefix="0" xfId="0">
      <alignment horizontal="general" vertical="top"/>
    </xf>
    <xf numFmtId="168" fontId="15" fillId="0" borderId="2" applyAlignment="1" pivotButton="0" quotePrefix="0" xfId="0">
      <alignment horizontal="general" vertical="top"/>
    </xf>
    <xf numFmtId="168" fontId="15" fillId="3" borderId="2" applyAlignment="1" pivotButton="0" quotePrefix="0" xfId="0">
      <alignment horizontal="general" vertical="top"/>
    </xf>
    <xf numFmtId="0" fontId="20" fillId="0" borderId="2" applyAlignment="1" pivotButton="0" quotePrefix="0" xfId="0">
      <alignment horizontal="general" vertical="top"/>
    </xf>
    <xf numFmtId="0" fontId="20" fillId="0" borderId="2" applyAlignment="1" pivotButton="0" quotePrefix="0" xfId="0">
      <alignment horizontal="general" vertical="top" wrapText="1"/>
    </xf>
    <xf numFmtId="169" fontId="20" fillId="0" borderId="2" applyAlignment="1" pivotButton="0" quotePrefix="0" xfId="0">
      <alignment horizontal="general" vertical="top"/>
    </xf>
    <xf numFmtId="170" fontId="20" fillId="0" borderId="2" applyAlignment="1" pivotButton="0" quotePrefix="0" xfId="0">
      <alignment horizontal="general" vertical="top"/>
    </xf>
    <xf numFmtId="3" fontId="20" fillId="0" borderId="2" applyAlignment="1" pivotButton="0" quotePrefix="0" xfId="0">
      <alignment horizontal="general" vertical="top"/>
    </xf>
    <xf numFmtId="164" fontId="20" fillId="0" borderId="2" applyAlignment="1" pivotButton="0" quotePrefix="0" xfId="0">
      <alignment horizontal="general" vertical="top"/>
    </xf>
    <xf numFmtId="171" fontId="20" fillId="0" borderId="2" applyAlignment="1" pivotButton="0" quotePrefix="0" xfId="0">
      <alignment horizontal="general" vertical="top"/>
    </xf>
    <xf numFmtId="167" fontId="20" fillId="0" borderId="2" applyAlignment="1" pivotButton="0" quotePrefix="0" xfId="0">
      <alignment horizontal="general" vertical="top"/>
    </xf>
    <xf numFmtId="0" fontId="20" fillId="3" borderId="2" applyAlignment="1" pivotButton="0" quotePrefix="0" xfId="0">
      <alignment horizontal="general" vertical="top"/>
    </xf>
    <xf numFmtId="0" fontId="20" fillId="3" borderId="2" applyAlignment="1" pivotButton="0" quotePrefix="0" xfId="0">
      <alignment horizontal="general" vertical="top" wrapText="1"/>
    </xf>
    <xf numFmtId="169" fontId="20" fillId="3" borderId="2" applyAlignment="1" pivotButton="0" quotePrefix="0" xfId="0">
      <alignment horizontal="general" vertical="top"/>
    </xf>
    <xf numFmtId="170" fontId="20" fillId="3" borderId="2" applyAlignment="1" pivotButton="0" quotePrefix="0" xfId="0">
      <alignment horizontal="general" vertical="top"/>
    </xf>
    <xf numFmtId="3" fontId="20" fillId="3" borderId="2" applyAlignment="1" pivotButton="0" quotePrefix="0" xfId="0">
      <alignment horizontal="general" vertical="top"/>
    </xf>
    <xf numFmtId="164" fontId="20" fillId="3" borderId="2" applyAlignment="1" pivotButton="0" quotePrefix="0" xfId="0">
      <alignment horizontal="general" vertical="top"/>
    </xf>
    <xf numFmtId="171" fontId="20" fillId="3" borderId="2" applyAlignment="1" pivotButton="0" quotePrefix="0" xfId="0">
      <alignment horizontal="general" vertical="top"/>
    </xf>
    <xf numFmtId="167" fontId="20" fillId="3" borderId="2" applyAlignment="1" pivotButton="0" quotePrefix="0" xfId="0">
      <alignment horizontal="general" vertical="top"/>
    </xf>
    <xf numFmtId="0" fontId="21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3" fontId="20" fillId="0" borderId="2" applyAlignment="1" pivotButton="0" quotePrefix="0" xfId="0">
      <alignment horizontal="general" vertical="bottom"/>
    </xf>
    <xf numFmtId="171" fontId="20" fillId="0" borderId="2" applyAlignment="1" pivotButton="0" quotePrefix="0" xfId="0">
      <alignment horizontal="general" vertical="bottom"/>
    </xf>
    <xf numFmtId="0" fontId="23" fillId="2" borderId="0" applyAlignment="1" pivotButton="0" quotePrefix="0" xfId="0">
      <alignment horizontal="center" vertical="bottom"/>
    </xf>
    <xf numFmtId="0" fontId="20" fillId="3" borderId="2" applyAlignment="1" pivotButton="0" quotePrefix="0" xfId="0">
      <alignment horizontal="general" vertical="bottom"/>
    </xf>
    <xf numFmtId="3" fontId="20" fillId="3" borderId="2" applyAlignment="1" pivotButton="0" quotePrefix="0" xfId="0">
      <alignment horizontal="general" vertical="bottom"/>
    </xf>
    <xf numFmtId="171" fontId="20" fillId="3" borderId="2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4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70" fontId="8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horizontal="general" vertical="bottom"/>
    </xf>
    <xf numFmtId="169" fontId="8" fillId="4" borderId="0" applyAlignment="1" pivotButton="0" quotePrefix="0" xfId="0">
      <alignment horizontal="general" vertical="bottom"/>
    </xf>
    <xf numFmtId="9" fontId="8" fillId="4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172" fontId="22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170" fontId="20" fillId="0" borderId="2" applyAlignment="1" pivotButton="0" quotePrefix="0" xfId="0">
      <alignment horizontal="general" vertical="bottom"/>
    </xf>
    <xf numFmtId="164" fontId="20" fillId="0" borderId="2" applyAlignment="1" pivotButton="0" quotePrefix="0" xfId="0">
      <alignment horizontal="general" vertical="bottom"/>
    </xf>
    <xf numFmtId="170" fontId="20" fillId="3" borderId="2" applyAlignment="1" pivotButton="0" quotePrefix="0" xfId="0">
      <alignment horizontal="general" vertical="bottom"/>
    </xf>
    <xf numFmtId="164" fontId="20" fillId="3" borderId="2" applyAlignment="1" pivotButton="0" quotePrefix="0" xfId="0">
      <alignment horizontal="general" vertical="bottom"/>
    </xf>
    <xf numFmtId="172" fontId="20" fillId="0" borderId="2" applyAlignment="1" pivotButton="0" quotePrefix="0" xfId="0">
      <alignment horizontal="general" vertical="bottom"/>
    </xf>
    <xf numFmtId="172" fontId="20" fillId="3" borderId="2" applyAlignment="1" pivotButton="0" quotePrefix="0" xfId="0">
      <alignment horizontal="general" vertical="bottom"/>
    </xf>
    <xf numFmtId="0" fontId="24" fillId="0" borderId="2" applyAlignment="1" pivotButton="0" quotePrefix="0" xfId="0">
      <alignment horizontal="general" vertical="bottom"/>
    </xf>
    <xf numFmtId="169" fontId="24" fillId="0" borderId="2" applyAlignment="1" pivotButton="0" quotePrefix="0" xfId="0">
      <alignment horizontal="general" vertical="bottom"/>
    </xf>
    <xf numFmtId="3" fontId="24" fillId="0" borderId="2" applyAlignment="1" pivotButton="0" quotePrefix="0" xfId="0">
      <alignment horizontal="general" vertical="bottom"/>
    </xf>
    <xf numFmtId="0" fontId="24" fillId="3" borderId="2" applyAlignment="1" pivotButton="0" quotePrefix="0" xfId="0">
      <alignment horizontal="general" vertical="bottom"/>
    </xf>
    <xf numFmtId="169" fontId="24" fillId="3" borderId="2" applyAlignment="1" pivotButton="0" quotePrefix="0" xfId="0">
      <alignment horizontal="general" vertical="bottom"/>
    </xf>
    <xf numFmtId="3" fontId="24" fillId="3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5C48"/>
          <bgColor rgb="FF000000"/>
        </patternFill>
      </fill>
    </dxf>
    <dxf>
      <fill>
        <patternFill patternType="solid">
          <fgColor rgb="FFF6EE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2A2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35"/>
      <rgbColor rgb="FF800080"/>
      <rgbColor rgb="FF008080"/>
      <rgbColor rgb="FFD8CDB8"/>
      <rgbColor rgb="FF878787"/>
      <rgbColor rgb="FF9999FF"/>
      <rgbColor rgb="FF993366"/>
      <rgbColor rgb="FFFFF2CC"/>
      <rgbColor rgb="FFF9F9F9"/>
      <rgbColor rgb="FF660066"/>
      <rgbColor rgb="FFB3863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6EE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36B"/>
      <rgbColor rgb="FF8FA89B"/>
      <rgbColor rgb="FF1F5C48"/>
      <rgbColor rgb="FF339966"/>
      <rgbColor rgb="FF003300"/>
      <rgbColor rgb="FF333300"/>
      <rgbColor rgb="FFA34332"/>
      <rgbColor rgb="FF993366"/>
      <rgbColor rgb="FF333399"/>
      <rgbColor rgb="FF1B2A2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年度新增数量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'01_大盘'!B5</f>
              <strCache>
                <ptCount val="1"/>
                <pt idx="0">
                  <v>新增数量</v>
                </pt>
              </strCache>
            </strRef>
          </tx>
          <spPr>
            <a:solidFill xmlns:a="http://schemas.openxmlformats.org/drawingml/2006/main">
              <a:srgbClr val="1F5C48"/>
            </a:solidFill>
            <a:ln xmlns:a="http://schemas.openxmlformats.org/drawingml/2006/main" w="12600">
              <a:solidFill>
                <a:srgbClr val="1F5C48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</dLbls>
          <cat>
            <strRef>
              <f>'01_大盘'!$A$6:$A$13</f>
              <strCache>
                <ptCount val="8"/>
                <pt idx="0">
                  <v>2019</v>
                </pt>
                <pt idx="1">
                  <v>2020</v>
                </pt>
                <pt idx="2">
                  <v>2021</v>
                </pt>
                <pt idx="3">
                  <v>2022</v>
                </pt>
                <pt idx="4">
                  <v>2023</v>
                </pt>
                <pt idx="5">
                  <v>2024</v>
                </pt>
                <pt idx="6">
                  <v>2025</v>
                </pt>
                <pt idx="7">
                  <v>2026</v>
                </pt>
              </strCache>
            </strRef>
          </cat>
          <val>
            <numRef>
              <f>'01_大盘'!$B$6:$B$13</f>
              <numCache>
                <formatCode>General</formatCode>
                <ptCount val="8"/>
                <pt idx="0">
                  <v>15</v>
                </pt>
                <pt idx="1">
                  <v>15</v>
                </pt>
                <pt idx="2">
                  <v>29</v>
                </pt>
                <pt idx="3">
                  <v>42</v>
                </pt>
                <pt idx="4">
                  <v>62</v>
                </pt>
                <pt idx="5">
                  <v>117</v>
                </pt>
                <pt idx="6">
                  <v>190</v>
                </pt>
                <pt idx="7">
                  <v>296</v>
                </pt>
              </numCache>
            </numRef>
          </val>
        </ser>
        <gapWidth val="150"/>
        <overlap val="0"/>
        <axId val="83045502"/>
        <axId val="99829436"/>
      </barChart>
      <catAx>
        <axId val="8304550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9829436"/>
        <crosses val="autoZero"/>
        <auto val="1"/>
        <lblAlgn val="ctr"/>
        <lblOffset val="100"/>
        <noMultiLvlLbl val="0"/>
      </catAx>
      <valAx>
        <axId val="9982943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款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3045502"/>
        <crosses val="autoZero"/>
        <crossBetween val="between"/>
      </valAx>
    </plotArea>
    <plotVisOnly val="1"/>
    <dispBlanksAs val="gap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价格带 5 万份命中率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'01_大盘'!E35</f>
              <strCache>
                <ptCount val="1"/>
                <pt idx="0">
                  <v>≥5 万份</v>
                </pt>
              </strCache>
            </strRef>
          </tx>
          <spPr>
            <a:solidFill xmlns:a="http://schemas.openxmlformats.org/drawingml/2006/main">
              <a:srgbClr val="B3863C"/>
            </a:solidFill>
            <a:ln xmlns:a="http://schemas.openxmlformats.org/drawingml/2006/main" w="12600">
              <a:solidFill>
                <a:srgbClr val="B3863C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</dLbls>
          <cat>
            <strRef>
              <f>'01_大盘'!$A$36:$A$40</f>
              <strCache>
                <ptCount val="5"/>
                <pt idx="0">
                  <v>≤ $9.99</v>
                </pt>
                <pt idx="1">
                  <v>$10–14.99</v>
                </pt>
                <pt idx="2">
                  <v>$15–19.99</v>
                </pt>
                <pt idx="3">
                  <v>$20–24.99</v>
                </pt>
                <pt idx="4">
                  <v>$25+</v>
                </pt>
              </strCache>
            </strRef>
          </cat>
          <val>
            <numRef>
              <f>'01_大盘'!$E$36:$E$40</f>
              <numCache>
                <formatCode>0.0%</formatCode>
                <ptCount val="5"/>
                <pt idx="0">
                  <v>0.076</v>
                </pt>
                <pt idx="1">
                  <v>0.169</v>
                </pt>
                <pt idx="2">
                  <v>0.366</v>
                </pt>
                <pt idx="3">
                  <v>0.7</v>
                </pt>
                <pt idx="4">
                  <v>0.333</v>
                </pt>
              </numCache>
            </numRef>
          </val>
        </ser>
        <gapWidth val="150"/>
        <overlap val="0"/>
        <axId val="38132747"/>
        <axId val="5832648"/>
      </barChart>
      <catAx>
        <axId val="381327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832648"/>
        <crosses val="autoZero"/>
        <auto val="1"/>
        <lblAlgn val="ctr"/>
        <lblOffset val="100"/>
        <noMultiLvlLbl val="0"/>
      </catAx>
      <valAx>
        <axId val="583264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占比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8132747"/>
        <crosses val="autoZero"/>
        <crossBetween val="between"/>
      </valAx>
    </plotArea>
    <plotVisOnly val="1"/>
    <dispBlanksAs val="gap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评论数分布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'03_评论校准'!J13</f>
              <strCache>
                <ptCount val="1"/>
                <pt idx="0">
                  <v>数量</v>
                </pt>
              </strCache>
            </strRef>
          </tx>
          <spPr>
            <a:solidFill xmlns:a="http://schemas.openxmlformats.org/drawingml/2006/main">
              <a:srgbClr val="1F5C48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</dLbls>
          <cat>
            <strRef>
              <f>'03_评论校准'!$I$14:$I$20</f>
              <strCache>
                <ptCount val="7"/>
                <pt idx="0">
                  <v>0</v>
                </pt>
                <pt idx="1">
                  <v>1–49</v>
                </pt>
                <pt idx="2">
                  <v>50–99</v>
                </pt>
                <pt idx="3">
                  <v>100–499</v>
                </pt>
                <pt idx="4">
                  <v>500–999</v>
                </pt>
                <pt idx="5">
                  <v>1,000–4,999</v>
                </pt>
                <pt idx="6">
                  <v>5,000+</v>
                </pt>
              </strCache>
            </strRef>
          </cat>
          <val>
            <numRef>
              <f>'03_评论校准'!$J$14:$J$20</f>
              <numCache>
                <formatCode>General</formatCode>
                <ptCount val="7"/>
                <pt idx="0">
                  <v>4</v>
                </pt>
                <pt idx="1">
                  <v>56</v>
                </pt>
                <pt idx="2">
                  <v>24</v>
                </pt>
                <pt idx="3">
                  <v>35</v>
                </pt>
                <pt idx="4">
                  <v>9</v>
                </pt>
                <pt idx="5">
                  <v>9</v>
                </pt>
                <pt idx="6">
                  <v>3</v>
                </pt>
              </numCache>
            </numRef>
          </val>
        </ser>
        <gapWidth val="150"/>
        <overlap val="0"/>
        <axId val="9048846"/>
        <axId val="27816493"/>
      </barChart>
      <catAx>
        <axId val="904884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7816493"/>
        <crosses val="autoZero"/>
        <auto val="1"/>
        <lblAlgn val="ctr"/>
        <lblOffset val="100"/>
        <noMultiLvlLbl val="0"/>
      </catAx>
      <valAx>
        <axId val="2781649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048846"/>
        <crosses val="autoZero"/>
        <crossBetween val="between"/>
      </valAx>
    </plotArea>
    <plotVisOnly val="1"/>
    <dispBlanksAs val="gap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 editAs="oneCell">
    <from>
      <col>10</col>
      <colOff>0</colOff>
      <row>3</row>
      <rowOff>0</rowOff>
    </from>
    <to>
      <col>18</col>
      <colOff>507600</colOff>
      <row>15</row>
      <rowOff>205200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0</colOff>
      <row>19</row>
      <rowOff>0</rowOff>
    </from>
    <to>
      <col>18</col>
      <colOff>507600</colOff>
      <row>32</row>
      <rowOff>14760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8</col>
      <colOff>0</colOff>
      <row>22</row>
      <rowOff>0</rowOff>
    </from>
    <to>
      <col>15</col>
      <colOff>398880</colOff>
      <row>35</row>
      <rowOff>43200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FF1F5C48"/>
    <outlinePr summaryBelow="1" summaryRight="1"/>
    <pageSetUpPr fitToPage="0"/>
  </sheetPr>
  <dimension ref="B2:C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77" min="1" max="1"/>
    <col width="22" customWidth="1" style="77" min="2" max="2"/>
    <col width="96" customWidth="1" style="77" min="3" max="3"/>
  </cols>
  <sheetData>
    <row r="2" ht="30.55" customHeight="1" s="78">
      <c r="B2" s="79" t="inlineStr">
        <is>
          <t>conquer · 立项数据分析</t>
        </is>
      </c>
    </row>
    <row r="3" ht="15" customHeight="1" s="78">
      <c r="B3" s="80" t="inlineStr">
        <is>
          <t>同类游戏与市场盘子｜配套数据工作簿</t>
        </is>
      </c>
    </row>
    <row r="4" ht="15" customHeight="1" s="78">
      <c r="B4" s="81" t="inlineStr">
        <is>
          <t>数据截止 2026-10-19 · 品类样本 949 款 · 深度对标 48 款 · 评论校准 140 款</t>
        </is>
      </c>
    </row>
    <row r="6" ht="33.75" customHeight="1" s="78">
      <c r="B6" s="82" t="inlineStr">
        <is>
          <t>结论</t>
        </is>
      </c>
      <c r="C6" s="83" t="inlineStr">
        <is>
          <t>有条件立项：按 $19.99 / ¥58、24 个月 / ¥38.8 万预算推进；标准回本线 14,866 份（成熟样本 P66）；目标 2 万份 / 500 条评论。</t>
        </is>
      </c>
    </row>
    <row r="7" ht="33.75" customHeight="1" s="78">
      <c r="B7" s="82" t="inlineStr">
        <is>
          <t>样本池</t>
        </is>
      </c>
      <c r="C7" s="83" t="inlineStr">
        <is>
          <t>Gamalytic Steam 游戏库 API，标签 Roguelike Deckbuilder 全集 949 款；剔除免费、未发售、价格 &lt; $4.99 后 766 款。</t>
        </is>
      </c>
    </row>
    <row r="8" ht="33.75" customHeight="1" s="78">
      <c r="B8" s="82" t="inlineStr">
        <is>
          <t>成熟样本</t>
        </is>
      </c>
      <c r="C8" s="83" t="inlineStr">
        <is>
          <t>2021–2024 年发售的 250 款付费产品，用于分位、命中率与回本判断；2025–2026 只用于观察供给与竞争。</t>
        </is>
      </c>
    </row>
    <row r="9" ht="33.75" customHeight="1" s="78">
      <c r="B9" s="82" t="inlineStr">
        <is>
          <t>价格/发售</t>
        </is>
      </c>
      <c r="C9" s="83" t="inlineStr">
        <is>
          <t>Steam Store API（cc=cn，简中），取中国区原价与发售日。</t>
        </is>
      </c>
    </row>
    <row r="10" ht="33.75" customHeight="1" s="78">
      <c r="B10" s="82" t="inlineStr">
        <is>
          <t>评论</t>
        </is>
      </c>
      <c r="C10" s="83" t="inlineStr">
        <is>
          <t>Steam appreviews API，全部语言、全部购买类型；140 款随机样本用于评论→销量校准。</t>
        </is>
      </c>
    </row>
    <row r="11" ht="33.75" customHeight="1" s="78">
      <c r="B11" s="82" t="inlineStr">
        <is>
          <t>销量</t>
        </is>
      </c>
      <c r="C11" s="83" t="inlineStr">
        <is>
          <t>Gamalytic copiesSold 模型估算；单款误差可能 ±30–50%，用于分位与量级判断，不作财务承诺。</t>
        </is>
      </c>
    </row>
    <row r="12" ht="33.75" customHeight="1" s="78">
      <c r="B12" s="82" t="inlineStr">
        <is>
          <t>净收入</t>
        </is>
      </c>
      <c r="C12" s="83" t="inlineStr">
        <is>
          <t>净收入 = 销量 × 售价 × 0.75（平均实收）× 0.60（开发者分成）。0.45 为两者乘积。</t>
        </is>
      </c>
    </row>
    <row r="13" ht="33.75" customHeight="1" s="78">
      <c r="B13" s="82" t="inlineStr">
        <is>
          <t>评论倍数</t>
        </is>
      </c>
      <c r="C13" s="83" t="inlineStr">
        <is>
          <t>评论倍数 = 销量 ÷ 评论数；随机样本中位 28.8×（P25 17.2× / P75 43.2×）。</t>
        </is>
      </c>
    </row>
    <row r="14" ht="33.75" customHeight="1" s="78">
      <c r="B14" s="82" t="inlineStr">
        <is>
          <t>销量预测</t>
        </is>
      </c>
      <c r="C14" s="83" t="inlineStr">
        <is>
          <t>copies = 10^(0.914 + 1.265 × log10(reviews))，R² = 0.940；仅用于设定评论 KPI。</t>
        </is>
      </c>
    </row>
    <row r="15" ht="33.75" customHeight="1" s="78">
      <c r="B15" s="82" t="inlineStr">
        <is>
          <t>局限</t>
        </is>
      </c>
      <c r="C15" s="83" t="inlineStr">
        <is>
          <t>深度对标 48 款为人工挑选的成功产品，存在幸存者偏差；成功率一律以成熟样本为准。</t>
        </is>
      </c>
    </row>
    <row r="17" ht="15" customHeight="1" s="78">
      <c r="B17" s="84" t="inlineStr">
        <is>
          <t>工作表索引</t>
        </is>
      </c>
    </row>
    <row r="18" ht="15" customHeight="1" s="78">
      <c r="B18" s="85" t="inlineStr">
        <is>
          <t>01_大盘</t>
        </is>
      </c>
      <c r="C18" s="86" t="inlineStr">
        <is>
          <t>年度供给、销量门槛、收入集中度、价格带、标签倍数</t>
        </is>
      </c>
    </row>
    <row r="19" ht="15" customHeight="1" s="78">
      <c r="B19" s="85" t="inlineStr">
        <is>
          <t>02_对标样本</t>
        </is>
      </c>
      <c r="C19" s="86" t="inlineStr">
        <is>
          <t>48 款同类游戏：价格、评论、销量、净收入、标签、Steam 链接</t>
        </is>
      </c>
    </row>
    <row r="20" ht="15" customHeight="1" s="78">
      <c r="B20" s="85" t="inlineStr">
        <is>
          <t>03_评论校准</t>
        </is>
      </c>
      <c r="C20" s="86" t="inlineStr">
        <is>
          <t>140 款随机样本的评论/销量与回归参数</t>
        </is>
      </c>
    </row>
    <row r="21" ht="15" customHeight="1" s="78">
      <c r="B21" s="85" t="inlineStr">
        <is>
          <t>04_财务模型</t>
        </is>
      </c>
      <c r="C21" s="86" t="inlineStr">
        <is>
          <t>预算、回本线、情景、价格敏感性（可改输入）</t>
        </is>
      </c>
    </row>
    <row r="22" ht="15" customHeight="1" s="78">
      <c r="B22" s="85" t="inlineStr">
        <is>
          <t>05_大盘原始池</t>
        </is>
      </c>
      <c r="C22" s="86" t="inlineStr">
        <is>
          <t>949 款标签全集，便于复算或换筛选条件</t>
        </is>
      </c>
    </row>
    <row r="24" ht="15" customHeight="1" s="78">
      <c r="B24" s="87" t="inlineStr">
        <is>
          <t>数据来源：Gamalytic / Steam Store API / Steam Reviews API / SteamSpy（交叉校验）。方法参考 B 站 BV1MjpX6QEVY。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B3863C"/>
    <outlinePr summaryBelow="1" summaryRight="1"/>
    <pageSetUpPr fitToPage="0"/>
  </sheetPr>
  <dimension ref="A1:I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77" min="1" max="1"/>
    <col width="13" customWidth="1" style="77" min="2" max="3"/>
    <col width="24" customWidth="1" style="77" min="4" max="4"/>
    <col width="13" customWidth="1" style="77" min="5" max="8"/>
    <col width="18" customWidth="1" style="77" min="9" max="9"/>
  </cols>
  <sheetData>
    <row r="1" ht="21.6" customHeight="1" s="78">
      <c r="A1" s="88" t="inlineStr">
        <is>
          <t>01 / 大盘：供给、门槛、集中度、价格与标签</t>
        </is>
      </c>
    </row>
    <row r="2" ht="15" customHeight="1" s="78">
      <c r="A2" s="81" t="inlineStr">
        <is>
          <t>标签 Roguelike Deckbuilder｜付费样本 766 款｜成熟样本 250 款（2021–2024）</t>
        </is>
      </c>
    </row>
    <row r="4" ht="16.4" customHeight="1" s="78">
      <c r="A4" s="89" t="inlineStr">
        <is>
          <t>1.1 年度供给与销量</t>
        </is>
      </c>
    </row>
    <row r="5" ht="30" customHeight="1" s="78">
      <c r="A5" s="90" t="inlineStr">
        <is>
          <t>年份</t>
        </is>
      </c>
      <c r="B5" s="90" t="inlineStr">
        <is>
          <t>新增数量</t>
        </is>
      </c>
      <c r="C5" s="90" t="inlineStr">
        <is>
          <t>销量中位数</t>
        </is>
      </c>
      <c r="D5" s="90" t="inlineStr">
        <is>
          <t>P75</t>
        </is>
      </c>
      <c r="E5" s="90" t="inlineStr">
        <is>
          <t>P90</t>
        </is>
      </c>
      <c r="F5" s="90" t="inlineStr">
        <is>
          <t>≥1 万份</t>
        </is>
      </c>
      <c r="G5" s="90" t="inlineStr">
        <is>
          <t>≥5 万份</t>
        </is>
      </c>
      <c r="H5" s="90" t="inlineStr">
        <is>
          <t>≥10 万份</t>
        </is>
      </c>
      <c r="I5" s="90" t="inlineStr">
        <is>
          <t>净收入合计（百万美元）</t>
        </is>
      </c>
    </row>
    <row r="6" ht="15" customHeight="1" s="78">
      <c r="A6" s="91" t="n">
        <v>2019</v>
      </c>
      <c r="B6" s="91" t="n">
        <v>15</v>
      </c>
      <c r="C6" s="92" t="n">
        <v>8608</v>
      </c>
      <c r="D6" s="92" t="n">
        <v>30697</v>
      </c>
      <c r="E6" s="92" t="n">
        <v>535686</v>
      </c>
      <c r="F6" s="93" t="n">
        <v>0.467</v>
      </c>
      <c r="G6" s="93" t="n">
        <v>0.2</v>
      </c>
      <c r="H6" s="93" t="n">
        <v>0.2</v>
      </c>
      <c r="I6" s="94" t="n">
        <v>126.1</v>
      </c>
    </row>
    <row r="7" ht="15" customHeight="1" s="78">
      <c r="A7" s="95" t="n">
        <v>2020</v>
      </c>
      <c r="B7" s="95" t="n">
        <v>15</v>
      </c>
      <c r="C7" s="96" t="n">
        <v>29420</v>
      </c>
      <c r="D7" s="96" t="n">
        <v>102676</v>
      </c>
      <c r="E7" s="96" t="n">
        <v>237178</v>
      </c>
      <c r="F7" s="97" t="n">
        <v>0.667</v>
      </c>
      <c r="G7" s="97" t="n">
        <v>0.333</v>
      </c>
      <c r="H7" s="97" t="n">
        <v>0.267</v>
      </c>
      <c r="I7" s="98" t="n">
        <v>22.1</v>
      </c>
    </row>
    <row r="8" ht="15" customHeight="1" s="78">
      <c r="A8" s="91" t="n">
        <v>2021</v>
      </c>
      <c r="B8" s="91" t="n">
        <v>29</v>
      </c>
      <c r="C8" s="92" t="n">
        <v>4810</v>
      </c>
      <c r="D8" s="92" t="n">
        <v>39079</v>
      </c>
      <c r="E8" s="92" t="n">
        <v>310438</v>
      </c>
      <c r="F8" s="93" t="n">
        <v>0.414</v>
      </c>
      <c r="G8" s="93" t="n">
        <v>0.241</v>
      </c>
      <c r="H8" s="93" t="n">
        <v>0.207</v>
      </c>
      <c r="I8" s="94" t="n">
        <v>24.3</v>
      </c>
    </row>
    <row r="9" ht="15" customHeight="1" s="78">
      <c r="A9" s="95" t="n">
        <v>2022</v>
      </c>
      <c r="B9" s="95" t="n">
        <v>42</v>
      </c>
      <c r="C9" s="96" t="n">
        <v>6129</v>
      </c>
      <c r="D9" s="96" t="n">
        <v>31776</v>
      </c>
      <c r="E9" s="96" t="n">
        <v>80745</v>
      </c>
      <c r="F9" s="97" t="n">
        <v>0.452</v>
      </c>
      <c r="G9" s="97" t="n">
        <v>0.19</v>
      </c>
      <c r="H9" s="97" t="n">
        <v>0.07099999999999999</v>
      </c>
      <c r="I9" s="98" t="n">
        <v>14.5</v>
      </c>
    </row>
    <row r="10" ht="15" customHeight="1" s="78">
      <c r="A10" s="91" t="n">
        <v>2023</v>
      </c>
      <c r="B10" s="91" t="n">
        <v>62</v>
      </c>
      <c r="C10" s="92" t="n">
        <v>9591</v>
      </c>
      <c r="D10" s="92" t="n">
        <v>28299</v>
      </c>
      <c r="E10" s="92" t="n">
        <v>163744</v>
      </c>
      <c r="F10" s="93" t="n">
        <v>0.5</v>
      </c>
      <c r="G10" s="93" t="n">
        <v>0.194</v>
      </c>
      <c r="H10" s="93" t="n">
        <v>0.129</v>
      </c>
      <c r="I10" s="94" t="n">
        <v>24.2</v>
      </c>
    </row>
    <row r="11" ht="15" customHeight="1" s="78">
      <c r="A11" s="95" t="n">
        <v>2024</v>
      </c>
      <c r="B11" s="95" t="n">
        <v>117</v>
      </c>
      <c r="C11" s="96" t="n">
        <v>2904</v>
      </c>
      <c r="D11" s="96" t="n">
        <v>20121</v>
      </c>
      <c r="E11" s="96" t="n">
        <v>85211</v>
      </c>
      <c r="F11" s="97" t="n">
        <v>0.299</v>
      </c>
      <c r="G11" s="97" t="n">
        <v>0.154</v>
      </c>
      <c r="H11" s="97" t="n">
        <v>0.094</v>
      </c>
      <c r="I11" s="98" t="n">
        <v>71.3</v>
      </c>
    </row>
    <row r="12" ht="15" customHeight="1" s="78">
      <c r="A12" s="91" t="n">
        <v>2025</v>
      </c>
      <c r="B12" s="91" t="n">
        <v>190</v>
      </c>
      <c r="C12" s="92" t="n">
        <v>1217</v>
      </c>
      <c r="D12" s="92" t="n">
        <v>9015</v>
      </c>
      <c r="E12" s="92" t="n">
        <v>47719</v>
      </c>
      <c r="F12" s="93" t="n">
        <v>0.242</v>
      </c>
      <c r="G12" s="93" t="n">
        <v>0.1</v>
      </c>
      <c r="H12" s="93" t="n">
        <v>0.063</v>
      </c>
      <c r="I12" s="94" t="n">
        <v>49.3</v>
      </c>
    </row>
    <row r="13" ht="15" customHeight="1" s="78">
      <c r="A13" s="95" t="n">
        <v>2026</v>
      </c>
      <c r="B13" s="95" t="n">
        <v>296</v>
      </c>
      <c r="C13" s="96" t="n">
        <v>337</v>
      </c>
      <c r="D13" s="96" t="n">
        <v>2859</v>
      </c>
      <c r="E13" s="96" t="n">
        <v>25955</v>
      </c>
      <c r="F13" s="97" t="n">
        <v>0.159</v>
      </c>
      <c r="G13" s="97" t="n">
        <v>0.07099999999999999</v>
      </c>
      <c r="H13" s="97" t="n">
        <v>0.044</v>
      </c>
      <c r="I13" s="98" t="n">
        <v>114.4</v>
      </c>
    </row>
    <row r="16" ht="16.4" customHeight="1" s="78">
      <c r="A16" s="89" t="inlineStr">
        <is>
          <t>1.2 销量门槛（成熟样本）</t>
        </is>
      </c>
    </row>
    <row r="17" ht="30" customHeight="1" s="78">
      <c r="A17" s="90" t="inlineStr">
        <is>
          <t>门槛（份）</t>
        </is>
      </c>
      <c r="B17" s="90" t="inlineStr">
        <is>
          <t>达到数量</t>
        </is>
      </c>
      <c r="C17" s="90" t="inlineStr">
        <is>
          <t>占比</t>
        </is>
      </c>
    </row>
    <row r="18" ht="15" customHeight="1" s="78">
      <c r="A18" s="92" t="n">
        <v>1000</v>
      </c>
      <c r="B18" s="92" t="n">
        <v>175</v>
      </c>
      <c r="C18" s="93" t="n">
        <v>0.7</v>
      </c>
    </row>
    <row r="19" ht="15" customHeight="1" s="78">
      <c r="A19" s="96" t="n">
        <v>5000</v>
      </c>
      <c r="B19" s="96" t="n">
        <v>113</v>
      </c>
      <c r="C19" s="97" t="n">
        <v>0.452</v>
      </c>
    </row>
    <row r="20" ht="15" customHeight="1" s="78">
      <c r="A20" s="92" t="n">
        <v>10000</v>
      </c>
      <c r="B20" s="92" t="n">
        <v>97</v>
      </c>
      <c r="C20" s="93" t="n">
        <v>0.388</v>
      </c>
    </row>
    <row r="21" ht="15" customHeight="1" s="78">
      <c r="A21" s="96" t="n">
        <v>30000</v>
      </c>
      <c r="B21" s="96" t="n">
        <v>57</v>
      </c>
      <c r="C21" s="97" t="n">
        <v>0.228</v>
      </c>
    </row>
    <row r="22" ht="15" customHeight="1" s="78">
      <c r="A22" s="92" t="n">
        <v>50000</v>
      </c>
      <c r="B22" s="92" t="n">
        <v>45</v>
      </c>
      <c r="C22" s="93" t="n">
        <v>0.18</v>
      </c>
    </row>
    <row r="23" ht="15" customHeight="1" s="78">
      <c r="A23" s="96" t="n">
        <v>100000</v>
      </c>
      <c r="B23" s="96" t="n">
        <v>28</v>
      </c>
      <c r="C23" s="97" t="n">
        <v>0.112</v>
      </c>
    </row>
    <row r="24" ht="15" customHeight="1" s="78">
      <c r="A24" s="92" t="n">
        <v>300000</v>
      </c>
      <c r="B24" s="92" t="n">
        <v>12</v>
      </c>
      <c r="C24" s="93" t="n">
        <v>0.048</v>
      </c>
    </row>
    <row r="25" ht="15" customHeight="1" s="78">
      <c r="A25" s="96" t="n">
        <v>1000000</v>
      </c>
      <c r="B25" s="96" t="n">
        <v>2</v>
      </c>
      <c r="C25" s="97" t="n">
        <v>0.008</v>
      </c>
    </row>
    <row r="28" ht="16.4" customHeight="1" s="78">
      <c r="A28" s="89" t="inlineStr">
        <is>
          <t>1.3 净收入集中度</t>
        </is>
      </c>
    </row>
    <row r="29" ht="30" customHeight="1" s="78">
      <c r="A29" s="90" t="inlineStr">
        <is>
          <t>周期</t>
        </is>
      </c>
      <c r="B29" s="90" t="inlineStr">
        <is>
          <t>样本数</t>
        </is>
      </c>
      <c r="C29" s="90" t="inlineStr">
        <is>
          <t>Top 1%</t>
        </is>
      </c>
      <c r="D29" s="90" t="inlineStr">
        <is>
          <t>Top 5%</t>
        </is>
      </c>
      <c r="E29" s="90" t="inlineStr">
        <is>
          <t>Top 10%</t>
        </is>
      </c>
      <c r="F29" s="90" t="inlineStr">
        <is>
          <t>Top 25%</t>
        </is>
      </c>
      <c r="G29" s="90" t="inlineStr">
        <is>
          <t>Gini</t>
        </is>
      </c>
    </row>
    <row r="30" ht="15" customHeight="1" s="78">
      <c r="A30" s="91" t="inlineStr">
        <is>
          <t>2021–2024（成熟样本）</t>
        </is>
      </c>
      <c r="B30" s="91" t="n">
        <v>250</v>
      </c>
      <c r="C30" s="93" t="n">
        <v>0.384</v>
      </c>
      <c r="D30" s="93" t="n">
        <v>0.701</v>
      </c>
      <c r="E30" s="93" t="n">
        <v>0.851</v>
      </c>
      <c r="F30" s="93" t="n">
        <v>0.963</v>
      </c>
      <c r="G30" s="99" t="n">
        <v>0.901</v>
      </c>
    </row>
    <row r="31" ht="15" customHeight="1" s="78">
      <c r="A31" s="95" t="inlineStr">
        <is>
          <t>2024–2026（当前竞争）</t>
        </is>
      </c>
      <c r="B31" s="95" t="n">
        <v>603</v>
      </c>
      <c r="C31" s="97" t="n">
        <v>0.68</v>
      </c>
      <c r="D31" s="97" t="n">
        <v>0.887</v>
      </c>
      <c r="E31" s="97" t="n">
        <v>0.947</v>
      </c>
      <c r="F31" s="97" t="n">
        <v>0.989</v>
      </c>
      <c r="G31" s="100" t="n">
        <v>0.958</v>
      </c>
    </row>
    <row r="34" ht="16.4" customHeight="1" s="78">
      <c r="A34" s="89" t="inlineStr">
        <is>
          <t>1.4 价格带（成熟样本）</t>
        </is>
      </c>
    </row>
    <row r="35" ht="39.75" customHeight="1" s="78">
      <c r="A35" s="90" t="inlineStr">
        <is>
          <t>价格带</t>
        </is>
      </c>
      <c r="B35" s="90" t="inlineStr">
        <is>
          <t>样本数</t>
        </is>
      </c>
      <c r="C35" s="90" t="inlineStr">
        <is>
          <t>销量中位数</t>
        </is>
      </c>
      <c r="D35" s="90" t="inlineStr">
        <is>
          <t>净收入中位数（$）</t>
        </is>
      </c>
      <c r="E35" s="90" t="inlineStr">
        <is>
          <t>≥5 万份</t>
        </is>
      </c>
    </row>
    <row r="36" ht="15" customHeight="1" s="78">
      <c r="A36" s="91" t="inlineStr">
        <is>
          <t>≤ $9.99</t>
        </is>
      </c>
      <c r="B36" s="91" t="n">
        <v>119</v>
      </c>
      <c r="C36" s="92" t="n">
        <v>1257</v>
      </c>
      <c r="D36" s="101" t="n">
        <v>4621</v>
      </c>
      <c r="E36" s="93" t="n">
        <v>0.076</v>
      </c>
    </row>
    <row r="37" ht="15" customHeight="1" s="78">
      <c r="A37" s="95" t="inlineStr">
        <is>
          <t>$10–14.99</t>
        </is>
      </c>
      <c r="B37" s="95" t="n">
        <v>77</v>
      </c>
      <c r="C37" s="96" t="n">
        <v>5261</v>
      </c>
      <c r="D37" s="102" t="n">
        <v>31724</v>
      </c>
      <c r="E37" s="97" t="n">
        <v>0.169</v>
      </c>
    </row>
    <row r="38" ht="15" customHeight="1" s="78">
      <c r="A38" s="91" t="inlineStr">
        <is>
          <t>$15–19.99</t>
        </is>
      </c>
      <c r="B38" s="91" t="n">
        <v>41</v>
      </c>
      <c r="C38" s="92" t="n">
        <v>18192</v>
      </c>
      <c r="D38" s="101" t="n">
        <v>163646</v>
      </c>
      <c r="E38" s="93" t="n">
        <v>0.366</v>
      </c>
    </row>
    <row r="39" ht="15" customHeight="1" s="78">
      <c r="A39" s="95" t="inlineStr">
        <is>
          <t>$20–24.99</t>
        </is>
      </c>
      <c r="B39" s="95" t="n">
        <v>10</v>
      </c>
      <c r="C39" s="96" t="n">
        <v>194083</v>
      </c>
      <c r="D39" s="102" t="n">
        <v>2182560</v>
      </c>
      <c r="E39" s="97" t="n">
        <v>0.7</v>
      </c>
    </row>
    <row r="40" ht="15" customHeight="1" s="78">
      <c r="A40" s="91" t="inlineStr">
        <is>
          <t>$25+</t>
        </is>
      </c>
      <c r="B40" s="91" t="n">
        <v>3</v>
      </c>
      <c r="C40" s="92" t="n">
        <v>23917</v>
      </c>
      <c r="D40" s="101" t="n">
        <v>322771</v>
      </c>
      <c r="E40" s="93" t="n">
        <v>0.333</v>
      </c>
    </row>
    <row r="43" ht="16.4" customHeight="1" s="78">
      <c r="A43" s="89" t="inlineStr">
        <is>
          <t>1.5 标签倍数（2022–2025）</t>
        </is>
      </c>
    </row>
    <row r="44" ht="30" customHeight="1" s="78">
      <c r="A44" s="90" t="inlineStr">
        <is>
          <t>标签</t>
        </is>
      </c>
      <c r="B44" s="90" t="inlineStr">
        <is>
          <t>样本数</t>
        </is>
      </c>
      <c r="C44" s="90" t="inlineStr">
        <is>
          <t>销量中位数</t>
        </is>
      </c>
      <c r="D44" s="90" t="inlineStr">
        <is>
          <t>倍数</t>
        </is>
      </c>
      <c r="E44" s="90" t="inlineStr">
        <is>
          <t>≥5 万份</t>
        </is>
      </c>
    </row>
    <row r="45" ht="15" customHeight="1" s="78">
      <c r="A45" s="91" t="inlineStr">
        <is>
          <t>Auto Battler</t>
        </is>
      </c>
      <c r="B45" s="91" t="n">
        <v>59</v>
      </c>
      <c r="C45" s="92" t="n">
        <v>8942</v>
      </c>
      <c r="D45" s="103" t="n">
        <v>3.42</v>
      </c>
      <c r="E45" s="93" t="n">
        <v>0.22</v>
      </c>
    </row>
    <row r="46" ht="15" customHeight="1" s="78">
      <c r="A46" s="95" t="inlineStr">
        <is>
          <t>Dungeon Crawler</t>
        </is>
      </c>
      <c r="B46" s="95" t="n">
        <v>84</v>
      </c>
      <c r="C46" s="96" t="n">
        <v>5859</v>
      </c>
      <c r="D46" s="104" t="n">
        <v>2.24</v>
      </c>
      <c r="E46" s="97" t="n">
        <v>0.143</v>
      </c>
    </row>
    <row r="47" ht="15" customHeight="1" s="78">
      <c r="A47" s="91" t="inlineStr">
        <is>
          <t>Turn-Based Strategy</t>
        </is>
      </c>
      <c r="B47" s="91" t="n">
        <v>179</v>
      </c>
      <c r="C47" s="92" t="n">
        <v>4647</v>
      </c>
      <c r="D47" s="103" t="n">
        <v>1.78</v>
      </c>
      <c r="E47" s="93" t="n">
        <v>0.156</v>
      </c>
    </row>
    <row r="48" ht="15" customHeight="1" s="78">
      <c r="A48" s="95" t="inlineStr">
        <is>
          <t>RPG</t>
        </is>
      </c>
      <c r="B48" s="95" t="n">
        <v>146</v>
      </c>
      <c r="C48" s="96" t="n">
        <v>4498</v>
      </c>
      <c r="D48" s="104" t="n">
        <v>1.72</v>
      </c>
      <c r="E48" s="97" t="n">
        <v>0.164</v>
      </c>
    </row>
    <row r="49" ht="15" customHeight="1" s="78">
      <c r="A49" s="91" t="inlineStr">
        <is>
          <t>Turn-Based</t>
        </is>
      </c>
      <c r="B49" s="91" t="n">
        <v>123</v>
      </c>
      <c r="C49" s="92" t="n">
        <v>3736</v>
      </c>
      <c r="D49" s="103" t="n">
        <v>1.43</v>
      </c>
      <c r="E49" s="93" t="n">
        <v>0.163</v>
      </c>
    </row>
    <row r="50" ht="15" customHeight="1" s="78">
      <c r="A50" s="95" t="inlineStr">
        <is>
          <t>Roguelite</t>
        </is>
      </c>
      <c r="B50" s="95" t="n">
        <v>309</v>
      </c>
      <c r="C50" s="96" t="n">
        <v>3131</v>
      </c>
      <c r="D50" s="104" t="n">
        <v>1.2</v>
      </c>
      <c r="E50" s="97" t="n">
        <v>0.152</v>
      </c>
    </row>
    <row r="51" ht="15" customHeight="1" s="78">
      <c r="A51" s="91" t="inlineStr">
        <is>
          <t>Card Game</t>
        </is>
      </c>
      <c r="B51" s="91" t="n">
        <v>314</v>
      </c>
      <c r="C51" s="92" t="n">
        <v>2895</v>
      </c>
      <c r="D51" s="103" t="n">
        <v>1.11</v>
      </c>
      <c r="E51" s="93" t="n">
        <v>0.156</v>
      </c>
    </row>
    <row r="52" ht="15" customHeight="1" s="78">
      <c r="A52" s="95" t="inlineStr">
        <is>
          <t>Deckbuilding</t>
        </is>
      </c>
      <c r="B52" s="95" t="n">
        <v>361</v>
      </c>
      <c r="C52" s="96" t="n">
        <v>2886</v>
      </c>
      <c r="D52" s="104" t="n">
        <v>1.1</v>
      </c>
      <c r="E52" s="97" t="n">
        <v>0.15</v>
      </c>
    </row>
    <row r="53" ht="15" customHeight="1" s="78">
      <c r="A53" s="91" t="inlineStr">
        <is>
          <t>2D</t>
        </is>
      </c>
      <c r="B53" s="91" t="n">
        <v>265</v>
      </c>
      <c r="C53" s="92" t="n">
        <v>2854</v>
      </c>
      <c r="D53" s="103" t="n">
        <v>1.09</v>
      </c>
      <c r="E53" s="93" t="n">
        <v>0.128</v>
      </c>
    </row>
    <row r="54" ht="15" customHeight="1" s="78">
      <c r="A54" s="95" t="inlineStr">
        <is>
          <t>Roguelike</t>
        </is>
      </c>
      <c r="B54" s="95" t="n">
        <v>372</v>
      </c>
      <c r="C54" s="96" t="n">
        <v>2680</v>
      </c>
      <c r="D54" s="104" t="n">
        <v>1.02</v>
      </c>
      <c r="E54" s="97" t="n">
        <v>0.137</v>
      </c>
    </row>
    <row r="55" ht="15" customHeight="1" s="78">
      <c r="A55" s="91" t="inlineStr">
        <is>
          <t>Pixel Graphics</t>
        </is>
      </c>
      <c r="B55" s="91" t="n">
        <v>100</v>
      </c>
      <c r="C55" s="92" t="n">
        <v>2466</v>
      </c>
      <c r="D55" s="103" t="n">
        <v>0.9399999999999999</v>
      </c>
      <c r="E55" s="93" t="n">
        <v>0.16</v>
      </c>
    </row>
    <row r="56" ht="15" customHeight="1" s="78">
      <c r="A56" s="95" t="inlineStr">
        <is>
          <t>Turn-Based Tactics</t>
        </is>
      </c>
      <c r="B56" s="95" t="n">
        <v>137</v>
      </c>
      <c r="C56" s="96" t="n">
        <v>2420</v>
      </c>
      <c r="D56" s="104" t="n">
        <v>0.93</v>
      </c>
      <c r="E56" s="97" t="n">
        <v>0.131</v>
      </c>
    </row>
    <row r="57" ht="15" customHeight="1" s="78">
      <c r="A57" s="91" t="inlineStr">
        <is>
          <t>Singleplayer</t>
        </is>
      </c>
      <c r="B57" s="91" t="n">
        <v>355</v>
      </c>
      <c r="C57" s="92" t="n">
        <v>2122</v>
      </c>
      <c r="D57" s="103" t="n">
        <v>0.8100000000000001</v>
      </c>
      <c r="E57" s="93" t="n">
        <v>0.135</v>
      </c>
    </row>
    <row r="58" ht="15" customHeight="1" s="78">
      <c r="A58" s="95" t="inlineStr">
        <is>
          <t>Fantasy</t>
        </is>
      </c>
      <c r="B58" s="95" t="n">
        <v>164</v>
      </c>
      <c r="C58" s="96" t="n">
        <v>1946</v>
      </c>
      <c r="D58" s="104" t="n">
        <v>0.74</v>
      </c>
      <c r="E58" s="97" t="n">
        <v>0.146</v>
      </c>
    </row>
    <row r="59" ht="15" customHeight="1" s="78">
      <c r="A59" s="91" t="inlineStr">
        <is>
          <t>Early Access</t>
        </is>
      </c>
      <c r="B59" s="91" t="n">
        <v>76</v>
      </c>
      <c r="C59" s="92" t="n">
        <v>1360</v>
      </c>
      <c r="D59" s="103" t="n">
        <v>0.52</v>
      </c>
      <c r="E59" s="93" t="n">
        <v>0.145</v>
      </c>
    </row>
    <row r="60" ht="15" customHeight="1" s="78">
      <c r="A60" s="95" t="inlineStr">
        <is>
          <t>PvE</t>
        </is>
      </c>
      <c r="B60" s="95" t="n">
        <v>47</v>
      </c>
      <c r="C60" s="96" t="n">
        <v>802</v>
      </c>
      <c r="D60" s="104" t="n">
        <v>0.31</v>
      </c>
      <c r="E60" s="97" t="n">
        <v>0.064</v>
      </c>
    </row>
    <row r="63" ht="15" customHeight="1" s="78">
      <c r="A63" s="87" t="inlineStr">
        <is>
          <t>注：2026 年样本上架时间短，年度中位数会被压低；供给量与集中度是更稳的判断依据。</t>
        </is>
      </c>
    </row>
  </sheetData>
  <autoFilter ref="A44:E60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1F5C48"/>
    <outlinePr summaryBelow="1" summaryRight="1"/>
    <pageSetUpPr fitToPage="0"/>
  </sheetPr>
  <dimension ref="A1:O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3" customWidth="1" style="77" min="1" max="1"/>
    <col width="34" customWidth="1" style="77" min="2" max="2"/>
    <col width="13" customWidth="1" style="77" min="3" max="12"/>
    <col width="26" customWidth="1" style="77" min="13" max="13"/>
    <col width="44" customWidth="1" style="77" min="14" max="15"/>
  </cols>
  <sheetData>
    <row r="1" ht="21.6" customHeight="1" s="78">
      <c r="A1" s="88" t="inlineStr">
        <is>
          <t>02 / 48 款同类游戏样本</t>
        </is>
      </c>
    </row>
    <row r="2" ht="15" customHeight="1" s="78">
      <c r="A2" s="81" t="inlineStr">
        <is>
          <t>S=品类天花板｜A=直接对标｜B=机制邻近；净收入 = 销量 × 售价 × 0.45</t>
        </is>
      </c>
    </row>
    <row r="4" ht="30" customHeight="1" s="78">
      <c r="A4" s="90" t="inlineStr">
        <is>
          <t>圈层</t>
        </is>
      </c>
      <c r="B4" s="90" t="inlineStr">
        <is>
          <t>游戏</t>
        </is>
      </c>
      <c r="C4" s="90" t="inlineStr">
        <is>
          <t>AppID</t>
        </is>
      </c>
      <c r="D4" s="90" t="inlineStr">
        <is>
          <t>发售年</t>
        </is>
      </c>
      <c r="E4" s="90" t="inlineStr">
        <is>
          <t>售价USD</t>
        </is>
      </c>
      <c r="F4" s="90" t="inlineStr">
        <is>
          <t>售价CNY</t>
        </is>
      </c>
      <c r="G4" s="90" t="inlineStr">
        <is>
          <t>评论数</t>
        </is>
      </c>
      <c r="H4" s="90" t="inlineStr">
        <is>
          <t>好评率</t>
        </is>
      </c>
      <c r="I4" s="90" t="inlineStr">
        <is>
          <t>估算销量</t>
        </is>
      </c>
      <c r="J4" s="90" t="inlineStr">
        <is>
          <t>评论倍数</t>
        </is>
      </c>
      <c r="K4" s="90" t="inlineStr">
        <is>
          <t>净收入USD</t>
        </is>
      </c>
      <c r="L4" s="90" t="inlineStr">
        <is>
          <t>净收入CNY</t>
        </is>
      </c>
      <c r="M4" s="90" t="inlineStr">
        <is>
          <t>开发商</t>
        </is>
      </c>
      <c r="N4" s="90" t="inlineStr">
        <is>
          <t>标签（前 5）</t>
        </is>
      </c>
      <c r="O4" s="90" t="inlineStr">
        <is>
          <t>Steam 链接</t>
        </is>
      </c>
    </row>
    <row r="5" ht="27.75" customHeight="1" s="78">
      <c r="A5" s="105" t="inlineStr">
        <is>
          <t>S</t>
        </is>
      </c>
      <c r="B5" s="106" t="inlineStr">
        <is>
          <t>Slay the Spire</t>
        </is>
      </c>
      <c r="C5" s="105" t="n">
        <v>646570</v>
      </c>
      <c r="D5" s="105" t="n">
        <v>2019</v>
      </c>
      <c r="E5" s="107" t="n">
        <v>24.99</v>
      </c>
      <c r="F5" s="108" t="n">
        <v>88</v>
      </c>
      <c r="G5" s="109" t="n">
        <v>219554</v>
      </c>
      <c r="H5" s="110" t="n">
        <v>0.975</v>
      </c>
      <c r="I5" s="109" t="n">
        <v>10583038</v>
      </c>
      <c r="J5" s="111">
        <f>IFERROR(I5/G5,0)</f>
        <v/>
      </c>
      <c r="K5" s="112">
        <f>I5*E5*0.75*0.6</f>
        <v/>
      </c>
      <c r="L5" s="108">
        <f>I5*F5*0.75*0.6</f>
        <v/>
      </c>
      <c r="M5" s="106" t="inlineStr">
        <is>
          <t>Mega Crit</t>
        </is>
      </c>
      <c r="N5" s="106" t="inlineStr">
        <is>
          <t>Roguelike Deckbuilder · Card Game · Card Battler · Roguelike · Deckbuilding</t>
        </is>
      </c>
      <c r="O5" s="105" t="inlineStr">
        <is>
          <t>https://store.steampowered.com/app/646570/</t>
        </is>
      </c>
    </row>
    <row r="6" ht="27.75" customHeight="1" s="78">
      <c r="A6" s="113" t="inlineStr">
        <is>
          <t>S</t>
        </is>
      </c>
      <c r="B6" s="114" t="inlineStr">
        <is>
          <t>Slay the Spire 2</t>
        </is>
      </c>
      <c r="C6" s="113" t="n">
        <v>2868840</v>
      </c>
      <c r="D6" s="113" t="n">
        <v>2026</v>
      </c>
      <c r="E6" s="115" t="n">
        <v>24.99</v>
      </c>
      <c r="F6" s="116" t="n">
        <v>88</v>
      </c>
      <c r="G6" s="117" t="n">
        <v>205590</v>
      </c>
      <c r="H6" s="118" t="n">
        <v>0.614</v>
      </c>
      <c r="I6" s="117" t="n">
        <v>7410557</v>
      </c>
      <c r="J6" s="119">
        <f>IFERROR(I6/G6,0)</f>
        <v/>
      </c>
      <c r="K6" s="120">
        <f>I6*E6*0.75*0.6</f>
        <v/>
      </c>
      <c r="L6" s="116">
        <f>I6*F6*0.75*0.6</f>
        <v/>
      </c>
      <c r="M6" s="114" t="inlineStr">
        <is>
          <t>Mega Crit</t>
        </is>
      </c>
      <c r="N6" s="114" t="inlineStr">
        <is>
          <t>Roguelike · Card Game · Deckbuilding · Co-op · Strategy</t>
        </is>
      </c>
      <c r="O6" s="113" t="inlineStr">
        <is>
          <t>https://store.steampowered.com/app/2868840/</t>
        </is>
      </c>
    </row>
    <row r="7" ht="27.75" customHeight="1" s="78">
      <c r="A7" s="105" t="inlineStr">
        <is>
          <t>S</t>
        </is>
      </c>
      <c r="B7" s="106" t="inlineStr">
        <is>
          <t>Balatro</t>
        </is>
      </c>
      <c r="C7" s="105" t="n">
        <v>2379780</v>
      </c>
      <c r="D7" s="105" t="n">
        <v>2024</v>
      </c>
      <c r="E7" s="107" t="n">
        <v>14.99</v>
      </c>
      <c r="F7" s="108" t="n">
        <v>54</v>
      </c>
      <c r="G7" s="109" t="n">
        <v>200156</v>
      </c>
      <c r="H7" s="110" t="n">
        <v>0.978</v>
      </c>
      <c r="I7" s="109" t="n">
        <v>6495863</v>
      </c>
      <c r="J7" s="111">
        <f>IFERROR(I7/G7,0)</f>
        <v/>
      </c>
      <c r="K7" s="112">
        <f>I7*E7*0.75*0.6</f>
        <v/>
      </c>
      <c r="L7" s="108">
        <f>I7*F7*0.75*0.6</f>
        <v/>
      </c>
      <c r="M7" s="106" t="inlineStr">
        <is>
          <t>LocalThunk</t>
        </is>
      </c>
      <c r="N7" s="106" t="inlineStr">
        <is>
          <t>Card Game · Roguelike · Roguelike Deckbuilder · Deckbuilding · Singleplayer</t>
        </is>
      </c>
      <c r="O7" s="105" t="inlineStr">
        <is>
          <t>https://store.steampowered.com/app/2379780/</t>
        </is>
      </c>
    </row>
    <row r="8" ht="27.75" customHeight="1" s="78">
      <c r="A8" s="113" t="inlineStr">
        <is>
          <t>S</t>
        </is>
      </c>
      <c r="B8" s="114" t="inlineStr">
        <is>
          <t>Backpack Battles</t>
        </is>
      </c>
      <c r="C8" s="113" t="n">
        <v>2427700</v>
      </c>
      <c r="D8" s="113" t="n">
        <v>2025</v>
      </c>
      <c r="E8" s="115" t="n">
        <v>14.99</v>
      </c>
      <c r="F8" s="116" t="n">
        <v>52</v>
      </c>
      <c r="G8" s="117" t="n">
        <v>20810</v>
      </c>
      <c r="H8" s="118" t="n">
        <v>0.912</v>
      </c>
      <c r="I8" s="117" t="n">
        <v>1556886</v>
      </c>
      <c r="J8" s="119">
        <f>IFERROR(I8/G8,0)</f>
        <v/>
      </c>
      <c r="K8" s="120">
        <f>I8*E8*0.75*0.6</f>
        <v/>
      </c>
      <c r="L8" s="116">
        <f>I8*F8*0.75*0.6</f>
        <v/>
      </c>
      <c r="M8" s="114" t="inlineStr">
        <is>
          <t>PlayWithFurcifer</t>
        </is>
      </c>
      <c r="N8" s="114" t="inlineStr">
        <is>
          <t>Auto Battler · Inventory Management · Strategy · PvP · Roguelike Deckbuilder</t>
        </is>
      </c>
      <c r="O8" s="113" t="inlineStr">
        <is>
          <t>https://store.steampowered.com/app/2427700/</t>
        </is>
      </c>
    </row>
    <row r="9" ht="27.75" customHeight="1" s="78">
      <c r="A9" s="105" t="inlineStr">
        <is>
          <t>S</t>
        </is>
      </c>
      <c r="B9" s="106" t="inlineStr">
        <is>
          <t>Monster Train</t>
        </is>
      </c>
      <c r="C9" s="105" t="n">
        <v>1102190</v>
      </c>
      <c r="D9" s="105" t="n">
        <v>2020</v>
      </c>
      <c r="E9" s="107" t="n">
        <v>24.99</v>
      </c>
      <c r="F9" s="108" t="n">
        <v>88</v>
      </c>
      <c r="G9" s="109" t="n">
        <v>22997</v>
      </c>
      <c r="H9" s="110" t="n">
        <v>0.958</v>
      </c>
      <c r="I9" s="109" t="n">
        <v>1445478</v>
      </c>
      <c r="J9" s="111">
        <f>IFERROR(I9/G9,0)</f>
        <v/>
      </c>
      <c r="K9" s="112">
        <f>I9*E9*0.75*0.6</f>
        <v/>
      </c>
      <c r="L9" s="108">
        <f>I9*F9*0.75*0.6</f>
        <v/>
      </c>
      <c r="M9" s="106" t="inlineStr">
        <is>
          <t>Shiny Shoe</t>
        </is>
      </c>
      <c r="N9" s="106" t="inlineStr">
        <is>
          <t>Card Battler · Roguelite · Card Game · Deckbuilding · Turn-Based Tactics</t>
        </is>
      </c>
      <c r="O9" s="105" t="inlineStr">
        <is>
          <t>https://store.steampowered.com/app/1102190/</t>
        </is>
      </c>
    </row>
    <row r="10" ht="27.75" customHeight="1" s="78">
      <c r="A10" s="113" t="inlineStr">
        <is>
          <t>S</t>
        </is>
      </c>
      <c r="B10" s="114" t="inlineStr">
        <is>
          <t>Monster Train 2</t>
        </is>
      </c>
      <c r="C10" s="113" t="n">
        <v>2742830</v>
      </c>
      <c r="D10" s="113" t="n">
        <v>2025</v>
      </c>
      <c r="E10" s="115" t="n">
        <v>24.99</v>
      </c>
      <c r="F10" s="116" t="n">
        <v>92</v>
      </c>
      <c r="G10" s="117" t="n">
        <v>10303</v>
      </c>
      <c r="H10" s="118" t="n">
        <v>0.953</v>
      </c>
      <c r="I10" s="117" t="n">
        <v>537235</v>
      </c>
      <c r="J10" s="119">
        <f>IFERROR(I10/G10,0)</f>
        <v/>
      </c>
      <c r="K10" s="120">
        <f>I10*E10*0.75*0.6</f>
        <v/>
      </c>
      <c r="L10" s="116">
        <f>I10*F10*0.75*0.6</f>
        <v/>
      </c>
      <c r="M10" s="114" t="inlineStr">
        <is>
          <t>Shiny Shoe</t>
        </is>
      </c>
      <c r="N10" s="114" t="inlineStr">
        <is>
          <t>Roguelike Deckbuilder · Card Game · Roguelike · Deckbuilding · Turn-Based Strategy</t>
        </is>
      </c>
      <c r="O10" s="113" t="inlineStr">
        <is>
          <t>https://store.steampowered.com/app/2742830/</t>
        </is>
      </c>
    </row>
    <row r="11" ht="27.75" customHeight="1" s="78">
      <c r="A11" s="105" t="inlineStr">
        <is>
          <t>A</t>
        </is>
      </c>
      <c r="B11" s="106" t="inlineStr">
        <is>
          <t>9 Kings</t>
        </is>
      </c>
      <c r="C11" s="105" t="n">
        <v>2784470</v>
      </c>
      <c r="D11" s="105" t="n">
        <v>2025</v>
      </c>
      <c r="E11" s="107" t="n">
        <v>19.99</v>
      </c>
      <c r="F11" s="108" t="n">
        <v>59</v>
      </c>
      <c r="G11" s="109" t="n">
        <v>23618</v>
      </c>
      <c r="H11" s="110" t="n">
        <v>0.924</v>
      </c>
      <c r="I11" s="109" t="n">
        <v>1127310</v>
      </c>
      <c r="J11" s="111">
        <f>IFERROR(I11/G11,0)</f>
        <v/>
      </c>
      <c r="K11" s="112">
        <f>I11*E11*0.75*0.6</f>
        <v/>
      </c>
      <c r="L11" s="108">
        <f>I11*F11*0.75*0.6</f>
        <v/>
      </c>
      <c r="M11" s="106" t="inlineStr">
        <is>
          <t>Sad Socket</t>
        </is>
      </c>
      <c r="N11" s="106" t="inlineStr">
        <is>
          <t>Strategy · RPG · Auto Battler · Roguelike · Card Game</t>
        </is>
      </c>
      <c r="O11" s="105" t="inlineStr">
        <is>
          <t>https://store.steampowered.com/app/2784470/</t>
        </is>
      </c>
    </row>
    <row r="12" ht="27.75" customHeight="1" s="78">
      <c r="A12" s="113" t="inlineStr">
        <is>
          <t>A</t>
        </is>
      </c>
      <c r="B12" s="114" t="inlineStr">
        <is>
          <t>The King is Watching</t>
        </is>
      </c>
      <c r="C12" s="113" t="n">
        <v>2753900</v>
      </c>
      <c r="D12" s="113" t="n">
        <v>2025</v>
      </c>
      <c r="E12" s="115" t="n">
        <v>14.99</v>
      </c>
      <c r="F12" s="116" t="n">
        <v>49</v>
      </c>
      <c r="G12" s="117" t="n">
        <v>10741</v>
      </c>
      <c r="H12" s="118" t="n">
        <v>0.887</v>
      </c>
      <c r="I12" s="117" t="n">
        <v>819149</v>
      </c>
      <c r="J12" s="119">
        <f>IFERROR(I12/G12,0)</f>
        <v/>
      </c>
      <c r="K12" s="120">
        <f>I12*E12*0.75*0.6</f>
        <v/>
      </c>
      <c r="L12" s="116">
        <f>I12*F12*0.75*0.6</f>
        <v/>
      </c>
      <c r="M12" s="114" t="inlineStr">
        <is>
          <t>Hypnohead</t>
        </is>
      </c>
      <c r="N12" s="114" t="inlineStr">
        <is>
          <t>Roguelike · Base Building · Tower Defense · RTS · Dark Fantasy</t>
        </is>
      </c>
      <c r="O12" s="113" t="inlineStr">
        <is>
          <t>https://store.steampowered.com/app/2753900/</t>
        </is>
      </c>
    </row>
    <row r="13" ht="27.75" customHeight="1" s="78">
      <c r="A13" s="105" t="inlineStr">
        <is>
          <t>A</t>
        </is>
      </c>
      <c r="B13" s="106" t="inlineStr">
        <is>
          <t>Across the Obelisk</t>
        </is>
      </c>
      <c r="C13" s="105" t="n">
        <v>1385380</v>
      </c>
      <c r="D13" s="105" t="n">
        <v>2022</v>
      </c>
      <c r="E13" s="107" t="n">
        <v>19.99</v>
      </c>
      <c r="F13" s="108" t="n">
        <v>98</v>
      </c>
      <c r="G13" s="109" t="n">
        <v>13127</v>
      </c>
      <c r="H13" s="110" t="n">
        <v>0.802</v>
      </c>
      <c r="I13" s="109" t="n">
        <v>711232</v>
      </c>
      <c r="J13" s="111">
        <f>IFERROR(I13/G13,0)</f>
        <v/>
      </c>
      <c r="K13" s="112">
        <f>I13*E13*0.75*0.6</f>
        <v/>
      </c>
      <c r="L13" s="108">
        <f>I13*F13*0.75*0.6</f>
        <v/>
      </c>
      <c r="M13" s="106" t="inlineStr">
        <is>
          <t>Dreamsite Games</t>
        </is>
      </c>
      <c r="N13" s="106" t="inlineStr">
        <is>
          <t>Casual · Adventure · Tactical · Turn-Based Strategy · Roguelike Deckbuilder</t>
        </is>
      </c>
      <c r="O13" s="105" t="inlineStr">
        <is>
          <t>https://store.steampowered.com/app/1385380/</t>
        </is>
      </c>
    </row>
    <row r="14" ht="27.75" customHeight="1" s="78">
      <c r="A14" s="113" t="inlineStr">
        <is>
          <t>A</t>
        </is>
      </c>
      <c r="B14" s="114" t="inlineStr">
        <is>
          <t>Symphony of War: The Nephilim Saga</t>
        </is>
      </c>
      <c r="C14" s="113" t="n">
        <v>1488200</v>
      </c>
      <c r="D14" s="113" t="n">
        <v>2022</v>
      </c>
      <c r="E14" s="115" t="n">
        <v>19.99</v>
      </c>
      <c r="F14" s="116" t="n">
        <v>70</v>
      </c>
      <c r="G14" s="117" t="n">
        <v>14937</v>
      </c>
      <c r="H14" s="118" t="n">
        <v>0.945</v>
      </c>
      <c r="I14" s="117" t="n">
        <v>582089</v>
      </c>
      <c r="J14" s="119">
        <f>IFERROR(I14/G14,0)</f>
        <v/>
      </c>
      <c r="K14" s="120">
        <f>I14*E14*0.75*0.6</f>
        <v/>
      </c>
      <c r="L14" s="116">
        <f>I14*F14*0.75*0.6</f>
        <v/>
      </c>
      <c r="M14" s="114" t="inlineStr">
        <is>
          <t>Dancing Dragon Games</t>
        </is>
      </c>
      <c r="N14" s="114" t="inlineStr">
        <is>
          <t>Tactical RPG · RPG · Story Rich · Turn-Based Strategy · Fantasy</t>
        </is>
      </c>
      <c r="O14" s="113" t="inlineStr">
        <is>
          <t>https://store.steampowered.com/app/1488200/</t>
        </is>
      </c>
    </row>
    <row r="15" ht="27.75" customHeight="1" s="78">
      <c r="A15" s="105" t="inlineStr">
        <is>
          <t>A</t>
        </is>
      </c>
      <c r="B15" s="106" t="inlineStr">
        <is>
          <t>Chrono Ark</t>
        </is>
      </c>
      <c r="C15" s="105" t="n">
        <v>1188930</v>
      </c>
      <c r="D15" s="105" t="n">
        <v>2024</v>
      </c>
      <c r="E15" s="107" t="n">
        <v>24.99</v>
      </c>
      <c r="F15" s="108" t="n">
        <v>88</v>
      </c>
      <c r="G15" s="109" t="n">
        <v>13827</v>
      </c>
      <c r="H15" s="110" t="n">
        <v>0.907</v>
      </c>
      <c r="I15" s="109" t="n">
        <v>490331</v>
      </c>
      <c r="J15" s="111">
        <f>IFERROR(I15/G15,0)</f>
        <v/>
      </c>
      <c r="K15" s="112">
        <f>I15*E15*0.75*0.6</f>
        <v/>
      </c>
      <c r="L15" s="108">
        <f>I15*F15*0.75*0.6</f>
        <v/>
      </c>
      <c r="M15" s="106" t="inlineStr">
        <is>
          <t>Al Fine</t>
        </is>
      </c>
      <c r="N15" s="106" t="inlineStr">
        <is>
          <t>Roguelike Deckbuilder · Anime · RPG · Strategy · Indie</t>
        </is>
      </c>
      <c r="O15" s="105" t="inlineStr">
        <is>
          <t>https://store.steampowered.com/app/1188930/</t>
        </is>
      </c>
    </row>
    <row r="16" ht="27.75" customHeight="1" s="78">
      <c r="A16" s="113" t="inlineStr">
        <is>
          <t>A</t>
        </is>
      </c>
      <c r="B16" s="114" t="inlineStr">
        <is>
          <t>Hero's Hour</t>
        </is>
      </c>
      <c r="C16" s="113" t="n">
        <v>1656780</v>
      </c>
      <c r="D16" s="113" t="n">
        <v>2022</v>
      </c>
      <c r="E16" s="115" t="n">
        <v>17.99</v>
      </c>
      <c r="F16" s="116" t="n">
        <v>68</v>
      </c>
      <c r="G16" s="117" t="n">
        <v>5761</v>
      </c>
      <c r="H16" s="118" t="n">
        <v>0.794</v>
      </c>
      <c r="I16" s="117" t="n">
        <v>485261</v>
      </c>
      <c r="J16" s="119">
        <f>IFERROR(I16/G16,0)</f>
        <v/>
      </c>
      <c r="K16" s="120">
        <f>I16*E16*0.75*0.6</f>
        <v/>
      </c>
      <c r="L16" s="116">
        <f>I16*F16*0.75*0.6</f>
        <v/>
      </c>
      <c r="M16" s="114" t="inlineStr">
        <is>
          <t>Benjamin "ThingOnItsOwn" Hauer</t>
        </is>
      </c>
      <c r="N16" s="114" t="inlineStr">
        <is>
          <t>Turn-Based · Pixel Graphics · Strategy · Auto Battler · Turn-Based Strategy</t>
        </is>
      </c>
      <c r="O16" s="113" t="inlineStr">
        <is>
          <t>https://store.steampowered.com/app/1656780/</t>
        </is>
      </c>
    </row>
    <row r="17" ht="27.75" customHeight="1" s="78">
      <c r="A17" s="105" t="inlineStr">
        <is>
          <t>A</t>
        </is>
      </c>
      <c r="B17" s="106" t="inlineStr">
        <is>
          <t>Super Fantasy Kingdom</t>
        </is>
      </c>
      <c r="C17" s="105" t="n">
        <v>2289750</v>
      </c>
      <c r="D17" s="105" t="n">
        <v>2025</v>
      </c>
      <c r="E17" s="107" t="n">
        <v>19.99</v>
      </c>
      <c r="F17" s="108" t="n">
        <v>59</v>
      </c>
      <c r="G17" s="109" t="n">
        <v>6065</v>
      </c>
      <c r="H17" s="110" t="n">
        <v>0.866</v>
      </c>
      <c r="I17" s="109" t="n">
        <v>391377</v>
      </c>
      <c r="J17" s="111">
        <f>IFERROR(I17/G17,0)</f>
        <v/>
      </c>
      <c r="K17" s="112">
        <f>I17*E17*0.75*0.6</f>
        <v/>
      </c>
      <c r="L17" s="108">
        <f>I17*F17*0.75*0.6</f>
        <v/>
      </c>
      <c r="M17" s="106" t="inlineStr">
        <is>
          <t>Super Fantasy Games</t>
        </is>
      </c>
      <c r="N17" s="106" t="inlineStr">
        <is>
          <t>Strategy · RPG · Roguelike · Auto Battler · Roguelite</t>
        </is>
      </c>
      <c r="O17" s="105" t="inlineStr">
        <is>
          <t>https://store.steampowered.com/app/2289750/</t>
        </is>
      </c>
    </row>
    <row r="18" ht="27.75" customHeight="1" s="78">
      <c r="A18" s="113" t="inlineStr">
        <is>
          <t>A</t>
        </is>
      </c>
      <c r="B18" s="114" t="inlineStr">
        <is>
          <t>Fights in Tight Spaces</t>
        </is>
      </c>
      <c r="C18" s="113" t="n">
        <v>1265820</v>
      </c>
      <c r="D18" s="113" t="n">
        <v>2021</v>
      </c>
      <c r="E18" s="115" t="n">
        <v>24.99</v>
      </c>
      <c r="F18" s="116" t="n">
        <v>80</v>
      </c>
      <c r="G18" s="117" t="n">
        <v>3966</v>
      </c>
      <c r="H18" s="118" t="n">
        <v>0.899</v>
      </c>
      <c r="I18" s="117" t="n">
        <v>336269</v>
      </c>
      <c r="J18" s="119">
        <f>IFERROR(I18/G18,0)</f>
        <v/>
      </c>
      <c r="K18" s="120">
        <f>I18*E18*0.75*0.6</f>
        <v/>
      </c>
      <c r="L18" s="116">
        <f>I18*F18*0.75*0.6</f>
        <v/>
      </c>
      <c r="M18" s="114" t="inlineStr">
        <is>
          <t>Ground Shatter</t>
        </is>
      </c>
      <c r="N18" s="114" t="inlineStr">
        <is>
          <t>Strategy · Action · Turn-Based Tactics · Deckbuilding · Turn-Based Combat</t>
        </is>
      </c>
      <c r="O18" s="113" t="inlineStr">
        <is>
          <t>https://store.steampowered.com/app/1265820/</t>
        </is>
      </c>
    </row>
    <row r="19" ht="27.75" customHeight="1" s="78">
      <c r="A19" s="105" t="inlineStr">
        <is>
          <t>A</t>
        </is>
      </c>
      <c r="B19" s="106" t="inlineStr">
        <is>
          <t>Despot's Game: Dystopian Battle Simulator</t>
        </is>
      </c>
      <c r="C19" s="105" t="n">
        <v>1227280</v>
      </c>
      <c r="D19" s="105" t="n">
        <v>2022</v>
      </c>
      <c r="E19" s="107" t="n">
        <v>19.99</v>
      </c>
      <c r="F19" s="108" t="n">
        <v>79</v>
      </c>
      <c r="G19" s="109" t="n">
        <v>3366</v>
      </c>
      <c r="H19" s="110" t="n">
        <v>0.84</v>
      </c>
      <c r="I19" s="109" t="n">
        <v>328329</v>
      </c>
      <c r="J19" s="111">
        <f>IFERROR(I19/G19,0)</f>
        <v/>
      </c>
      <c r="K19" s="112">
        <f>I19*E19*0.75*0.6</f>
        <v/>
      </c>
      <c r="L19" s="108">
        <f>I19*F19*0.75*0.6</f>
        <v/>
      </c>
      <c r="M19" s="106" t="inlineStr">
        <is>
          <t>Konfa Games</t>
        </is>
      </c>
      <c r="N19" s="106" t="inlineStr">
        <is>
          <t>Auto Battler · Pixel Graphics · Roguelike · Tactical · Indie</t>
        </is>
      </c>
      <c r="O19" s="105" t="inlineStr">
        <is>
          <t>https://store.steampowered.com/app/1227280/</t>
        </is>
      </c>
    </row>
    <row r="20" ht="27.75" customHeight="1" s="78">
      <c r="A20" s="113" t="inlineStr">
        <is>
          <t>A</t>
        </is>
      </c>
      <c r="B20" s="114" t="inlineStr">
        <is>
          <t>He is Coming</t>
        </is>
      </c>
      <c r="C20" s="113" t="n">
        <v>2824490</v>
      </c>
      <c r="D20" s="113" t="n">
        <v>2025</v>
      </c>
      <c r="E20" s="115" t="n">
        <v>19.99</v>
      </c>
      <c r="F20" s="116" t="n">
        <v>59</v>
      </c>
      <c r="G20" s="117" t="n">
        <v>4220</v>
      </c>
      <c r="H20" s="118" t="n">
        <v>0.849</v>
      </c>
      <c r="I20" s="117" t="n">
        <v>275559</v>
      </c>
      <c r="J20" s="119">
        <f>IFERROR(I20/G20,0)</f>
        <v/>
      </c>
      <c r="K20" s="120">
        <f>I20*E20*0.75*0.6</f>
        <v/>
      </c>
      <c r="L20" s="116">
        <f>I20*F20*0.75*0.6</f>
        <v/>
      </c>
      <c r="M20" s="114" t="inlineStr">
        <is>
          <t>Chronocle</t>
        </is>
      </c>
      <c r="N20" s="114" t="inlineStr">
        <is>
          <t>Strategy · Roguelike · Auto Battler · RPG · Roguelite</t>
        </is>
      </c>
      <c r="O20" s="113" t="inlineStr">
        <is>
          <t>https://store.steampowered.com/app/2824490/</t>
        </is>
      </c>
    </row>
    <row r="21" ht="27.75" customHeight="1" s="78">
      <c r="A21" s="105" t="inlineStr">
        <is>
          <t>A</t>
        </is>
      </c>
      <c r="B21" s="106" t="inlineStr">
        <is>
          <t>Wildfrost</t>
        </is>
      </c>
      <c r="C21" s="105" t="n">
        <v>1811990</v>
      </c>
      <c r="D21" s="105" t="n">
        <v>2023</v>
      </c>
      <c r="E21" s="107" t="n">
        <v>19.99</v>
      </c>
      <c r="F21" s="108" t="n">
        <v>73</v>
      </c>
      <c r="G21" s="109" t="n">
        <v>8876</v>
      </c>
      <c r="H21" s="110" t="n">
        <v>0.829</v>
      </c>
      <c r="I21" s="109" t="n">
        <v>270553</v>
      </c>
      <c r="J21" s="111">
        <f>IFERROR(I21/G21,0)</f>
        <v/>
      </c>
      <c r="K21" s="112">
        <f>I21*E21*0.75*0.6</f>
        <v/>
      </c>
      <c r="L21" s="108">
        <f>I21*F21*0.75*0.6</f>
        <v/>
      </c>
      <c r="M21" s="106" t="inlineStr">
        <is>
          <t>Deadpan Games; Gaziter</t>
        </is>
      </c>
      <c r="N21" s="106" t="inlineStr">
        <is>
          <t>Card Battler · Roguelike Deckbuilder · Card Game · Difficult · Turn-Based Tactics</t>
        </is>
      </c>
      <c r="O21" s="105" t="inlineStr">
        <is>
          <t>https://store.steampowered.com/app/1811990/</t>
        </is>
      </c>
    </row>
    <row r="22" ht="27.75" customHeight="1" s="78">
      <c r="A22" s="113" t="inlineStr">
        <is>
          <t>A</t>
        </is>
      </c>
      <c r="B22" s="114" t="inlineStr">
        <is>
          <t>Gordian Quest</t>
        </is>
      </c>
      <c r="C22" s="113" t="n">
        <v>981430</v>
      </c>
      <c r="D22" s="113" t="n">
        <v>2022</v>
      </c>
      <c r="E22" s="115" t="n">
        <v>19.99</v>
      </c>
      <c r="F22" s="116" t="n">
        <v>58</v>
      </c>
      <c r="G22" s="117" t="n">
        <v>6063</v>
      </c>
      <c r="H22" s="118" t="n">
        <v>0.886</v>
      </c>
      <c r="I22" s="117" t="n">
        <v>248027</v>
      </c>
      <c r="J22" s="119">
        <f>IFERROR(I22/G22,0)</f>
        <v/>
      </c>
      <c r="K22" s="120">
        <f>I22*E22*0.75*0.6</f>
        <v/>
      </c>
      <c r="L22" s="116">
        <f>I22*F22*0.75*0.6</f>
        <v/>
      </c>
      <c r="M22" s="114" t="inlineStr">
        <is>
          <t>Mixed Realms; SwagSoft Studios</t>
        </is>
      </c>
      <c r="N22" s="114" t="inlineStr">
        <is>
          <t>RPG · Card Game · Card Battler · Strategy · Adventure</t>
        </is>
      </c>
      <c r="O22" s="113" t="inlineStr">
        <is>
          <t>https://store.steampowered.com/app/981430/</t>
        </is>
      </c>
    </row>
    <row r="23" ht="27.75" customHeight="1" s="78">
      <c r="A23" s="105" t="inlineStr">
        <is>
          <t>A</t>
        </is>
      </c>
      <c r="B23" s="106" t="inlineStr">
        <is>
          <t>StarVaders</t>
        </is>
      </c>
      <c r="C23" s="105" t="n">
        <v>2097570</v>
      </c>
      <c r="D23" s="105" t="n">
        <v>2025</v>
      </c>
      <c r="E23" s="107" t="n">
        <v>24.99</v>
      </c>
      <c r="F23" s="108" t="n">
        <v>93</v>
      </c>
      <c r="G23" s="109" t="n">
        <v>4448</v>
      </c>
      <c r="H23" s="110" t="n">
        <v>0.97</v>
      </c>
      <c r="I23" s="109" t="n">
        <v>186861</v>
      </c>
      <c r="J23" s="111">
        <f>IFERROR(I23/G23,0)</f>
        <v/>
      </c>
      <c r="K23" s="112">
        <f>I23*E23*0.75*0.6</f>
        <v/>
      </c>
      <c r="L23" s="108">
        <f>I23*F23*0.75*0.6</f>
        <v/>
      </c>
      <c r="M23" s="106" t="inlineStr">
        <is>
          <t>Pengonauts</t>
        </is>
      </c>
      <c r="N23" s="106" t="inlineStr">
        <is>
          <t>Roguelike Deckbuilder · Deckbuilding · Turn-Based Tactics · Roguelite · Difficult</t>
        </is>
      </c>
      <c r="O23" s="105" t="inlineStr">
        <is>
          <t>https://store.steampowered.com/app/2097570/</t>
        </is>
      </c>
    </row>
    <row r="24" ht="27.75" customHeight="1" s="78">
      <c r="A24" s="113" t="inlineStr">
        <is>
          <t>A</t>
        </is>
      </c>
      <c r="B24" s="114" t="inlineStr">
        <is>
          <t>The Last Flame</t>
        </is>
      </c>
      <c r="C24" s="113" t="n">
        <v>1830970</v>
      </c>
      <c r="D24" s="113" t="n">
        <v>2025</v>
      </c>
      <c r="E24" s="115" t="n">
        <v>19.99</v>
      </c>
      <c r="F24" s="116" t="n">
        <v>55</v>
      </c>
      <c r="G24" s="117" t="n">
        <v>2949</v>
      </c>
      <c r="H24" s="118" t="n">
        <v>0.849</v>
      </c>
      <c r="I24" s="117" t="n">
        <v>180495</v>
      </c>
      <c r="J24" s="119">
        <f>IFERROR(I24/G24,0)</f>
        <v/>
      </c>
      <c r="K24" s="120">
        <f>I24*E24*0.75*0.6</f>
        <v/>
      </c>
      <c r="L24" s="116">
        <f>I24*F24*0.75*0.6</f>
        <v/>
      </c>
      <c r="M24" s="114" t="inlineStr">
        <is>
          <t>Hotloop</t>
        </is>
      </c>
      <c r="N24" s="114" t="inlineStr">
        <is>
          <t>Auto Battler · Roguelike · Strategy · Tactical · Turn-Based Strategy</t>
        </is>
      </c>
      <c r="O24" s="113" t="inlineStr">
        <is>
          <t>https://store.steampowered.com/app/1830970/</t>
        </is>
      </c>
    </row>
    <row r="25" ht="27.75" customHeight="1" s="78">
      <c r="A25" s="105" t="inlineStr">
        <is>
          <t>A</t>
        </is>
      </c>
      <c r="B25" s="106" t="inlineStr">
        <is>
          <t>Cobalt Core</t>
        </is>
      </c>
      <c r="C25" s="105" t="n">
        <v>2179850</v>
      </c>
      <c r="D25" s="105" t="n">
        <v>2023</v>
      </c>
      <c r="E25" s="107" t="n">
        <v>19.99</v>
      </c>
      <c r="F25" s="108" t="n">
        <v>76</v>
      </c>
      <c r="G25" s="109" t="n">
        <v>4424</v>
      </c>
      <c r="H25" s="110" t="n">
        <v>0.96</v>
      </c>
      <c r="I25" s="109" t="n">
        <v>155304</v>
      </c>
      <c r="J25" s="111">
        <f>IFERROR(I25/G25,0)</f>
        <v/>
      </c>
      <c r="K25" s="112">
        <f>I25*E25*0.75*0.6</f>
        <v/>
      </c>
      <c r="L25" s="108">
        <f>I25*F25*0.75*0.6</f>
        <v/>
      </c>
      <c r="M25" s="106" t="inlineStr">
        <is>
          <t>Rocket Rat Games</t>
        </is>
      </c>
      <c r="N25" s="106" t="inlineStr">
        <is>
          <t>Roguelike Deckbuilder · Card Game · Strategy · Roguelike · Turn-Based Strategy</t>
        </is>
      </c>
      <c r="O25" s="105" t="inlineStr">
        <is>
          <t>https://store.steampowered.com/app/2179850/</t>
        </is>
      </c>
    </row>
    <row r="26" ht="27.75" customHeight="1" s="78">
      <c r="A26" s="113" t="inlineStr">
        <is>
          <t>A</t>
        </is>
      </c>
      <c r="B26" s="114" t="inlineStr">
        <is>
          <t>Alina of the Arena</t>
        </is>
      </c>
      <c r="C26" s="113" t="n">
        <v>1668690</v>
      </c>
      <c r="D26" s="113" t="n">
        <v>2022</v>
      </c>
      <c r="E26" s="115" t="n">
        <v>14.99</v>
      </c>
      <c r="F26" s="116" t="n">
        <v>52</v>
      </c>
      <c r="G26" s="117" t="n">
        <v>3975</v>
      </c>
      <c r="H26" s="118" t="n">
        <v>0.915</v>
      </c>
      <c r="I26" s="117" t="n">
        <v>140526</v>
      </c>
      <c r="J26" s="119">
        <f>IFERROR(I26/G26,0)</f>
        <v/>
      </c>
      <c r="K26" s="120">
        <f>I26*E26*0.75*0.6</f>
        <v/>
      </c>
      <c r="L26" s="116">
        <f>I26*F26*0.75*0.6</f>
        <v/>
      </c>
      <c r="M26" s="114" t="inlineStr">
        <is>
          <t>PINIX</t>
        </is>
      </c>
      <c r="N26" s="114" t="inlineStr">
        <is>
          <t>Roguelike Deckbuilder · Roguelike · Turn-Based Tactics · Hex Grid · Card Game</t>
        </is>
      </c>
      <c r="O26" s="113" t="inlineStr">
        <is>
          <t>https://store.steampowered.com/app/1668690/</t>
        </is>
      </c>
    </row>
    <row r="27" ht="27.75" customHeight="1" s="78">
      <c r="A27" s="105" t="inlineStr">
        <is>
          <t>A</t>
        </is>
      </c>
      <c r="B27" s="106" t="inlineStr">
        <is>
          <t>Tales &amp; Tactics</t>
        </is>
      </c>
      <c r="C27" s="105" t="n">
        <v>1652250</v>
      </c>
      <c r="D27" s="105" t="n">
        <v>2024</v>
      </c>
      <c r="E27" s="107" t="n">
        <v>17.99</v>
      </c>
      <c r="F27" s="108" t="n">
        <v>58</v>
      </c>
      <c r="G27" s="109" t="n">
        <v>2270</v>
      </c>
      <c r="H27" s="110" t="n">
        <v>0.78</v>
      </c>
      <c r="I27" s="109" t="n">
        <v>128749</v>
      </c>
      <c r="J27" s="111">
        <f>IFERROR(I27/G27,0)</f>
        <v/>
      </c>
      <c r="K27" s="112">
        <f>I27*E27*0.75*0.6</f>
        <v/>
      </c>
      <c r="L27" s="108">
        <f>I27*F27*0.75*0.6</f>
        <v/>
      </c>
      <c r="M27" s="106" t="inlineStr">
        <is>
          <t>Table 9 Studio</t>
        </is>
      </c>
      <c r="N27" s="106" t="inlineStr">
        <is>
          <t>Hex Grid · Auto Battler · Strategy · Tactical · Turn-Based Tactics</t>
        </is>
      </c>
      <c r="O27" s="105" t="inlineStr">
        <is>
          <t>https://store.steampowered.com/app/1652250/</t>
        </is>
      </c>
    </row>
    <row r="28" ht="27.75" customHeight="1" s="78">
      <c r="A28" s="113" t="inlineStr">
        <is>
          <t>A</t>
        </is>
      </c>
      <c r="B28" s="114" t="inlineStr">
        <is>
          <t>Hadean Tactics</t>
        </is>
      </c>
      <c r="C28" s="113" t="n">
        <v>1260590</v>
      </c>
      <c r="D28" s="113" t="n">
        <v>2023</v>
      </c>
      <c r="E28" s="115" t="n">
        <v>19.99</v>
      </c>
      <c r="F28" s="116" t="n">
        <v>76</v>
      </c>
      <c r="G28" s="117" t="n">
        <v>1947</v>
      </c>
      <c r="H28" s="118" t="n">
        <v>0.891</v>
      </c>
      <c r="I28" s="117" t="n">
        <v>99480</v>
      </c>
      <c r="J28" s="119">
        <f>IFERROR(I28/G28,0)</f>
        <v/>
      </c>
      <c r="K28" s="120">
        <f>I28*E28*0.75*0.6</f>
        <v/>
      </c>
      <c r="L28" s="116">
        <f>I28*F28*0.75*0.6</f>
        <v/>
      </c>
      <c r="M28" s="114" t="inlineStr">
        <is>
          <t>Emberfish Games</t>
        </is>
      </c>
      <c r="N28" s="114" t="inlineStr">
        <is>
          <t>Roguelike Deckbuilder · Auto Battler · Card Battler · Roguelike · Card Game</t>
        </is>
      </c>
      <c r="O28" s="113" t="inlineStr">
        <is>
          <t>https://store.steampowered.com/app/1260590/</t>
        </is>
      </c>
    </row>
    <row r="29" ht="27.75" customHeight="1" s="78">
      <c r="A29" s="105" t="inlineStr">
        <is>
          <t>A</t>
        </is>
      </c>
      <c r="B29" s="106" t="inlineStr">
        <is>
          <t>Vivid Knight</t>
        </is>
      </c>
      <c r="C29" s="105" t="n">
        <v>1569090</v>
      </c>
      <c r="D29" s="105" t="n">
        <v>2021</v>
      </c>
      <c r="E29" s="107" t="n">
        <v>14.99</v>
      </c>
      <c r="F29" s="108" t="n">
        <v>50</v>
      </c>
      <c r="G29" s="109" t="n">
        <v>1709</v>
      </c>
      <c r="H29" s="110" t="n">
        <v>0.899</v>
      </c>
      <c r="I29" s="109" t="n">
        <v>88909</v>
      </c>
      <c r="J29" s="111">
        <f>IFERROR(I29/G29,0)</f>
        <v/>
      </c>
      <c r="K29" s="112">
        <f>I29*E29*0.75*0.6</f>
        <v/>
      </c>
      <c r="L29" s="108">
        <f>I29*F29*0.75*0.6</f>
        <v/>
      </c>
      <c r="M29" s="106" t="inlineStr">
        <is>
          <t>Asobism.Co.,Ltd</t>
        </is>
      </c>
      <c r="N29" s="106" t="inlineStr">
        <is>
          <t>Roguelike · Inventory Management · Roguelike Deckbuilder · Choices Matter · Difficult</t>
        </is>
      </c>
      <c r="O29" s="105" t="inlineStr">
        <is>
          <t>https://store.steampowered.com/app/1569090/</t>
        </is>
      </c>
    </row>
    <row r="30" ht="27.75" customHeight="1" s="78">
      <c r="A30" s="113" t="inlineStr">
        <is>
          <t>A</t>
        </is>
      </c>
      <c r="B30" s="114" t="inlineStr">
        <is>
          <t>The Dungeon Beneath</t>
        </is>
      </c>
      <c r="C30" s="113" t="n">
        <v>1359120</v>
      </c>
      <c r="D30" s="113" t="n">
        <v>2020</v>
      </c>
      <c r="E30" s="115" t="n">
        <v>14.99</v>
      </c>
      <c r="F30" s="116" t="n">
        <v>58</v>
      </c>
      <c r="G30" s="117" t="n">
        <v>898</v>
      </c>
      <c r="H30" s="118" t="n">
        <v>0.888</v>
      </c>
      <c r="I30" s="117" t="n">
        <v>69494</v>
      </c>
      <c r="J30" s="119">
        <f>IFERROR(I30/G30,0)</f>
        <v/>
      </c>
      <c r="K30" s="120">
        <f>I30*E30*0.75*0.6</f>
        <v/>
      </c>
      <c r="L30" s="116">
        <f>I30*F30*0.75*0.6</f>
        <v/>
      </c>
      <c r="M30" s="114" t="inlineStr">
        <is>
          <t>Puzzle Box Games</t>
        </is>
      </c>
      <c r="N30" s="114" t="inlineStr">
        <is>
          <t>Turn-Based Tactics · Auto Battler · Roguelite · Tactical RPG · Perma Death</t>
        </is>
      </c>
      <c r="O30" s="113" t="inlineStr">
        <is>
          <t>https://store.steampowered.com/app/1359120/</t>
        </is>
      </c>
    </row>
    <row r="31" ht="27.75" customHeight="1" s="78">
      <c r="A31" s="105" t="inlineStr">
        <is>
          <t>B</t>
        </is>
      </c>
      <c r="B31" s="106" t="inlineStr">
        <is>
          <t>Griftlands</t>
        </is>
      </c>
      <c r="C31" s="105" t="n">
        <v>601840</v>
      </c>
      <c r="D31" s="105" t="n">
        <v>2021</v>
      </c>
      <c r="E31" s="107" t="n">
        <v>19.99</v>
      </c>
      <c r="F31" s="108" t="n">
        <v>48</v>
      </c>
      <c r="G31" s="109" t="n">
        <v>14522</v>
      </c>
      <c r="H31" s="110" t="n">
        <v>0.9350000000000001</v>
      </c>
      <c r="I31" s="109" t="n">
        <v>857962</v>
      </c>
      <c r="J31" s="111">
        <f>IFERROR(I31/G31,0)</f>
        <v/>
      </c>
      <c r="K31" s="112">
        <f>I31*E31*0.75*0.6</f>
        <v/>
      </c>
      <c r="L31" s="108">
        <f>I31*F31*0.75*0.6</f>
        <v/>
      </c>
      <c r="M31" s="106" t="inlineStr">
        <is>
          <t>Klei Entertainment</t>
        </is>
      </c>
      <c r="N31" s="106" t="inlineStr">
        <is>
          <t>Card Battler · Roguelite · Deckbuilding · Choices Matter · RPG</t>
        </is>
      </c>
      <c r="O31" s="105" t="inlineStr">
        <is>
          <t>https://store.steampowered.com/app/601840/</t>
        </is>
      </c>
    </row>
    <row r="32" ht="27.75" customHeight="1" s="78">
      <c r="A32" s="113" t="inlineStr">
        <is>
          <t>B</t>
        </is>
      </c>
      <c r="B32" s="114" t="inlineStr">
        <is>
          <t>Luck be a Landlord</t>
        </is>
      </c>
      <c r="C32" s="113" t="n">
        <v>1404850</v>
      </c>
      <c r="D32" s="113" t="n">
        <v>2023</v>
      </c>
      <c r="E32" s="115" t="n">
        <v>9.99</v>
      </c>
      <c r="F32" s="116" t="n">
        <v>42</v>
      </c>
      <c r="G32" s="117" t="n">
        <v>11574</v>
      </c>
      <c r="H32" s="118" t="n">
        <v>0.9320000000000001</v>
      </c>
      <c r="I32" s="117" t="n">
        <v>818789</v>
      </c>
      <c r="J32" s="119">
        <f>IFERROR(I32/G32,0)</f>
        <v/>
      </c>
      <c r="K32" s="120">
        <f>I32*E32*0.75*0.6</f>
        <v/>
      </c>
      <c r="L32" s="116">
        <f>I32*F32*0.75*0.6</f>
        <v/>
      </c>
      <c r="M32" s="114" t="inlineStr">
        <is>
          <t>TrampolineTales</t>
        </is>
      </c>
      <c r="N32" s="114" t="inlineStr">
        <is>
          <t>Roguelike Deckbuilder · Deckbuilding · Roguelite · Strategy · Procedural Generation</t>
        </is>
      </c>
      <c r="O32" s="113" t="inlineStr">
        <is>
          <t>https://store.steampowered.com/app/1404850/</t>
        </is>
      </c>
    </row>
    <row r="33" ht="27.75" customHeight="1" s="78">
      <c r="A33" s="105" t="inlineStr">
        <is>
          <t>B</t>
        </is>
      </c>
      <c r="B33" s="106" t="inlineStr">
        <is>
          <t>Backpack Hero</t>
        </is>
      </c>
      <c r="C33" s="105" t="n">
        <v>1970580</v>
      </c>
      <c r="D33" s="105" t="n">
        <v>2023</v>
      </c>
      <c r="E33" s="107" t="n">
        <v>19.99</v>
      </c>
      <c r="F33" s="108" t="n">
        <v>65</v>
      </c>
      <c r="G33" s="109" t="n">
        <v>8554</v>
      </c>
      <c r="H33" s="110" t="n">
        <v>0.863</v>
      </c>
      <c r="I33" s="109" t="n">
        <v>586133</v>
      </c>
      <c r="J33" s="111">
        <f>IFERROR(I33/G33,0)</f>
        <v/>
      </c>
      <c r="K33" s="112">
        <f>I33*E33*0.75*0.6</f>
        <v/>
      </c>
      <c r="L33" s="108">
        <f>I33*F33*0.75*0.6</f>
        <v/>
      </c>
      <c r="M33" s="106" t="inlineStr">
        <is>
          <t>Jaspel</t>
        </is>
      </c>
      <c r="N33" s="106" t="inlineStr">
        <is>
          <t>Replay Value · Inventory Management · Turn-Based · Roguelike Deckbuilder · Deckbuilding</t>
        </is>
      </c>
      <c r="O33" s="105" t="inlineStr">
        <is>
          <t>https://store.steampowered.com/app/1970580/</t>
        </is>
      </c>
    </row>
    <row r="34" ht="27.75" customHeight="1" s="78">
      <c r="A34" s="113" t="inlineStr">
        <is>
          <t>B</t>
        </is>
      </c>
      <c r="B34" s="114" t="inlineStr">
        <is>
          <t>The Bazaar</t>
        </is>
      </c>
      <c r="C34" s="113" t="n">
        <v>1617400</v>
      </c>
      <c r="D34" s="113" t="n">
        <v>2025</v>
      </c>
      <c r="E34" s="115" t="n">
        <v>19.99</v>
      </c>
      <c r="F34" s="116" t="n">
        <v>76</v>
      </c>
      <c r="G34" s="117" t="n">
        <v>16308</v>
      </c>
      <c r="H34" s="118" t="n">
        <v>0.6919999999999999</v>
      </c>
      <c r="I34" s="117" t="n">
        <v>536578</v>
      </c>
      <c r="J34" s="119">
        <f>IFERROR(I34/G34,0)</f>
        <v/>
      </c>
      <c r="K34" s="120">
        <f>I34*E34*0.75*0.6</f>
        <v/>
      </c>
      <c r="L34" s="116">
        <f>I34*F34*0.75*0.6</f>
        <v/>
      </c>
      <c r="M34" s="114" t="inlineStr">
        <is>
          <t>Tempo</t>
        </is>
      </c>
      <c r="N34" s="114" t="inlineStr">
        <is>
          <t>Strategy · Auto Battler · Deckbuilding · Card Battler · Card Game</t>
        </is>
      </c>
      <c r="O34" s="113" t="inlineStr">
        <is>
          <t>https://store.steampowered.com/app/1617400/</t>
        </is>
      </c>
    </row>
    <row r="35" ht="27.75" customHeight="1" s="78">
      <c r="A35" s="105" t="inlineStr">
        <is>
          <t>B</t>
        </is>
      </c>
      <c r="B35" s="106" t="inlineStr">
        <is>
          <t>Ballionaire</t>
        </is>
      </c>
      <c r="C35" s="105" t="n">
        <v>2667120</v>
      </c>
      <c r="D35" s="105" t="n">
        <v>2024</v>
      </c>
      <c r="E35" s="107" t="n">
        <v>12.34</v>
      </c>
      <c r="F35" s="108" t="n">
        <v>52</v>
      </c>
      <c r="G35" s="109" t="n">
        <v>2756</v>
      </c>
      <c r="H35" s="110" t="n">
        <v>0.839</v>
      </c>
      <c r="I35" s="109" t="n">
        <v>395571</v>
      </c>
      <c r="J35" s="111">
        <f>IFERROR(I35/G35,0)</f>
        <v/>
      </c>
      <c r="K35" s="112">
        <f>I35*E35*0.75*0.6</f>
        <v/>
      </c>
      <c r="L35" s="108">
        <f>I35*F35*0.75*0.6</f>
        <v/>
      </c>
      <c r="M35" s="106" t="inlineStr">
        <is>
          <t>newobject</t>
        </is>
      </c>
      <c r="N35" s="106" t="inlineStr">
        <is>
          <t>Singleplayer · 2D · Casual · Roguelike · Deckbuilding</t>
        </is>
      </c>
      <c r="O35" s="105" t="inlineStr">
        <is>
          <t>https://store.steampowered.com/app/2667120/</t>
        </is>
      </c>
    </row>
    <row r="36" ht="27.75" customHeight="1" s="78">
      <c r="A36" s="113" t="inlineStr">
        <is>
          <t>B</t>
        </is>
      </c>
      <c r="B36" s="114" t="inlineStr">
        <is>
          <t>Dungeon Clawler</t>
        </is>
      </c>
      <c r="C36" s="113" t="n">
        <v>2356780</v>
      </c>
      <c r="D36" s="113" t="n">
        <v>2026</v>
      </c>
      <c r="E36" s="115" t="n">
        <v>14.99</v>
      </c>
      <c r="F36" s="116" t="n">
        <v>52</v>
      </c>
      <c r="G36" s="117" t="n">
        <v>4051</v>
      </c>
      <c r="H36" s="118" t="n">
        <v>0.888</v>
      </c>
      <c r="I36" s="117" t="n">
        <v>385291</v>
      </c>
      <c r="J36" s="119">
        <f>IFERROR(I36/G36,0)</f>
        <v/>
      </c>
      <c r="K36" s="120">
        <f>I36*E36*0.75*0.6</f>
        <v/>
      </c>
      <c r="L36" s="116">
        <f>I36*F36*0.75*0.6</f>
        <v/>
      </c>
      <c r="M36" s="114" t="inlineStr">
        <is>
          <t>Stray Fawn Studio</t>
        </is>
      </c>
      <c r="N36" s="114" t="inlineStr">
        <is>
          <t>Roguelike Deckbuilder · Replay Value · Arcade · Strategy · Roguelite</t>
        </is>
      </c>
      <c r="O36" s="113" t="inlineStr">
        <is>
          <t>https://store.steampowered.com/app/2356780/</t>
        </is>
      </c>
    </row>
    <row r="37" ht="27.75" customHeight="1" s="78">
      <c r="A37" s="105" t="inlineStr">
        <is>
          <t>B</t>
        </is>
      </c>
      <c r="B37" s="106" t="inlineStr">
        <is>
          <t>Shogun Showdown</t>
        </is>
      </c>
      <c r="C37" s="105" t="n">
        <v>2084000</v>
      </c>
      <c r="D37" s="105" t="n">
        <v>2024</v>
      </c>
      <c r="E37" s="107" t="n">
        <v>14.99</v>
      </c>
      <c r="F37" s="108" t="n">
        <v>58</v>
      </c>
      <c r="G37" s="109" t="n">
        <v>7151</v>
      </c>
      <c r="H37" s="110" t="n">
        <v>0.951</v>
      </c>
      <c r="I37" s="109" t="n">
        <v>367362</v>
      </c>
      <c r="J37" s="111">
        <f>IFERROR(I37/G37,0)</f>
        <v/>
      </c>
      <c r="K37" s="112">
        <f>I37*E37*0.75*0.6</f>
        <v/>
      </c>
      <c r="L37" s="108">
        <f>I37*F37*0.75*0.6</f>
        <v/>
      </c>
      <c r="M37" s="106" t="inlineStr">
        <is>
          <t>Roboatino</t>
        </is>
      </c>
      <c r="N37" s="106" t="inlineStr">
        <is>
          <t>Replay Value · Strategy RPG · Roguelike · Turn-Based · Pixel Graphics</t>
        </is>
      </c>
      <c r="O37" s="105" t="inlineStr">
        <is>
          <t>https://store.steampowered.com/app/2084000/</t>
        </is>
      </c>
    </row>
    <row r="38" ht="27.75" customHeight="1" s="78">
      <c r="A38" s="113" t="inlineStr">
        <is>
          <t>B</t>
        </is>
      </c>
      <c r="B38" s="114" t="inlineStr">
        <is>
          <t>Yi Xian: The Cultivation Card Game</t>
        </is>
      </c>
      <c r="C38" s="113" t="n">
        <v>1948800</v>
      </c>
      <c r="D38" s="113" t="n">
        <v>2024</v>
      </c>
      <c r="E38" s="115" t="n">
        <v>0</v>
      </c>
      <c r="F38" s="116" t="n">
        <v>0</v>
      </c>
      <c r="G38" s="117" t="n">
        <v>6919</v>
      </c>
      <c r="H38" s="118" t="n">
        <v>0.738</v>
      </c>
      <c r="I38" s="117" t="n">
        <v>346021</v>
      </c>
      <c r="J38" s="119">
        <f>IFERROR(I38/G38,0)</f>
        <v/>
      </c>
      <c r="K38" s="120">
        <f>I38*E38*0.75*0.6</f>
        <v/>
      </c>
      <c r="L38" s="116">
        <f>I38*F38*0.75*0.6</f>
        <v/>
      </c>
      <c r="M38" s="114" t="inlineStr">
        <is>
          <t>Darksun Studio</t>
        </is>
      </c>
      <c r="N38" s="114" t="inlineStr">
        <is>
          <t>Free to Play · Card Battler · Strategy · Turn-Based Tactics · Casual</t>
        </is>
      </c>
      <c r="O38" s="113" t="inlineStr">
        <is>
          <t>https://store.steampowered.com/app/1948800/</t>
        </is>
      </c>
    </row>
    <row r="39" ht="27.75" customHeight="1" s="78">
      <c r="A39" s="105" t="inlineStr">
        <is>
          <t>B</t>
        </is>
      </c>
      <c r="B39" s="106" t="inlineStr">
        <is>
          <t>Roguebook</t>
        </is>
      </c>
      <c r="C39" s="105" t="n">
        <v>1076200</v>
      </c>
      <c r="D39" s="105" t="n">
        <v>2021</v>
      </c>
      <c r="E39" s="107" t="n">
        <v>24.99</v>
      </c>
      <c r="F39" s="108" t="n">
        <v>80</v>
      </c>
      <c r="G39" s="109" t="n">
        <v>4622</v>
      </c>
      <c r="H39" s="110" t="n">
        <v>0.838</v>
      </c>
      <c r="I39" s="109" t="n">
        <v>303981</v>
      </c>
      <c r="J39" s="111">
        <f>IFERROR(I39/G39,0)</f>
        <v/>
      </c>
      <c r="K39" s="112">
        <f>I39*E39*0.75*0.6</f>
        <v/>
      </c>
      <c r="L39" s="108">
        <f>I39*F39*0.75*0.6</f>
        <v/>
      </c>
      <c r="M39" s="106" t="inlineStr">
        <is>
          <t>Abrakam Entertainment SA</t>
        </is>
      </c>
      <c r="N39" s="106" t="inlineStr">
        <is>
          <t>RPG · Indie · Card Game · Deckbuilding · Singleplayer</t>
        </is>
      </c>
      <c r="O39" s="105" t="inlineStr">
        <is>
          <t>https://store.steampowered.com/app/1076200/</t>
        </is>
      </c>
    </row>
    <row r="40" ht="27.75" customHeight="1" s="78">
      <c r="A40" s="113" t="inlineStr">
        <is>
          <t>B</t>
        </is>
      </c>
      <c r="B40" s="114" t="inlineStr">
        <is>
          <t>Demonic Mahjong</t>
        </is>
      </c>
      <c r="C40" s="113" t="n">
        <v>3444020</v>
      </c>
      <c r="D40" s="113" t="n">
        <v>2025</v>
      </c>
      <c r="E40" s="115" t="n">
        <v>16.99</v>
      </c>
      <c r="F40" s="116" t="n">
        <v>58</v>
      </c>
      <c r="G40" s="117" t="n">
        <v>5668</v>
      </c>
      <c r="H40" s="118" t="n">
        <v>0.958</v>
      </c>
      <c r="I40" s="117" t="n">
        <v>300013</v>
      </c>
      <c r="J40" s="119">
        <f>IFERROR(I40/G40,0)</f>
        <v/>
      </c>
      <c r="K40" s="120">
        <f>I40*E40*0.75*0.6</f>
        <v/>
      </c>
      <c r="L40" s="116">
        <f>I40*F40*0.75*0.6</f>
        <v/>
      </c>
      <c r="M40" s="114" t="inlineStr">
        <is>
          <t>Boxed Lighting Games</t>
        </is>
      </c>
      <c r="N40" s="114" t="inlineStr">
        <is>
          <t>Strategy · Card Game · Roguelike · Tabletop · Casual</t>
        </is>
      </c>
      <c r="O40" s="113" t="inlineStr">
        <is>
          <t>https://store.steampowered.com/app/3444020/</t>
        </is>
      </c>
    </row>
    <row r="41" ht="27.75" customHeight="1" s="78">
      <c r="A41" s="105" t="inlineStr">
        <is>
          <t>B</t>
        </is>
      </c>
      <c r="B41" s="106" t="inlineStr">
        <is>
          <t>Emberward</t>
        </is>
      </c>
      <c r="C41" s="105" t="n">
        <v>2459550</v>
      </c>
      <c r="D41" s="105" t="n">
        <v>2026</v>
      </c>
      <c r="E41" s="107" t="n">
        <v>19.99</v>
      </c>
      <c r="F41" s="108" t="n">
        <v>68</v>
      </c>
      <c r="G41" s="109" t="n">
        <v>4503</v>
      </c>
      <c r="H41" s="110" t="n">
        <v>0.967</v>
      </c>
      <c r="I41" s="109" t="n">
        <v>237831</v>
      </c>
      <c r="J41" s="111">
        <f>IFERROR(I41/G41,0)</f>
        <v/>
      </c>
      <c r="K41" s="112">
        <f>I41*E41*0.75*0.6</f>
        <v/>
      </c>
      <c r="L41" s="108">
        <f>I41*F41*0.75*0.6</f>
        <v/>
      </c>
      <c r="M41" s="106" t="inlineStr">
        <is>
          <t>Refic Games</t>
        </is>
      </c>
      <c r="N41" s="106" t="inlineStr">
        <is>
          <t>Tower Defense · Falling Blocks · Strategy · Roguelite · Deckbuilding</t>
        </is>
      </c>
      <c r="O41" s="105" t="inlineStr">
        <is>
          <t>https://store.steampowered.com/app/2459550/</t>
        </is>
      </c>
    </row>
    <row r="42" ht="27.75" customHeight="1" s="78">
      <c r="A42" s="113" t="inlineStr">
        <is>
          <t>B</t>
        </is>
      </c>
      <c r="B42" s="114" t="inlineStr">
        <is>
          <t>Cat God Ranch</t>
        </is>
      </c>
      <c r="C42" s="113" t="n">
        <v>2797340</v>
      </c>
      <c r="D42" s="113" t="n">
        <v>2024</v>
      </c>
      <c r="E42" s="115" t="n">
        <v>9.99</v>
      </c>
      <c r="F42" s="116" t="n">
        <v>42</v>
      </c>
      <c r="G42" s="117" t="n">
        <v>2204</v>
      </c>
      <c r="H42" s="118" t="n">
        <v>0.9320000000000001</v>
      </c>
      <c r="I42" s="117" t="n">
        <v>226696</v>
      </c>
      <c r="J42" s="119">
        <f>IFERROR(I42/G42,0)</f>
        <v/>
      </c>
      <c r="K42" s="120">
        <f>I42*E42*0.75*0.6</f>
        <v/>
      </c>
      <c r="L42" s="116">
        <f>I42*F42*0.75*0.6</f>
        <v/>
      </c>
      <c r="M42" s="114" t="inlineStr">
        <is>
          <t>CrazyPotato Studio</t>
        </is>
      </c>
      <c r="N42" s="114" t="inlineStr">
        <is>
          <t>Management · Farming Sim · Simulation · Resource Management · Roguelike Deckbuilder</t>
        </is>
      </c>
      <c r="O42" s="113" t="inlineStr">
        <is>
          <t>https://store.steampowered.com/app/2797340/</t>
        </is>
      </c>
    </row>
    <row r="43" ht="27.75" customHeight="1" s="78">
      <c r="A43" s="105" t="inlineStr">
        <is>
          <t>B</t>
        </is>
      </c>
      <c r="B43" s="106" t="inlineStr">
        <is>
          <t>Decktamer</t>
        </is>
      </c>
      <c r="C43" s="105" t="n">
        <v>2870340</v>
      </c>
      <c r="D43" s="105" t="n">
        <v>2025</v>
      </c>
      <c r="E43" s="107" t="n">
        <v>15.99</v>
      </c>
      <c r="F43" s="108" t="n">
        <v>50</v>
      </c>
      <c r="G43" s="109" t="n">
        <v>2470</v>
      </c>
      <c r="H43" s="110" t="n">
        <v>0.862</v>
      </c>
      <c r="I43" s="109" t="n">
        <v>167224</v>
      </c>
      <c r="J43" s="111">
        <f>IFERROR(I43/G43,0)</f>
        <v/>
      </c>
      <c r="K43" s="112">
        <f>I43*E43*0.75*0.6</f>
        <v/>
      </c>
      <c r="L43" s="108">
        <f>I43*F43*0.75*0.6</f>
        <v/>
      </c>
      <c r="M43" s="106" t="inlineStr">
        <is>
          <t>Horizon Edge</t>
        </is>
      </c>
      <c r="N43" s="106" t="inlineStr">
        <is>
          <t>Roguelike Deckbuilder · Creature Collector · Card Game · Card Battler · Turn-Based Combat</t>
        </is>
      </c>
      <c r="O43" s="105" t="inlineStr">
        <is>
          <t>https://store.steampowered.com/app/2870340/</t>
        </is>
      </c>
    </row>
    <row r="44" ht="27.75" customHeight="1" s="78">
      <c r="A44" s="113" t="inlineStr">
        <is>
          <t>B</t>
        </is>
      </c>
      <c r="B44" s="114" t="inlineStr">
        <is>
          <t>Oaken Tower</t>
        </is>
      </c>
      <c r="C44" s="113" t="n">
        <v>3400960</v>
      </c>
      <c r="D44" s="113" t="n">
        <v>2026</v>
      </c>
      <c r="E44" s="115" t="n">
        <v>9.99</v>
      </c>
      <c r="F44" s="116" t="n">
        <v>32</v>
      </c>
      <c r="G44" s="117" t="n">
        <v>3417</v>
      </c>
      <c r="H44" s="118" t="n">
        <v>0.901</v>
      </c>
      <c r="I44" s="117" t="n">
        <v>148064</v>
      </c>
      <c r="J44" s="119">
        <f>IFERROR(I44/G44,0)</f>
        <v/>
      </c>
      <c r="K44" s="120">
        <f>I44*E44*0.75*0.6</f>
        <v/>
      </c>
      <c r="L44" s="116">
        <f>I44*F44*0.75*0.6</f>
        <v/>
      </c>
      <c r="M44" s="114" t="inlineStr">
        <is>
          <t>Bocary Studios</t>
        </is>
      </c>
      <c r="N44" s="114" t="inlineStr">
        <is>
          <t>Strategy · Auto Battler · Asynchronous Multiplayer · 2D · Pixel Graphics</t>
        </is>
      </c>
      <c r="O44" s="113" t="inlineStr">
        <is>
          <t>https://store.steampowered.com/app/3400960/</t>
        </is>
      </c>
    </row>
    <row r="45" ht="27.75" customHeight="1" s="78">
      <c r="A45" s="105" t="inlineStr">
        <is>
          <t>B</t>
        </is>
      </c>
      <c r="B45" s="106" t="inlineStr">
        <is>
          <t>Overlooting</t>
        </is>
      </c>
      <c r="C45" s="105" t="n">
        <v>3410180</v>
      </c>
      <c r="D45" s="105" t="n">
        <v>2025</v>
      </c>
      <c r="E45" s="107" t="n">
        <v>9.99</v>
      </c>
      <c r="F45" s="108" t="n">
        <v>42</v>
      </c>
      <c r="G45" s="109" t="n">
        <v>1815</v>
      </c>
      <c r="H45" s="110" t="n">
        <v>0.792</v>
      </c>
      <c r="I45" s="109" t="n">
        <v>134671</v>
      </c>
      <c r="J45" s="111">
        <f>IFERROR(I45/G45,0)</f>
        <v/>
      </c>
      <c r="K45" s="112">
        <f>I45*E45*0.75*0.6</f>
        <v/>
      </c>
      <c r="L45" s="108">
        <f>I45*F45*0.75*0.6</f>
        <v/>
      </c>
      <c r="M45" s="106" t="inlineStr">
        <is>
          <t>Posing Possums</t>
        </is>
      </c>
      <c r="N45" s="106" t="inlineStr">
        <is>
          <t>Inventory Management · Loot · Roguelite · Dungeon Crawler · Pixel Graphics</t>
        </is>
      </c>
      <c r="O45" s="105" t="inlineStr">
        <is>
          <t>https://store.steampowered.com/app/3410180/</t>
        </is>
      </c>
    </row>
    <row r="46" ht="27.75" customHeight="1" s="78">
      <c r="A46" s="113" t="inlineStr">
        <is>
          <t>B</t>
        </is>
      </c>
      <c r="B46" s="114" t="inlineStr">
        <is>
          <t>Trials of Fire</t>
        </is>
      </c>
      <c r="C46" s="113" t="n">
        <v>1038370</v>
      </c>
      <c r="D46" s="113" t="n">
        <v>2021</v>
      </c>
      <c r="E46" s="115" t="n">
        <v>19.99</v>
      </c>
      <c r="F46" s="116" t="n">
        <v>70</v>
      </c>
      <c r="G46" s="117" t="n">
        <v>3263</v>
      </c>
      <c r="H46" s="118" t="n">
        <v>0.86</v>
      </c>
      <c r="I46" s="117" t="n">
        <v>108539</v>
      </c>
      <c r="J46" s="119">
        <f>IFERROR(I46/G46,0)</f>
        <v/>
      </c>
      <c r="K46" s="120">
        <f>I46*E46*0.75*0.6</f>
        <v/>
      </c>
      <c r="L46" s="116">
        <f>I46*F46*0.75*0.6</f>
        <v/>
      </c>
      <c r="M46" s="114" t="inlineStr">
        <is>
          <t>Whatboy Games</t>
        </is>
      </c>
      <c r="N46" s="114" t="inlineStr">
        <is>
          <t>Card Battler · Turn-Based Tactics · Tactical RPG · Roguelite · Dungeon Crawler</t>
        </is>
      </c>
      <c r="O46" s="113" t="inlineStr">
        <is>
          <t>https://store.steampowered.com/app/1038370/</t>
        </is>
      </c>
    </row>
    <row r="47" ht="27.75" customHeight="1" s="78">
      <c r="A47" s="105" t="inlineStr">
        <is>
          <t>B</t>
        </is>
      </c>
      <c r="B47" s="106" t="inlineStr">
        <is>
          <t>Yao-Guai Hunter</t>
        </is>
      </c>
      <c r="C47" s="105" t="n">
        <v>1915510</v>
      </c>
      <c r="D47" s="105" t="n">
        <v>2025</v>
      </c>
      <c r="E47" s="107" t="n">
        <v>16.99</v>
      </c>
      <c r="F47" s="108" t="n">
        <v>58</v>
      </c>
      <c r="G47" s="109" t="n">
        <v>2336</v>
      </c>
      <c r="H47" s="110" t="n">
        <v>0.835</v>
      </c>
      <c r="I47" s="109" t="n">
        <v>107130</v>
      </c>
      <c r="J47" s="111">
        <f>IFERROR(I47/G47,0)</f>
        <v/>
      </c>
      <c r="K47" s="112">
        <f>I47*E47*0.75*0.6</f>
        <v/>
      </c>
      <c r="L47" s="108">
        <f>I47*F47*0.75*0.6</f>
        <v/>
      </c>
      <c r="M47" s="106" t="inlineStr">
        <is>
          <t>MyACG Studio</t>
        </is>
      </c>
      <c r="N47" s="106" t="inlineStr">
        <is>
          <t>Roguelike Deckbuilder · Card Game · Replay Value · Roguelike · Card Battler</t>
        </is>
      </c>
      <c r="O47" s="105" t="inlineStr">
        <is>
          <t>https://store.steampowered.com/app/1915510/</t>
        </is>
      </c>
    </row>
    <row r="48" ht="27.75" customHeight="1" s="78">
      <c r="A48" s="113" t="inlineStr">
        <is>
          <t>B</t>
        </is>
      </c>
      <c r="B48" s="114" t="inlineStr">
        <is>
          <t>Commander Quest</t>
        </is>
      </c>
      <c r="C48" s="113" t="n">
        <v>2697930</v>
      </c>
      <c r="D48" s="113" t="n">
        <v>2025</v>
      </c>
      <c r="E48" s="115" t="n">
        <v>11.99</v>
      </c>
      <c r="F48" s="116" t="n">
        <v>48</v>
      </c>
      <c r="G48" s="117" t="n">
        <v>2890</v>
      </c>
      <c r="H48" s="118" t="n">
        <v>0.751</v>
      </c>
      <c r="I48" s="117" t="n">
        <v>90624</v>
      </c>
      <c r="J48" s="119">
        <f>IFERROR(I48/G48,0)</f>
        <v/>
      </c>
      <c r="K48" s="120">
        <f>I48*E48*0.75*0.6</f>
        <v/>
      </c>
      <c r="L48" s="116">
        <f>I48*F48*0.75*0.6</f>
        <v/>
      </c>
      <c r="M48" s="114" t="inlineStr">
        <is>
          <t>Flyway Games, Inc.</t>
        </is>
      </c>
      <c r="N48" s="114" t="inlineStr">
        <is>
          <t>War · Roguelike Deckbuilder · Card Game · Strategy · Replay Value</t>
        </is>
      </c>
      <c r="O48" s="113" t="inlineStr">
        <is>
          <t>https://store.steampowered.com/app/2697930/</t>
        </is>
      </c>
    </row>
    <row r="49" ht="27.75" customHeight="1" s="78">
      <c r="A49" s="105" t="inlineStr">
        <is>
          <t>B</t>
        </is>
      </c>
      <c r="B49" s="106" t="inlineStr">
        <is>
          <t>Touhou: Lost Branch of Legend</t>
        </is>
      </c>
      <c r="C49" s="105" t="n">
        <v>1140150</v>
      </c>
      <c r="D49" s="105" t="n">
        <v>2022</v>
      </c>
      <c r="E49" s="107" t="n">
        <v>29.99</v>
      </c>
      <c r="F49" s="108" t="n">
        <v>98</v>
      </c>
      <c r="G49" s="109" t="n">
        <v>2182</v>
      </c>
      <c r="H49" s="110" t="n">
        <v>0.928</v>
      </c>
      <c r="I49" s="109" t="n">
        <v>81114</v>
      </c>
      <c r="J49" s="111">
        <f>IFERROR(I49/G49,0)</f>
        <v/>
      </c>
      <c r="K49" s="112">
        <f>I49*E49*0.75*0.6</f>
        <v/>
      </c>
      <c r="L49" s="108">
        <f>I49*F49*0.75*0.6</f>
        <v/>
      </c>
      <c r="M49" s="106" t="inlineStr">
        <is>
          <t>Alioth Studio</t>
        </is>
      </c>
      <c r="N49" s="106" t="inlineStr">
        <is>
          <t>Roguelike Deckbuilder · Anime · Strategy · Card Battler · Roguelike</t>
        </is>
      </c>
      <c r="O49" s="105" t="inlineStr">
        <is>
          <t>https://store.steampowered.com/app/1140150/</t>
        </is>
      </c>
    </row>
    <row r="50" ht="27.75" customHeight="1" s="78">
      <c r="A50" s="113" t="inlineStr">
        <is>
          <t>B</t>
        </is>
      </c>
      <c r="B50" s="114" t="inlineStr">
        <is>
          <t>ShapeHero Factory</t>
        </is>
      </c>
      <c r="C50" s="113" t="n">
        <v>2389040</v>
      </c>
      <c r="D50" s="113" t="n">
        <v>2025</v>
      </c>
      <c r="E50" s="115" t="n">
        <v>23.99</v>
      </c>
      <c r="F50" s="116" t="n">
        <v>79.98999999999999</v>
      </c>
      <c r="G50" s="117" t="n">
        <v>1017</v>
      </c>
      <c r="H50" s="118" t="n">
        <v>0.887</v>
      </c>
      <c r="I50" s="117" t="n">
        <v>70840</v>
      </c>
      <c r="J50" s="119">
        <f>IFERROR(I50/G50,0)</f>
        <v/>
      </c>
      <c r="K50" s="120">
        <f>I50*E50*0.75*0.6</f>
        <v/>
      </c>
      <c r="L50" s="116">
        <f>I50*F50*0.75*0.6</f>
        <v/>
      </c>
      <c r="M50" s="114" t="inlineStr">
        <is>
          <t>Asobism.Co.,Ltd</t>
        </is>
      </c>
      <c r="N50" s="114" t="inlineStr">
        <is>
          <t>Automation · Base Building · Tower Defense · Roguelite · Resource Management</t>
        </is>
      </c>
      <c r="O50" s="113" t="inlineStr">
        <is>
          <t>https://store.steampowered.com/app/2389040/</t>
        </is>
      </c>
    </row>
    <row r="51" ht="27.75" customHeight="1" s="78">
      <c r="A51" s="105" t="inlineStr">
        <is>
          <t>B</t>
        </is>
      </c>
      <c r="B51" s="106" t="inlineStr">
        <is>
          <t>Knightica</t>
        </is>
      </c>
      <c r="C51" s="105" t="n">
        <v>3093400</v>
      </c>
      <c r="D51" s="105" t="n">
        <v>2025</v>
      </c>
      <c r="E51" s="107" t="n">
        <v>14.99</v>
      </c>
      <c r="F51" s="108" t="n">
        <v>49</v>
      </c>
      <c r="G51" s="109" t="n">
        <v>1209</v>
      </c>
      <c r="H51" s="110" t="n">
        <v>0.746</v>
      </c>
      <c r="I51" s="109" t="n">
        <v>58669</v>
      </c>
      <c r="J51" s="111">
        <f>IFERROR(I51/G51,0)</f>
        <v/>
      </c>
      <c r="K51" s="112">
        <f>I51*E51*0.75*0.6</f>
        <v/>
      </c>
      <c r="L51" s="108">
        <f>I51*F51*0.75*0.6</f>
        <v/>
      </c>
      <c r="M51" s="106" t="inlineStr">
        <is>
          <t>Mad Mango Games</t>
        </is>
      </c>
      <c r="N51" s="106" t="inlineStr">
        <is>
          <t>Auto Battler · Tower Defense · Deckbuilding · Turn-Based · Roguelike</t>
        </is>
      </c>
      <c r="O51" s="105" t="inlineStr">
        <is>
          <t>https://store.steampowered.com/app/3093400/</t>
        </is>
      </c>
    </row>
    <row r="52" ht="27.75" customHeight="1" s="78">
      <c r="A52" s="113" t="inlineStr">
        <is>
          <t>B</t>
        </is>
      </c>
      <c r="B52" s="114" t="inlineStr">
        <is>
          <t>Indies' Lies</t>
        </is>
      </c>
      <c r="C52" s="113" t="n">
        <v>1638390</v>
      </c>
      <c r="D52" s="113" t="n">
        <v>2023</v>
      </c>
      <c r="E52" s="115" t="n">
        <v>14.99</v>
      </c>
      <c r="F52" s="116" t="n">
        <v>48</v>
      </c>
      <c r="G52" s="117" t="n">
        <v>793</v>
      </c>
      <c r="H52" s="118" t="n">
        <v>0.757</v>
      </c>
      <c r="I52" s="117" t="n">
        <v>39890</v>
      </c>
      <c r="J52" s="119">
        <f>IFERROR(I52/G52,0)</f>
        <v/>
      </c>
      <c r="K52" s="120">
        <f>I52*E52*0.75*0.6</f>
        <v/>
      </c>
      <c r="L52" s="116">
        <f>I52*F52*0.75*0.6</f>
        <v/>
      </c>
      <c r="M52" s="114" t="inlineStr">
        <is>
          <t>Fun Square Games</t>
        </is>
      </c>
      <c r="N52" s="114" t="inlineStr">
        <is>
          <t>Roguelike Deckbuilder · Card Game · Card Battler · Deckbuilding · Roguelike</t>
        </is>
      </c>
      <c r="O52" s="113" t="inlineStr">
        <is>
          <t>https://store.steampowered.com/app/1638390/</t>
        </is>
      </c>
    </row>
  </sheetData>
  <autoFilter ref="A4:O52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A6A35"/>
    <outlinePr summaryBelow="1" summaryRight="1"/>
    <pageSetUpPr fitToPage="0"/>
  </sheetPr>
  <dimension ref="A1:K1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77" min="1" max="1"/>
    <col width="60" customWidth="1" style="77" min="2" max="2"/>
    <col width="13" customWidth="1" style="77" min="3" max="6"/>
    <col width="22" customWidth="1" style="77" min="7" max="7"/>
  </cols>
  <sheetData>
    <row r="1" ht="21.6" customHeight="1" s="78">
      <c r="A1" s="88" t="inlineStr">
        <is>
          <t>03 / 140 款随机样本：评论 → 销量校准</t>
        </is>
      </c>
    </row>
    <row r="2" ht="15" customHeight="1" s="78">
      <c r="A2" s="81" t="inlineStr">
        <is>
          <t>用于估计评论倍数与回归式；样本为 2021–2026 年、$4.99 以上的付费产品随机抽取</t>
        </is>
      </c>
    </row>
    <row r="4" ht="15" customHeight="1" s="78">
      <c r="A4" s="121" t="inlineStr">
        <is>
          <t>样本数</t>
        </is>
      </c>
      <c r="B4" s="122" t="n">
        <v>140</v>
      </c>
    </row>
    <row r="5" ht="15" customHeight="1" s="78">
      <c r="A5" s="121" t="inlineStr">
        <is>
          <t>评论中位数</t>
        </is>
      </c>
      <c r="B5" s="122" t="n">
        <v>65</v>
      </c>
    </row>
    <row r="6" ht="15" customHeight="1" s="78">
      <c r="A6" s="121" t="inlineStr">
        <is>
          <t>评论倍数中位</t>
        </is>
      </c>
      <c r="B6" s="122" t="n">
        <v>28.8</v>
      </c>
    </row>
    <row r="7" ht="15" customHeight="1" s="78">
      <c r="A7" s="121" t="inlineStr">
        <is>
          <t>P25 / P75</t>
        </is>
      </c>
      <c r="B7" s="122" t="inlineStr">
        <is>
          <t>17.2× / 43.2×</t>
        </is>
      </c>
    </row>
    <row r="8" ht="15" customHeight="1" s="78">
      <c r="A8" s="121" t="inlineStr">
        <is>
          <t>回归式</t>
        </is>
      </c>
      <c r="B8" s="122" t="inlineStr">
        <is>
          <t>copies = 10^(0.914 + 1.265 × log10(reviews))</t>
        </is>
      </c>
    </row>
    <row r="9" ht="15" customHeight="1" s="78">
      <c r="A9" s="121" t="inlineStr">
        <is>
          <t>R²</t>
        </is>
      </c>
      <c r="B9" s="122" t="n">
        <v>0.9399999999999999</v>
      </c>
    </row>
    <row r="12" ht="30" customHeight="1" s="78">
      <c r="A12" s="90" t="inlineStr">
        <is>
          <t>AppID</t>
        </is>
      </c>
      <c r="B12" s="90" t="inlineStr">
        <is>
          <t>游戏</t>
        </is>
      </c>
      <c r="C12" s="90" t="inlineStr">
        <is>
          <t>年份</t>
        </is>
      </c>
      <c r="D12" s="90" t="inlineStr">
        <is>
          <t>估算销量</t>
        </is>
      </c>
      <c r="E12" s="90" t="inlineStr">
        <is>
          <t>评论数</t>
        </is>
      </c>
      <c r="F12" s="90" t="inlineStr">
        <is>
          <t>评论倍数</t>
        </is>
      </c>
      <c r="G12" s="90" t="inlineStr">
        <is>
          <t>评论评分</t>
        </is>
      </c>
      <c r="I12" s="123" t="inlineStr">
        <is>
          <t>评论数分布</t>
        </is>
      </c>
    </row>
    <row r="13" ht="15" customHeight="1" s="78">
      <c r="A13" s="124" t="n">
        <v>1909260</v>
      </c>
      <c r="B13" s="124" t="inlineStr">
        <is>
          <t>Looping Bravery</t>
        </is>
      </c>
      <c r="C13" s="124" t="n">
        <v>2022</v>
      </c>
      <c r="D13" s="125" t="n">
        <v>200</v>
      </c>
      <c r="E13" s="125" t="n">
        <v>14</v>
      </c>
      <c r="F13" s="126" t="n">
        <v>14.2857142857143</v>
      </c>
      <c r="G13" s="124" t="inlineStr">
        <is>
          <t>Positive</t>
        </is>
      </c>
      <c r="I13" s="127" t="inlineStr">
        <is>
          <t>区间</t>
        </is>
      </c>
      <c r="J13" s="127" t="inlineStr">
        <is>
          <t>数量</t>
        </is>
      </c>
      <c r="K13" s="127" t="inlineStr">
        <is>
          <t>占比</t>
        </is>
      </c>
    </row>
    <row r="14" ht="15" customHeight="1" s="78">
      <c r="A14" s="128" t="n">
        <v>3419450</v>
      </c>
      <c r="B14" s="128" t="inlineStr">
        <is>
          <t>Who Trained the Hero? -Spin of Fate-</t>
        </is>
      </c>
      <c r="C14" s="128" t="n">
        <v>2025</v>
      </c>
      <c r="D14" s="129" t="n">
        <v>2064</v>
      </c>
      <c r="E14" s="129" t="n">
        <v>62</v>
      </c>
      <c r="F14" s="130" t="n">
        <v>33.2903225806452</v>
      </c>
      <c r="G14" s="128" t="inlineStr">
        <is>
          <t>Mixed</t>
        </is>
      </c>
      <c r="I14" s="131" t="inlineStr">
        <is>
          <t>0</t>
        </is>
      </c>
      <c r="J14" s="131" t="n">
        <v>4</v>
      </c>
      <c r="K14" s="132" t="n">
        <v>0.029</v>
      </c>
    </row>
    <row r="15" ht="15" customHeight="1" s="78">
      <c r="A15" s="124" t="n">
        <v>3393750</v>
      </c>
      <c r="B15" s="124" t="inlineStr">
        <is>
          <t>我的人生</t>
        </is>
      </c>
      <c r="C15" s="124" t="n">
        <v>2025</v>
      </c>
      <c r="D15" s="125" t="n">
        <v>50391</v>
      </c>
      <c r="E15" s="125" t="n">
        <v>525</v>
      </c>
      <c r="F15" s="126" t="n">
        <v>95.9828571428571</v>
      </c>
      <c r="G15" s="124" t="inlineStr">
        <is>
          <t>Mixed</t>
        </is>
      </c>
      <c r="I15" s="131" t="inlineStr">
        <is>
          <t>1–49</t>
        </is>
      </c>
      <c r="J15" s="131" t="n">
        <v>56</v>
      </c>
      <c r="K15" s="132" t="n">
        <v>0.4</v>
      </c>
    </row>
    <row r="16" ht="15" customHeight="1" s="78">
      <c r="A16" s="128" t="n">
        <v>1231940</v>
      </c>
      <c r="B16" s="128" t="inlineStr">
        <is>
          <t>Cardnarok: Raid with Gods</t>
        </is>
      </c>
      <c r="C16" s="128" t="n">
        <v>2021</v>
      </c>
      <c r="D16" s="129" t="n">
        <v>3771</v>
      </c>
      <c r="E16" s="129" t="n">
        <v>102</v>
      </c>
      <c r="F16" s="130" t="n">
        <v>36.9705882352941</v>
      </c>
      <c r="G16" s="128" t="inlineStr">
        <is>
          <t>Mostly Positive</t>
        </is>
      </c>
      <c r="I16" s="131" t="inlineStr">
        <is>
          <t>50–99</t>
        </is>
      </c>
      <c r="J16" s="131" t="n">
        <v>24</v>
      </c>
      <c r="K16" s="132" t="n">
        <v>0.171</v>
      </c>
    </row>
    <row r="17" ht="15" customHeight="1" s="78">
      <c r="A17" s="124" t="n">
        <v>3215240</v>
      </c>
      <c r="B17" s="124" t="inlineStr">
        <is>
          <t>Probability Dungeon</t>
        </is>
      </c>
      <c r="C17" s="124" t="n">
        <v>2025</v>
      </c>
      <c r="D17" s="125" t="n">
        <v>275</v>
      </c>
      <c r="E17" s="125" t="n">
        <v>9</v>
      </c>
      <c r="F17" s="126" t="n">
        <v>30.5555555555556</v>
      </c>
      <c r="G17" s="124" t="inlineStr">
        <is>
          <t>9 user reviews</t>
        </is>
      </c>
      <c r="I17" s="131" t="inlineStr">
        <is>
          <t>100–499</t>
        </is>
      </c>
      <c r="J17" s="131" t="n">
        <v>35</v>
      </c>
      <c r="K17" s="132" t="n">
        <v>0.25</v>
      </c>
    </row>
    <row r="18" ht="15" customHeight="1" s="78">
      <c r="A18" s="128" t="n">
        <v>2271110</v>
      </c>
      <c r="B18" s="128" t="inlineStr">
        <is>
          <t>RogueViz Collection</t>
        </is>
      </c>
      <c r="C18" s="128" t="n">
        <v>2025</v>
      </c>
      <c r="D18" s="129" t="n">
        <v>231</v>
      </c>
      <c r="E18" s="129" t="n">
        <v>11</v>
      </c>
      <c r="F18" s="130" t="n">
        <v>21</v>
      </c>
      <c r="G18" s="128" t="inlineStr">
        <is>
          <t>Positive</t>
        </is>
      </c>
      <c r="I18" s="131" t="inlineStr">
        <is>
          <t>500–999</t>
        </is>
      </c>
      <c r="J18" s="131" t="n">
        <v>9</v>
      </c>
      <c r="K18" s="132" t="n">
        <v>0.064</v>
      </c>
    </row>
    <row r="19" ht="15" customHeight="1" s="78">
      <c r="A19" s="124" t="n">
        <v>2711190</v>
      </c>
      <c r="B19" s="124" t="inlineStr">
        <is>
          <t>Hyperspace Deck Command</t>
        </is>
      </c>
      <c r="C19" s="124" t="n">
        <v>2025</v>
      </c>
      <c r="D19" s="125" t="n">
        <v>1201</v>
      </c>
      <c r="E19" s="125" t="n">
        <v>98</v>
      </c>
      <c r="F19" s="126" t="n">
        <v>12.2551020408163</v>
      </c>
      <c r="G19" s="124" t="inlineStr">
        <is>
          <t>Very Positive</t>
        </is>
      </c>
      <c r="I19" s="131" t="inlineStr">
        <is>
          <t>1,000–4,999</t>
        </is>
      </c>
      <c r="J19" s="131" t="n">
        <v>9</v>
      </c>
      <c r="K19" s="132" t="n">
        <v>0.064</v>
      </c>
    </row>
    <row r="20" ht="15" customHeight="1" s="78">
      <c r="A20" s="128" t="n">
        <v>2473260</v>
      </c>
      <c r="B20" s="128" t="inlineStr">
        <is>
          <t>Claymores of the Lost Kingdom</t>
        </is>
      </c>
      <c r="C20" s="128" t="n">
        <v>2024</v>
      </c>
      <c r="D20" s="129" t="n">
        <v>2904</v>
      </c>
      <c r="E20" s="129" t="n">
        <v>92</v>
      </c>
      <c r="F20" s="130" t="n">
        <v>31.5652173913044</v>
      </c>
      <c r="G20" s="128" t="inlineStr">
        <is>
          <t>Mostly Positive</t>
        </is>
      </c>
      <c r="I20" s="131" t="inlineStr">
        <is>
          <t>5,000+</t>
        </is>
      </c>
      <c r="J20" s="131" t="n">
        <v>3</v>
      </c>
      <c r="K20" s="132" t="n">
        <v>0.021</v>
      </c>
    </row>
    <row r="21" ht="15" customHeight="1" s="78">
      <c r="A21" s="124" t="n">
        <v>1232580</v>
      </c>
      <c r="B21" s="124" t="inlineStr">
        <is>
          <t>Knock on the Coffin Lid</t>
        </is>
      </c>
      <c r="C21" s="124" t="n">
        <v>2024</v>
      </c>
      <c r="D21" s="125" t="n">
        <v>135152</v>
      </c>
      <c r="E21" s="125" t="n">
        <v>2919</v>
      </c>
      <c r="F21" s="126" t="n">
        <v>46.3007879410757</v>
      </c>
      <c r="G21" s="124" t="inlineStr">
        <is>
          <t>Very Positive</t>
        </is>
      </c>
    </row>
    <row r="22" ht="15" customHeight="1" s="78">
      <c r="A22" s="128" t="n">
        <v>2522270</v>
      </c>
      <c r="B22" s="128" t="inlineStr">
        <is>
          <t>Rune Gate</t>
        </is>
      </c>
      <c r="C22" s="128" t="n">
        <v>2024</v>
      </c>
      <c r="D22" s="129" t="n">
        <v>1257</v>
      </c>
      <c r="E22" s="129" t="n">
        <v>54</v>
      </c>
      <c r="F22" s="130" t="n">
        <v>23.2777777777778</v>
      </c>
      <c r="G22" s="128" t="inlineStr">
        <is>
          <t>Very Positive</t>
        </is>
      </c>
    </row>
    <row r="23" ht="15" customHeight="1" s="78">
      <c r="A23" s="124" t="n">
        <v>1573630</v>
      </c>
      <c r="B23" s="124" t="inlineStr">
        <is>
          <t>Choice of Life: Middle Ages 2</t>
        </is>
      </c>
      <c r="C23" s="124" t="n">
        <v>2022</v>
      </c>
      <c r="D23" s="125" t="n">
        <v>50626</v>
      </c>
      <c r="E23" s="125" t="n">
        <v>1009</v>
      </c>
      <c r="F23" s="126" t="n">
        <v>50.1744301288404</v>
      </c>
      <c r="G23" s="124" t="inlineStr">
        <is>
          <t>Very Positive</t>
        </is>
      </c>
    </row>
    <row r="24" ht="15" customHeight="1" s="78">
      <c r="A24" s="128" t="n">
        <v>2742830</v>
      </c>
      <c r="B24" s="128" t="inlineStr">
        <is>
          <t>Monster Train 2</t>
        </is>
      </c>
      <c r="C24" s="128" t="n">
        <v>2025</v>
      </c>
      <c r="D24" s="129" t="n">
        <v>537235</v>
      </c>
      <c r="E24" s="129" t="n">
        <v>10303</v>
      </c>
      <c r="F24" s="130" t="n">
        <v>52.1435504222071</v>
      </c>
      <c r="G24" s="128" t="inlineStr">
        <is>
          <t>Overwhelmingly Positive</t>
        </is>
      </c>
    </row>
    <row r="25" ht="15" customHeight="1" s="78">
      <c r="A25" s="124" t="n">
        <v>2632650</v>
      </c>
      <c r="B25" s="124" t="inlineStr">
        <is>
          <t>Daemon Sigil</t>
        </is>
      </c>
      <c r="C25" s="124" t="n">
        <v>2025</v>
      </c>
      <c r="D25" s="125" t="n">
        <v>190</v>
      </c>
      <c r="E25" s="125" t="n">
        <v>11</v>
      </c>
      <c r="F25" s="126" t="n">
        <v>17.2727272727273</v>
      </c>
      <c r="G25" s="124" t="inlineStr">
        <is>
          <t>Positive</t>
        </is>
      </c>
    </row>
    <row r="26" ht="15" customHeight="1" s="78">
      <c r="A26" s="128" t="n">
        <v>3449630</v>
      </c>
      <c r="B26" s="128" t="inlineStr">
        <is>
          <t>Touhou Rinrinki ~ Crafts of the Lucky Beast</t>
        </is>
      </c>
      <c r="C26" s="128" t="n">
        <v>2026</v>
      </c>
      <c r="D26" s="129" t="n">
        <v>2358</v>
      </c>
      <c r="E26" s="129" t="n">
        <v>124</v>
      </c>
      <c r="F26" s="130" t="n">
        <v>19.0161290322581</v>
      </c>
      <c r="G26" s="128" t="inlineStr">
        <is>
          <t>Very Positive</t>
        </is>
      </c>
    </row>
    <row r="27" ht="15" customHeight="1" s="78">
      <c r="A27" s="124" t="n">
        <v>2631650</v>
      </c>
      <c r="B27" s="124" t="inlineStr">
        <is>
          <t>Nif Nif</t>
        </is>
      </c>
      <c r="C27" s="124" t="n">
        <v>2025</v>
      </c>
      <c r="D27" s="125" t="n">
        <v>250</v>
      </c>
      <c r="E27" s="125" t="n">
        <v>45</v>
      </c>
      <c r="F27" s="126" t="n">
        <v>5.55555555555556</v>
      </c>
      <c r="G27" s="124" t="inlineStr">
        <is>
          <t>Positive</t>
        </is>
      </c>
    </row>
    <row r="28" ht="15" customHeight="1" s="78">
      <c r="A28" s="128" t="n">
        <v>3830240</v>
      </c>
      <c r="B28" s="128" t="inlineStr">
        <is>
          <t>Untitled Car Game</t>
        </is>
      </c>
      <c r="C28" s="128" t="n">
        <v>2025</v>
      </c>
      <c r="D28" s="129" t="n">
        <v>34</v>
      </c>
      <c r="E28" s="129" t="n">
        <v>3</v>
      </c>
      <c r="F28" s="130" t="n">
        <v>11.3333333333333</v>
      </c>
      <c r="G28" s="128" t="inlineStr">
        <is>
          <t>3 user reviews</t>
        </is>
      </c>
    </row>
    <row r="29" ht="15" customHeight="1" s="78">
      <c r="A29" s="124" t="n">
        <v>3442280</v>
      </c>
      <c r="B29" s="124" t="inlineStr">
        <is>
          <t>Phantomancer</t>
        </is>
      </c>
      <c r="C29" s="124" t="n">
        <v>2025</v>
      </c>
      <c r="D29" s="125" t="n">
        <v>3152</v>
      </c>
      <c r="E29" s="125" t="n">
        <v>105</v>
      </c>
      <c r="F29" s="126" t="n">
        <v>30.0190476190476</v>
      </c>
      <c r="G29" s="124" t="inlineStr">
        <is>
          <t>Very Positive</t>
        </is>
      </c>
    </row>
    <row r="30" ht="15" customHeight="1" s="78">
      <c r="A30" s="128" t="n">
        <v>3070040</v>
      </c>
      <c r="B30" s="128" t="inlineStr">
        <is>
          <t>Kemotaku</t>
        </is>
      </c>
      <c r="C30" s="128" t="n">
        <v>2024</v>
      </c>
      <c r="D30" s="129" t="n">
        <v>83</v>
      </c>
      <c r="E30" s="129" t="n">
        <v>7</v>
      </c>
      <c r="F30" s="130" t="n">
        <v>11.8571428571429</v>
      </c>
      <c r="G30" s="128" t="inlineStr">
        <is>
          <t>7 user reviews</t>
        </is>
      </c>
    </row>
    <row r="31" ht="15" customHeight="1" s="78">
      <c r="A31" s="124" t="n">
        <v>3355940</v>
      </c>
      <c r="B31" s="124" t="inlineStr">
        <is>
          <t>Card Coder</t>
        </is>
      </c>
      <c r="C31" s="124" t="n">
        <v>2026</v>
      </c>
      <c r="D31" s="125" t="n">
        <v>1427</v>
      </c>
      <c r="E31" s="125" t="n">
        <v>28</v>
      </c>
      <c r="F31" s="126" t="n">
        <v>50.9642857142857</v>
      </c>
      <c r="G31" s="124" t="inlineStr">
        <is>
          <t>Mostly Positive</t>
        </is>
      </c>
    </row>
    <row r="32" ht="15" customHeight="1" s="78">
      <c r="A32" s="128" t="n">
        <v>2468550</v>
      </c>
      <c r="B32" s="128" t="inlineStr">
        <is>
          <t>Vivid World</t>
        </is>
      </c>
      <c r="C32" s="128" t="n">
        <v>2025</v>
      </c>
      <c r="D32" s="129" t="n">
        <v>29618</v>
      </c>
      <c r="E32" s="129" t="n">
        <v>622</v>
      </c>
      <c r="F32" s="130" t="n">
        <v>47.6173633440515</v>
      </c>
      <c r="G32" s="128" t="inlineStr">
        <is>
          <t>Very Positive</t>
        </is>
      </c>
    </row>
    <row r="33" ht="15" customHeight="1" s="78">
      <c r="A33" s="124" t="n">
        <v>3917700</v>
      </c>
      <c r="B33" s="124" t="inlineStr">
        <is>
          <t>Dicevaders</t>
        </is>
      </c>
      <c r="C33" s="124" t="n">
        <v>2026</v>
      </c>
      <c r="D33" s="125" t="n">
        <v>37543</v>
      </c>
      <c r="E33" s="125" t="n">
        <v>878</v>
      </c>
      <c r="F33" s="126" t="n">
        <v>42.7596810933941</v>
      </c>
      <c r="G33" s="124" t="inlineStr">
        <is>
          <t>Overwhelmingly Positive</t>
        </is>
      </c>
    </row>
    <row r="34" ht="15" customHeight="1" s="78">
      <c r="A34" s="128" t="n">
        <v>2600970</v>
      </c>
      <c r="B34" s="128" t="inlineStr">
        <is>
          <t>Flawed Tactics</t>
        </is>
      </c>
      <c r="C34" s="128" t="n">
        <v>2026</v>
      </c>
      <c r="D34" s="129" t="n">
        <v>1104</v>
      </c>
      <c r="E34" s="129" t="n">
        <v>73</v>
      </c>
      <c r="F34" s="130" t="n">
        <v>15.1232876712329</v>
      </c>
      <c r="G34" s="128" t="inlineStr">
        <is>
          <t>Very Positive</t>
        </is>
      </c>
    </row>
    <row r="35" ht="15" customHeight="1" s="78">
      <c r="A35" s="124" t="n">
        <v>4920310</v>
      </c>
      <c r="B35" s="124" t="inlineStr">
        <is>
          <t>Ludus Deceptor</t>
        </is>
      </c>
      <c r="C35" s="124" t="n">
        <v>2026</v>
      </c>
      <c r="D35" s="125" t="n">
        <v>1</v>
      </c>
      <c r="E35" s="125" t="n">
        <v>0</v>
      </c>
      <c r="F35" s="126" t="n">
        <v>0</v>
      </c>
      <c r="G35" s="124" t="inlineStr">
        <is>
          <t>No user reviews</t>
        </is>
      </c>
    </row>
    <row r="36" ht="15" customHeight="1" s="78">
      <c r="A36" s="128" t="n">
        <v>1915780</v>
      </c>
      <c r="B36" s="128" t="inlineStr">
        <is>
          <t>Tendryll</t>
        </is>
      </c>
      <c r="C36" s="128" t="n">
        <v>2024</v>
      </c>
      <c r="D36" s="129" t="n">
        <v>2616</v>
      </c>
      <c r="E36" s="129" t="n">
        <v>99</v>
      </c>
      <c r="F36" s="130" t="n">
        <v>26.4242424242424</v>
      </c>
      <c r="G36" s="128" t="inlineStr">
        <is>
          <t>Mostly Positive</t>
        </is>
      </c>
    </row>
    <row r="37" ht="15" customHeight="1" s="78">
      <c r="A37" s="124" t="n">
        <v>3308960</v>
      </c>
      <c r="B37" s="124" t="inlineStr">
        <is>
          <t>Conquest Tactics : Realm of Sin</t>
        </is>
      </c>
      <c r="C37" s="124" t="n">
        <v>2026</v>
      </c>
      <c r="D37" s="125" t="n">
        <v>3925</v>
      </c>
      <c r="E37" s="125" t="n">
        <v>222</v>
      </c>
      <c r="F37" s="126" t="n">
        <v>17.6801801801802</v>
      </c>
      <c r="G37" s="124" t="inlineStr">
        <is>
          <t>Mostly Positive</t>
        </is>
      </c>
    </row>
    <row r="38" ht="15" customHeight="1" s="78">
      <c r="A38" s="128" t="n">
        <v>4148810</v>
      </c>
      <c r="B38" s="128" t="inlineStr">
        <is>
          <t>Fate Architect</t>
        </is>
      </c>
      <c r="C38" s="128" t="n">
        <v>2026</v>
      </c>
      <c r="D38" s="129" t="n">
        <v>486</v>
      </c>
      <c r="E38" s="129" t="n">
        <v>18</v>
      </c>
      <c r="F38" s="130" t="n">
        <v>27</v>
      </c>
      <c r="G38" s="128" t="inlineStr">
        <is>
          <t>Positive</t>
        </is>
      </c>
    </row>
    <row r="39" ht="15" customHeight="1" s="78">
      <c r="A39" s="124" t="n">
        <v>1434540</v>
      </c>
      <c r="B39" s="124" t="inlineStr">
        <is>
          <t>Zoeti</t>
        </is>
      </c>
      <c r="C39" s="124" t="n">
        <v>2023</v>
      </c>
      <c r="D39" s="125" t="n">
        <v>28137</v>
      </c>
      <c r="E39" s="125" t="n">
        <v>526</v>
      </c>
      <c r="F39" s="126" t="n">
        <v>53.4923954372624</v>
      </c>
      <c r="G39" s="124" t="inlineStr">
        <is>
          <t>Mixed</t>
        </is>
      </c>
    </row>
    <row r="40" ht="15" customHeight="1" s="78">
      <c r="A40" s="128" t="n">
        <v>2877770</v>
      </c>
      <c r="B40" s="128" t="inlineStr">
        <is>
          <t>Into the Restless Ruins</t>
        </is>
      </c>
      <c r="C40" s="128" t="n">
        <v>2025</v>
      </c>
      <c r="D40" s="129" t="n">
        <v>7522</v>
      </c>
      <c r="E40" s="129" t="n">
        <v>132</v>
      </c>
      <c r="F40" s="130" t="n">
        <v>56.9848484848485</v>
      </c>
      <c r="G40" s="128" t="inlineStr">
        <is>
          <t>Very Positive</t>
        </is>
      </c>
    </row>
    <row r="41" ht="15" customHeight="1" s="78">
      <c r="A41" s="124" t="n">
        <v>3062650</v>
      </c>
      <c r="B41" s="124" t="inlineStr">
        <is>
          <t>Resultare</t>
        </is>
      </c>
      <c r="C41" s="124" t="n">
        <v>2026</v>
      </c>
      <c r="D41" s="125" t="n">
        <v>1163</v>
      </c>
      <c r="E41" s="125" t="n">
        <v>62</v>
      </c>
      <c r="F41" s="126" t="n">
        <v>18.758064516129</v>
      </c>
      <c r="G41" s="124" t="inlineStr">
        <is>
          <t>Very Positive</t>
        </is>
      </c>
    </row>
    <row r="42" ht="15" customHeight="1" s="78">
      <c r="A42" s="128" t="n">
        <v>996370</v>
      </c>
      <c r="B42" s="128" t="inlineStr">
        <is>
          <t>Watch Me Stream My Mental Breakdown</t>
        </is>
      </c>
      <c r="C42" s="128" t="n">
        <v>2021</v>
      </c>
      <c r="D42" s="129" t="n">
        <v>1332</v>
      </c>
      <c r="E42" s="129" t="n">
        <v>48</v>
      </c>
      <c r="F42" s="130" t="n">
        <v>27.75</v>
      </c>
      <c r="G42" s="128" t="inlineStr">
        <is>
          <t>Positive</t>
        </is>
      </c>
    </row>
    <row r="43" ht="15" customHeight="1" s="78">
      <c r="A43" s="124" t="n">
        <v>2084000</v>
      </c>
      <c r="B43" s="124" t="inlineStr">
        <is>
          <t>Shogun Showdown</t>
        </is>
      </c>
      <c r="C43" s="124" t="n">
        <v>2024</v>
      </c>
      <c r="D43" s="125" t="n">
        <v>367362</v>
      </c>
      <c r="E43" s="125" t="n">
        <v>7151</v>
      </c>
      <c r="F43" s="126" t="n">
        <v>51.3721157880017</v>
      </c>
      <c r="G43" s="124" t="inlineStr">
        <is>
          <t>Overwhelmingly Positive</t>
        </is>
      </c>
    </row>
    <row r="44" ht="15" customHeight="1" s="78">
      <c r="A44" s="128" t="n">
        <v>3217480</v>
      </c>
      <c r="B44" s="128" t="inlineStr">
        <is>
          <t>Waystones</t>
        </is>
      </c>
      <c r="C44" s="128" t="n">
        <v>2025</v>
      </c>
      <c r="D44" s="129" t="n">
        <v>68</v>
      </c>
      <c r="E44" s="129" t="n">
        <v>5</v>
      </c>
      <c r="F44" s="130" t="n">
        <v>13.6</v>
      </c>
      <c r="G44" s="128" t="inlineStr">
        <is>
          <t>5 user reviews</t>
        </is>
      </c>
    </row>
    <row r="45" ht="15" customHeight="1" s="78">
      <c r="A45" s="124" t="n">
        <v>3298780</v>
      </c>
      <c r="B45" s="124" t="inlineStr">
        <is>
          <t>Aleae</t>
        </is>
      </c>
      <c r="C45" s="124" t="n">
        <v>2026</v>
      </c>
      <c r="D45" s="125" t="n">
        <v>15</v>
      </c>
      <c r="E45" s="125" t="n">
        <v>1</v>
      </c>
      <c r="F45" s="126" t="n">
        <v>15</v>
      </c>
      <c r="G45" s="124" t="inlineStr">
        <is>
          <t>1 user reviews</t>
        </is>
      </c>
    </row>
    <row r="46" ht="15" customHeight="1" s="78">
      <c r="A46" s="128" t="n">
        <v>4021230</v>
      </c>
      <c r="B46" s="128" t="inlineStr">
        <is>
          <t>Pawffice</t>
        </is>
      </c>
      <c r="C46" s="128" t="n">
        <v>2026</v>
      </c>
      <c r="D46" s="129" t="n">
        <v>1024</v>
      </c>
      <c r="E46" s="129" t="n">
        <v>60</v>
      </c>
      <c r="F46" s="130" t="n">
        <v>17.0666666666667</v>
      </c>
      <c r="G46" s="128" t="inlineStr">
        <is>
          <t>Very Positive</t>
        </is>
      </c>
    </row>
    <row r="47" ht="15" customHeight="1" s="78">
      <c r="A47" s="124" t="n">
        <v>2423290</v>
      </c>
      <c r="B47" s="124" t="inlineStr">
        <is>
          <t>Handmancers</t>
        </is>
      </c>
      <c r="C47" s="124" t="n">
        <v>2026</v>
      </c>
      <c r="D47" s="125" t="n">
        <v>2486</v>
      </c>
      <c r="E47" s="125" t="n">
        <v>93</v>
      </c>
      <c r="F47" s="126" t="n">
        <v>26.7311827956989</v>
      </c>
      <c r="G47" s="124" t="inlineStr">
        <is>
          <t>Very Positive</t>
        </is>
      </c>
    </row>
    <row r="48" ht="15" customHeight="1" s="78">
      <c r="A48" s="128" t="n">
        <v>3001330</v>
      </c>
      <c r="B48" s="128" t="inlineStr">
        <is>
          <t>Forest Heroes</t>
        </is>
      </c>
      <c r="C48" s="128" t="n">
        <v>2025</v>
      </c>
      <c r="D48" s="129" t="n">
        <v>10332</v>
      </c>
      <c r="E48" s="129" t="n">
        <v>298</v>
      </c>
      <c r="F48" s="130" t="n">
        <v>34.6711409395973</v>
      </c>
      <c r="G48" s="128" t="inlineStr">
        <is>
          <t>Very Positive</t>
        </is>
      </c>
    </row>
    <row r="49" ht="15" customHeight="1" s="78">
      <c r="A49" s="124" t="n">
        <v>2490310</v>
      </c>
      <c r="B49" s="124" t="inlineStr">
        <is>
          <t>Runes of Aereal</t>
        </is>
      </c>
      <c r="C49" s="124" t="n">
        <v>2024</v>
      </c>
      <c r="D49" s="125" t="n">
        <v>97</v>
      </c>
      <c r="E49" s="125" t="n">
        <v>5</v>
      </c>
      <c r="F49" s="126" t="n">
        <v>19.4</v>
      </c>
      <c r="G49" s="124" t="inlineStr">
        <is>
          <t>5 user reviews</t>
        </is>
      </c>
    </row>
    <row r="50" ht="15" customHeight="1" s="78">
      <c r="A50" s="128" t="n">
        <v>4206270</v>
      </c>
      <c r="B50" s="128" t="inlineStr">
        <is>
          <t>Wireworks</t>
        </is>
      </c>
      <c r="C50" s="128" t="n">
        <v>2026</v>
      </c>
      <c r="D50" s="129" t="n">
        <v>56782</v>
      </c>
      <c r="E50" s="129" t="n">
        <v>644</v>
      </c>
      <c r="F50" s="130" t="n">
        <v>88.1708074534162</v>
      </c>
      <c r="G50" s="128" t="inlineStr">
        <is>
          <t>Very Positive</t>
        </is>
      </c>
    </row>
    <row r="51" ht="15" customHeight="1" s="78">
      <c r="A51" s="124" t="n">
        <v>2584800</v>
      </c>
      <c r="B51" s="124" t="inlineStr">
        <is>
          <t>Star Mining Co.</t>
        </is>
      </c>
      <c r="C51" s="124" t="n">
        <v>2025</v>
      </c>
      <c r="D51" s="125" t="n">
        <v>1073</v>
      </c>
      <c r="E51" s="125" t="n">
        <v>29</v>
      </c>
      <c r="F51" s="126" t="n">
        <v>37</v>
      </c>
      <c r="G51" s="124" t="inlineStr">
        <is>
          <t>Positive</t>
        </is>
      </c>
    </row>
    <row r="52" ht="15" customHeight="1" s="78">
      <c r="A52" s="128" t="n">
        <v>3941130</v>
      </c>
      <c r="B52" s="128" t="inlineStr">
        <is>
          <t>Queue Queen</t>
        </is>
      </c>
      <c r="C52" s="128" t="n">
        <v>2026</v>
      </c>
      <c r="D52" s="129" t="n">
        <v>53</v>
      </c>
      <c r="E52" s="129" t="n">
        <v>4</v>
      </c>
      <c r="F52" s="130" t="n">
        <v>13.25</v>
      </c>
      <c r="G52" s="128" t="inlineStr">
        <is>
          <t>4 user reviews</t>
        </is>
      </c>
    </row>
    <row r="53" ht="15" customHeight="1" s="78">
      <c r="A53" s="124" t="n">
        <v>1668690</v>
      </c>
      <c r="B53" s="124" t="inlineStr">
        <is>
          <t>Alina of the Arena</t>
        </is>
      </c>
      <c r="C53" s="124" t="n">
        <v>2022</v>
      </c>
      <c r="D53" s="125" t="n">
        <v>140526</v>
      </c>
      <c r="E53" s="125" t="n">
        <v>3975</v>
      </c>
      <c r="F53" s="126" t="n">
        <v>35.3524528301887</v>
      </c>
      <c r="G53" s="124" t="inlineStr">
        <is>
          <t>Very Positive</t>
        </is>
      </c>
    </row>
    <row r="54" ht="15" customHeight="1" s="78">
      <c r="A54" s="128" t="n">
        <v>3320370</v>
      </c>
      <c r="B54" s="128" t="inlineStr">
        <is>
          <t>Little Adventure Tale</t>
        </is>
      </c>
      <c r="C54" s="128" t="n">
        <v>2025</v>
      </c>
      <c r="D54" s="129" t="n">
        <v>129</v>
      </c>
      <c r="E54" s="129" t="n">
        <v>6</v>
      </c>
      <c r="F54" s="130" t="n">
        <v>21.5</v>
      </c>
      <c r="G54" s="128" t="inlineStr">
        <is>
          <t>6 user reviews</t>
        </is>
      </c>
    </row>
    <row r="55" ht="15" customHeight="1" s="78">
      <c r="A55" s="124" t="n">
        <v>2013080</v>
      </c>
      <c r="B55" s="124" t="inlineStr">
        <is>
          <t>Unders_core</t>
        </is>
      </c>
      <c r="C55" s="124" t="n">
        <v>2022</v>
      </c>
      <c r="D55" s="125" t="n">
        <v>862</v>
      </c>
      <c r="E55" s="125" t="n">
        <v>24</v>
      </c>
      <c r="F55" s="126" t="n">
        <v>35.9166666666667</v>
      </c>
      <c r="G55" s="124" t="inlineStr">
        <is>
          <t>Mixed</t>
        </is>
      </c>
    </row>
    <row r="56" ht="15" customHeight="1" s="78">
      <c r="A56" s="128" t="n">
        <v>2868840</v>
      </c>
      <c r="B56" s="128" t="inlineStr">
        <is>
          <t>Slay the Spire 2</t>
        </is>
      </c>
      <c r="C56" s="128" t="n">
        <v>2026</v>
      </c>
      <c r="D56" s="129" t="n">
        <v>7410557</v>
      </c>
      <c r="E56" s="129" t="n">
        <v>205590</v>
      </c>
      <c r="F56" s="130" t="n">
        <v>36.0453183520599</v>
      </c>
      <c r="G56" s="128" t="inlineStr">
        <is>
          <t>Mixed</t>
        </is>
      </c>
    </row>
    <row r="57" ht="15" customHeight="1" s="78">
      <c r="A57" s="124" t="n">
        <v>3040270</v>
      </c>
      <c r="B57" s="124" t="inlineStr">
        <is>
          <t>Bees vs Zombees</t>
        </is>
      </c>
      <c r="C57" s="124" t="n">
        <v>2024</v>
      </c>
      <c r="D57" s="125" t="n">
        <v>1572</v>
      </c>
      <c r="E57" s="125" t="n">
        <v>108</v>
      </c>
      <c r="F57" s="126" t="n">
        <v>14.5555555555556</v>
      </c>
      <c r="G57" s="124" t="inlineStr">
        <is>
          <t>Very Positive</t>
        </is>
      </c>
    </row>
    <row r="58" ht="15" customHeight="1" s="78">
      <c r="A58" s="128" t="n">
        <v>2451820</v>
      </c>
      <c r="B58" s="128" t="inlineStr">
        <is>
          <t>Brawl Tactics: Origins</t>
        </is>
      </c>
      <c r="C58" s="128" t="n">
        <v>2024</v>
      </c>
      <c r="D58" s="129" t="n">
        <v>1379</v>
      </c>
      <c r="E58" s="129" t="n">
        <v>40</v>
      </c>
      <c r="F58" s="130" t="n">
        <v>34.475</v>
      </c>
      <c r="G58" s="128" t="inlineStr">
        <is>
          <t>Mostly Positive</t>
        </is>
      </c>
    </row>
    <row r="59" ht="15" customHeight="1" s="78">
      <c r="A59" s="124" t="n">
        <v>2065870</v>
      </c>
      <c r="B59" s="124" t="inlineStr">
        <is>
          <t>Prescience</t>
        </is>
      </c>
      <c r="C59" s="124" t="n">
        <v>2024</v>
      </c>
      <c r="D59" s="125" t="n">
        <v>205</v>
      </c>
      <c r="E59" s="125" t="n">
        <v>14</v>
      </c>
      <c r="F59" s="126" t="n">
        <v>14.6428571428571</v>
      </c>
      <c r="G59" s="124" t="inlineStr">
        <is>
          <t>Positive</t>
        </is>
      </c>
    </row>
    <row r="60" ht="15" customHeight="1" s="78">
      <c r="A60" s="128" t="n">
        <v>4295100</v>
      </c>
      <c r="B60" s="128" t="inlineStr">
        <is>
          <t>PEGTURE: Peg Solitaire Roguelike</t>
        </is>
      </c>
      <c r="C60" s="128" t="n">
        <v>2026</v>
      </c>
      <c r="D60" s="129" t="n">
        <v>110</v>
      </c>
      <c r="E60" s="129" t="n">
        <v>10</v>
      </c>
      <c r="F60" s="130" t="n">
        <v>11</v>
      </c>
      <c r="G60" s="128" t="inlineStr">
        <is>
          <t>Positive</t>
        </is>
      </c>
    </row>
    <row r="61" ht="15" customHeight="1" s="78">
      <c r="A61" s="124" t="n">
        <v>1566090</v>
      </c>
      <c r="B61" s="124" t="inlineStr">
        <is>
          <t>Malice &amp; Greed</t>
        </is>
      </c>
      <c r="C61" s="124" t="n">
        <v>2021</v>
      </c>
      <c r="D61" s="125" t="n">
        <v>3110</v>
      </c>
      <c r="E61" s="125" t="n">
        <v>66</v>
      </c>
      <c r="F61" s="126" t="n">
        <v>47.1212121212121</v>
      </c>
      <c r="G61" s="124" t="inlineStr">
        <is>
          <t>Mostly Positive</t>
        </is>
      </c>
    </row>
    <row r="62" ht="15" customHeight="1" s="78">
      <c r="A62" s="128" t="n">
        <v>1863170</v>
      </c>
      <c r="B62" s="128" t="inlineStr">
        <is>
          <t>From Dusk To Dawn</t>
        </is>
      </c>
      <c r="C62" s="128" t="n">
        <v>2022</v>
      </c>
      <c r="D62" s="129" t="n">
        <v>168</v>
      </c>
      <c r="E62" s="129" t="n">
        <v>8</v>
      </c>
      <c r="F62" s="130" t="n">
        <v>21</v>
      </c>
      <c r="G62" s="128" t="inlineStr">
        <is>
          <t>8 user reviews</t>
        </is>
      </c>
    </row>
    <row r="63" ht="15" customHeight="1" s="78">
      <c r="A63" s="124" t="n">
        <v>3508510</v>
      </c>
      <c r="B63" s="124" t="inlineStr">
        <is>
          <t>Guardians of Dao</t>
        </is>
      </c>
      <c r="C63" s="124" t="n">
        <v>2026</v>
      </c>
      <c r="D63" s="125" t="n">
        <v>1280</v>
      </c>
      <c r="E63" s="125" t="n">
        <v>77</v>
      </c>
      <c r="F63" s="126" t="n">
        <v>16.6233766233766</v>
      </c>
      <c r="G63" s="124" t="inlineStr">
        <is>
          <t>Mostly Positive</t>
        </is>
      </c>
    </row>
    <row r="64" ht="15" customHeight="1" s="78">
      <c r="A64" s="128" t="n">
        <v>2591290</v>
      </c>
      <c r="B64" s="128" t="inlineStr">
        <is>
          <t>Tabletop Hero</t>
        </is>
      </c>
      <c r="C64" s="128" t="n">
        <v>2024</v>
      </c>
      <c r="D64" s="129" t="n">
        <v>1744</v>
      </c>
      <c r="E64" s="129" t="n">
        <v>54</v>
      </c>
      <c r="F64" s="130" t="n">
        <v>32.2962962962963</v>
      </c>
      <c r="G64" s="128" t="inlineStr">
        <is>
          <t>Very Positive</t>
        </is>
      </c>
    </row>
    <row r="65" ht="15" customHeight="1" s="78">
      <c r="A65" s="124" t="n">
        <v>2886470</v>
      </c>
      <c r="B65" s="124" t="inlineStr">
        <is>
          <t>Valefor</t>
        </is>
      </c>
      <c r="C65" s="124" t="n">
        <v>2024</v>
      </c>
      <c r="D65" s="125" t="n">
        <v>3966</v>
      </c>
      <c r="E65" s="125" t="n">
        <v>153</v>
      </c>
      <c r="F65" s="126" t="n">
        <v>25.921568627451</v>
      </c>
      <c r="G65" s="124" t="inlineStr">
        <is>
          <t>Mixed</t>
        </is>
      </c>
    </row>
    <row r="66" ht="15" customHeight="1" s="78">
      <c r="A66" s="128" t="n">
        <v>3212590</v>
      </c>
      <c r="B66" s="128" t="inlineStr">
        <is>
          <t>Greedy Darts</t>
        </is>
      </c>
      <c r="C66" s="128" t="n">
        <v>2025</v>
      </c>
      <c r="D66" s="129" t="n">
        <v>27</v>
      </c>
      <c r="E66" s="129" t="n">
        <v>3</v>
      </c>
      <c r="F66" s="130" t="n">
        <v>9</v>
      </c>
      <c r="G66" s="128" t="inlineStr">
        <is>
          <t>3 user reviews</t>
        </is>
      </c>
    </row>
    <row r="67" ht="15" customHeight="1" s="78">
      <c r="A67" s="124" t="n">
        <v>3330210</v>
      </c>
      <c r="B67" s="124" t="inlineStr">
        <is>
          <t>Kinny and the Cosmic Cauldron</t>
        </is>
      </c>
      <c r="C67" s="124" t="n">
        <v>2026</v>
      </c>
      <c r="D67" s="125" t="n">
        <v>28261</v>
      </c>
      <c r="E67" s="125" t="n">
        <v>634</v>
      </c>
      <c r="F67" s="126" t="n">
        <v>44.5757097791798</v>
      </c>
      <c r="G67" s="124" t="inlineStr">
        <is>
          <t>Very Positive</t>
        </is>
      </c>
    </row>
    <row r="68" ht="15" customHeight="1" s="78">
      <c r="A68" s="128" t="n">
        <v>3972900</v>
      </c>
      <c r="B68" s="128" t="inlineStr">
        <is>
          <t>Business 98</t>
        </is>
      </c>
      <c r="C68" s="128" t="n">
        <v>2026</v>
      </c>
      <c r="D68" s="129" t="n">
        <v>28</v>
      </c>
      <c r="E68" s="129" t="n">
        <v>2</v>
      </c>
      <c r="F68" s="130" t="n">
        <v>14</v>
      </c>
      <c r="G68" s="128" t="inlineStr">
        <is>
          <t>2 user reviews</t>
        </is>
      </c>
    </row>
    <row r="69" ht="15" customHeight="1" s="78">
      <c r="A69" s="124" t="n">
        <v>3966890</v>
      </c>
      <c r="B69" s="124" t="inlineStr">
        <is>
          <t>Dawncaster | The RPG Cardventure</t>
        </is>
      </c>
      <c r="C69" s="124" t="n">
        <v>2026</v>
      </c>
      <c r="D69" s="125" t="n">
        <v>10982</v>
      </c>
      <c r="E69" s="125" t="n">
        <v>306</v>
      </c>
      <c r="F69" s="126" t="n">
        <v>35.8888888888889</v>
      </c>
      <c r="G69" s="124" t="inlineStr">
        <is>
          <t>Very Positive</t>
        </is>
      </c>
    </row>
    <row r="70" ht="15" customHeight="1" s="78">
      <c r="A70" s="128" t="n">
        <v>3835670</v>
      </c>
      <c r="B70" s="128" t="inlineStr">
        <is>
          <t>TEKO</t>
        </is>
      </c>
      <c r="C70" s="128" t="n">
        <v>2026</v>
      </c>
      <c r="D70" s="129" t="n">
        <v>171</v>
      </c>
      <c r="E70" s="129" t="n">
        <v>12</v>
      </c>
      <c r="F70" s="130" t="n">
        <v>14.25</v>
      </c>
      <c r="G70" s="128" t="inlineStr">
        <is>
          <t>Positive</t>
        </is>
      </c>
    </row>
    <row r="71" ht="15" customHeight="1" s="78">
      <c r="A71" s="124" t="n">
        <v>1768530</v>
      </c>
      <c r="B71" s="124" t="inlineStr">
        <is>
          <t>MIYAMOTO S</t>
        </is>
      </c>
      <c r="C71" s="124" t="n">
        <v>2022</v>
      </c>
      <c r="D71" s="125" t="n">
        <v>336</v>
      </c>
      <c r="E71" s="125" t="n">
        <v>13</v>
      </c>
      <c r="F71" s="126" t="n">
        <v>25.8461538461539</v>
      </c>
      <c r="G71" s="124" t="inlineStr">
        <is>
          <t>Mostly Positive</t>
        </is>
      </c>
    </row>
    <row r="72" ht="15" customHeight="1" s="78">
      <c r="A72" s="128" t="n">
        <v>3219010</v>
      </c>
      <c r="B72" s="128" t="inlineStr">
        <is>
          <t>Fogpiercer</t>
        </is>
      </c>
      <c r="C72" s="128" t="n">
        <v>2026</v>
      </c>
      <c r="D72" s="129" t="n">
        <v>40168</v>
      </c>
      <c r="E72" s="129" t="n">
        <v>669</v>
      </c>
      <c r="F72" s="130" t="n">
        <v>60.0418535127055</v>
      </c>
      <c r="G72" s="128" t="inlineStr">
        <is>
          <t>Very Positive</t>
        </is>
      </c>
    </row>
    <row r="73" ht="15" customHeight="1" s="78">
      <c r="A73" s="124" t="n">
        <v>3183220</v>
      </c>
      <c r="B73" s="124" t="inlineStr">
        <is>
          <t>Aurora Defense</t>
        </is>
      </c>
      <c r="C73" s="124" t="n">
        <v>2025</v>
      </c>
      <c r="D73" s="125" t="n">
        <v>4647</v>
      </c>
      <c r="E73" s="125" t="n">
        <v>102</v>
      </c>
      <c r="F73" s="126" t="n">
        <v>45.5588235294118</v>
      </c>
      <c r="G73" s="124" t="inlineStr">
        <is>
          <t>Mixed</t>
        </is>
      </c>
    </row>
    <row r="74" ht="15" customHeight="1" s="78">
      <c r="A74" s="128" t="n">
        <v>1708950</v>
      </c>
      <c r="B74" s="128" t="inlineStr">
        <is>
          <t>Battle Train</t>
        </is>
      </c>
      <c r="C74" s="128" t="n">
        <v>2025</v>
      </c>
      <c r="D74" s="129" t="n">
        <v>3736</v>
      </c>
      <c r="E74" s="129" t="n">
        <v>125</v>
      </c>
      <c r="F74" s="130" t="n">
        <v>29.888</v>
      </c>
      <c r="G74" s="128" t="inlineStr">
        <is>
          <t>Very Positive</t>
        </is>
      </c>
    </row>
    <row r="75" ht="15" customHeight="1" s="78">
      <c r="A75" s="124" t="n">
        <v>3205630</v>
      </c>
      <c r="B75" s="124" t="inlineStr">
        <is>
          <t>Arcane Ascent</t>
        </is>
      </c>
      <c r="C75" s="124" t="n">
        <v>2026</v>
      </c>
      <c r="D75" s="125" t="n">
        <v>583</v>
      </c>
      <c r="E75" s="125" t="n">
        <v>31</v>
      </c>
      <c r="F75" s="126" t="n">
        <v>18.8064516129032</v>
      </c>
      <c r="G75" s="124" t="inlineStr">
        <is>
          <t>Positive</t>
        </is>
      </c>
    </row>
    <row r="76" ht="15" customHeight="1" s="78">
      <c r="A76" s="128" t="n">
        <v>1135810</v>
      </c>
      <c r="B76" s="128" t="inlineStr">
        <is>
          <t>Vault of the Void</t>
        </is>
      </c>
      <c r="C76" s="128" t="n">
        <v>2022</v>
      </c>
      <c r="D76" s="129" t="n">
        <v>97111</v>
      </c>
      <c r="E76" s="129" t="n">
        <v>3019</v>
      </c>
      <c r="F76" s="130" t="n">
        <v>32.1666114607486</v>
      </c>
      <c r="G76" s="128" t="inlineStr">
        <is>
          <t>Very Positive</t>
        </is>
      </c>
    </row>
    <row r="77" ht="15" customHeight="1" s="78">
      <c r="A77" s="124" t="n">
        <v>4775200</v>
      </c>
      <c r="B77" s="124" t="inlineStr">
        <is>
          <t>Quattro Synchro</t>
        </is>
      </c>
      <c r="C77" s="124" t="n">
        <v>2026</v>
      </c>
      <c r="D77" s="125" t="n">
        <v>1</v>
      </c>
      <c r="E77" s="125" t="n">
        <v>0</v>
      </c>
      <c r="F77" s="126" t="n">
        <v>0</v>
      </c>
      <c r="G77" s="124" t="inlineStr">
        <is>
          <t>No user reviews</t>
        </is>
      </c>
    </row>
    <row r="78" ht="15" customHeight="1" s="78">
      <c r="A78" s="128" t="n">
        <v>2686020</v>
      </c>
      <c r="B78" s="128" t="inlineStr">
        <is>
          <t>Faith in Despair</t>
        </is>
      </c>
      <c r="C78" s="128" t="n">
        <v>2025</v>
      </c>
      <c r="D78" s="129" t="n">
        <v>1829</v>
      </c>
      <c r="E78" s="129" t="n">
        <v>78</v>
      </c>
      <c r="F78" s="130" t="n">
        <v>23.448717948718</v>
      </c>
      <c r="G78" s="128" t="inlineStr">
        <is>
          <t>Very Positive</t>
        </is>
      </c>
    </row>
    <row r="79" ht="15" customHeight="1" s="78">
      <c r="A79" s="124" t="n">
        <v>4224320</v>
      </c>
      <c r="B79" s="124" t="inlineStr">
        <is>
          <t>Padoria</t>
        </is>
      </c>
      <c r="C79" s="124" t="n">
        <v>2026</v>
      </c>
      <c r="D79" s="125" t="n">
        <v>82</v>
      </c>
      <c r="E79" s="125" t="n">
        <v>7</v>
      </c>
      <c r="F79" s="126" t="n">
        <v>11.7142857142857</v>
      </c>
      <c r="G79" s="124" t="inlineStr">
        <is>
          <t>7 user reviews</t>
        </is>
      </c>
    </row>
    <row r="80" ht="15" customHeight="1" s="78">
      <c r="A80" s="128" t="n">
        <v>3668640</v>
      </c>
      <c r="B80" s="128" t="inlineStr">
        <is>
          <t>Deck of Harvest</t>
        </is>
      </c>
      <c r="C80" s="128" t="n">
        <v>2026</v>
      </c>
      <c r="D80" s="129" t="n">
        <v>4130</v>
      </c>
      <c r="E80" s="129" t="n">
        <v>97</v>
      </c>
      <c r="F80" s="130" t="n">
        <v>42.5773195876289</v>
      </c>
      <c r="G80" s="128" t="inlineStr">
        <is>
          <t>Mostly Positive</t>
        </is>
      </c>
    </row>
    <row r="81" ht="15" customHeight="1" s="78">
      <c r="A81" s="124" t="n">
        <v>2797340</v>
      </c>
      <c r="B81" s="124" t="inlineStr">
        <is>
          <t>Cat God Ranch</t>
        </is>
      </c>
      <c r="C81" s="124" t="n">
        <v>2024</v>
      </c>
      <c r="D81" s="125" t="n">
        <v>226696</v>
      </c>
      <c r="E81" s="125" t="n">
        <v>2204</v>
      </c>
      <c r="F81" s="126" t="n">
        <v>102.856624319419</v>
      </c>
      <c r="G81" s="124" t="inlineStr">
        <is>
          <t>Very Positive</t>
        </is>
      </c>
    </row>
    <row r="82" ht="15" customHeight="1" s="78">
      <c r="A82" s="128" t="n">
        <v>3650350</v>
      </c>
      <c r="B82" s="128" t="inlineStr">
        <is>
          <t>Darkest Cube</t>
        </is>
      </c>
      <c r="C82" s="128" t="n">
        <v>2026</v>
      </c>
      <c r="D82" s="129" t="n">
        <v>23</v>
      </c>
      <c r="E82" s="129" t="n">
        <v>2</v>
      </c>
      <c r="F82" s="130" t="n">
        <v>11.5</v>
      </c>
      <c r="G82" s="128" t="inlineStr">
        <is>
          <t>2 user reviews</t>
        </is>
      </c>
    </row>
    <row r="83" ht="15" customHeight="1" s="78">
      <c r="A83" s="124" t="n">
        <v>2190400</v>
      </c>
      <c r="B83" s="124" t="inlineStr">
        <is>
          <t>Toads of the Bayou</t>
        </is>
      </c>
      <c r="C83" s="124" t="n">
        <v>2024</v>
      </c>
      <c r="D83" s="125" t="n">
        <v>6458</v>
      </c>
      <c r="E83" s="125" t="n">
        <v>166</v>
      </c>
      <c r="F83" s="126" t="n">
        <v>38.9036144578313</v>
      </c>
      <c r="G83" s="124" t="inlineStr">
        <is>
          <t>Mostly Positive</t>
        </is>
      </c>
    </row>
    <row r="84" ht="15" customHeight="1" s="78">
      <c r="A84" s="128" t="n">
        <v>3226660</v>
      </c>
      <c r="B84" s="128" t="inlineStr">
        <is>
          <t>Heroes of Magic and Steel</t>
        </is>
      </c>
      <c r="C84" s="128" t="n">
        <v>2026</v>
      </c>
      <c r="D84" s="129" t="n">
        <v>417</v>
      </c>
      <c r="E84" s="129" t="n">
        <v>51</v>
      </c>
      <c r="F84" s="130" t="n">
        <v>8.17647058823529</v>
      </c>
      <c r="G84" s="128" t="inlineStr">
        <is>
          <t>Very Positive</t>
        </is>
      </c>
    </row>
    <row r="85" ht="15" customHeight="1" s="78">
      <c r="A85" s="124" t="n">
        <v>2452820</v>
      </c>
      <c r="B85" s="124" t="inlineStr">
        <is>
          <t>Skogdal</t>
        </is>
      </c>
      <c r="C85" s="124" t="n">
        <v>2025</v>
      </c>
      <c r="D85" s="125" t="n">
        <v>2745</v>
      </c>
      <c r="E85" s="125" t="n">
        <v>137</v>
      </c>
      <c r="F85" s="126" t="n">
        <v>20.036496350365</v>
      </c>
      <c r="G85" s="124" t="inlineStr">
        <is>
          <t>Very Positive</t>
        </is>
      </c>
    </row>
    <row r="86" ht="15" customHeight="1" s="78">
      <c r="A86" s="128" t="n">
        <v>3966510</v>
      </c>
      <c r="B86" s="128" t="inlineStr">
        <is>
          <t>Feed the Scorchpot</t>
        </is>
      </c>
      <c r="C86" s="128" t="n">
        <v>2026</v>
      </c>
      <c r="D86" s="129" t="n">
        <v>23229</v>
      </c>
      <c r="E86" s="129" t="n">
        <v>483</v>
      </c>
      <c r="F86" s="130" t="n">
        <v>48.0931677018634</v>
      </c>
      <c r="G86" s="128" t="inlineStr">
        <is>
          <t>Very Positive</t>
        </is>
      </c>
    </row>
    <row r="87" ht="15" customHeight="1" s="78">
      <c r="A87" s="124" t="n">
        <v>3656560</v>
      </c>
      <c r="B87" s="124" t="inlineStr">
        <is>
          <t>Runeveil</t>
        </is>
      </c>
      <c r="C87" s="124" t="n">
        <v>2026</v>
      </c>
      <c r="D87" s="125" t="n">
        <v>1726</v>
      </c>
      <c r="E87" s="125" t="n">
        <v>58</v>
      </c>
      <c r="F87" s="126" t="n">
        <v>29.7586206896552</v>
      </c>
      <c r="G87" s="124" t="inlineStr">
        <is>
          <t>Very Positive</t>
        </is>
      </c>
    </row>
    <row r="88" ht="15" customHeight="1" s="78">
      <c r="A88" s="128" t="n">
        <v>3609280</v>
      </c>
      <c r="B88" s="128" t="inlineStr">
        <is>
          <t>Dicewayfarer</t>
        </is>
      </c>
      <c r="C88" s="128" t="n">
        <v>2026</v>
      </c>
      <c r="D88" s="129" t="n">
        <v>1</v>
      </c>
      <c r="E88" s="129" t="n">
        <v>2</v>
      </c>
      <c r="F88" s="130" t="n">
        <v>0.5</v>
      </c>
      <c r="G88" s="128" t="inlineStr">
        <is>
          <t>2 user reviews</t>
        </is>
      </c>
    </row>
    <row r="89" ht="15" customHeight="1" s="78">
      <c r="A89" s="124" t="n">
        <v>4537600</v>
      </c>
      <c r="B89" s="124" t="inlineStr">
        <is>
          <t>Dice Gun Commando</t>
        </is>
      </c>
      <c r="C89" s="124" t="n">
        <v>2026</v>
      </c>
      <c r="D89" s="125" t="n">
        <v>336</v>
      </c>
      <c r="E89" s="125" t="n">
        <v>20</v>
      </c>
      <c r="F89" s="126" t="n">
        <v>16.8</v>
      </c>
      <c r="G89" s="124" t="inlineStr">
        <is>
          <t>Positive</t>
        </is>
      </c>
    </row>
    <row r="90" ht="15" customHeight="1" s="78">
      <c r="A90" s="128" t="n">
        <v>1492150</v>
      </c>
      <c r="B90" s="128" t="inlineStr">
        <is>
          <t>Primal Survivors</t>
        </is>
      </c>
      <c r="C90" s="128" t="n">
        <v>2023</v>
      </c>
      <c r="D90" s="129" t="n">
        <v>2058</v>
      </c>
      <c r="E90" s="129" t="n">
        <v>49</v>
      </c>
      <c r="F90" s="130" t="n">
        <v>42</v>
      </c>
      <c r="G90" s="128" t="inlineStr">
        <is>
          <t>Mostly Positive</t>
        </is>
      </c>
    </row>
    <row r="91" ht="15" customHeight="1" s="78">
      <c r="A91" s="124" t="n">
        <v>3112170</v>
      </c>
      <c r="B91" s="124" t="inlineStr">
        <is>
          <t>Dice Legends</t>
        </is>
      </c>
      <c r="C91" s="124" t="n">
        <v>2025</v>
      </c>
      <c r="D91" s="125" t="n">
        <v>7544</v>
      </c>
      <c r="E91" s="125" t="n">
        <v>290</v>
      </c>
      <c r="F91" s="126" t="n">
        <v>26.0137931034483</v>
      </c>
      <c r="G91" s="124" t="inlineStr">
        <is>
          <t>Mostly Positive</t>
        </is>
      </c>
    </row>
    <row r="92" ht="15" customHeight="1" s="78">
      <c r="A92" s="128" t="n">
        <v>3963750</v>
      </c>
      <c r="B92" s="128" t="inlineStr">
        <is>
          <t>Invoker Tactics</t>
        </is>
      </c>
      <c r="C92" s="128" t="n">
        <v>2025</v>
      </c>
      <c r="D92" s="129" t="n">
        <v>120</v>
      </c>
      <c r="E92" s="129" t="n">
        <v>12</v>
      </c>
      <c r="F92" s="130" t="n">
        <v>10</v>
      </c>
      <c r="G92" s="128" t="inlineStr">
        <is>
          <t>Positive</t>
        </is>
      </c>
    </row>
    <row r="93" ht="15" customHeight="1" s="78">
      <c r="A93" s="124" t="n">
        <v>2945350</v>
      </c>
      <c r="B93" s="124" t="inlineStr">
        <is>
          <t>Wukong's Pool</t>
        </is>
      </c>
      <c r="C93" s="124" t="n">
        <v>2024</v>
      </c>
      <c r="D93" s="125" t="n">
        <v>340</v>
      </c>
      <c r="E93" s="125" t="n">
        <v>25</v>
      </c>
      <c r="F93" s="126" t="n">
        <v>13.6</v>
      </c>
      <c r="G93" s="124" t="inlineStr">
        <is>
          <t>Positive</t>
        </is>
      </c>
    </row>
    <row r="94" ht="15" customHeight="1" s="78">
      <c r="A94" s="128" t="n">
        <v>1660290</v>
      </c>
      <c r="B94" s="128" t="inlineStr">
        <is>
          <t>Monmusu Gladiator</t>
        </is>
      </c>
      <c r="C94" s="128" t="n">
        <v>2021</v>
      </c>
      <c r="D94" s="129" t="n">
        <v>11627</v>
      </c>
      <c r="E94" s="129" t="n">
        <v>205</v>
      </c>
      <c r="F94" s="130" t="n">
        <v>56.7170731707317</v>
      </c>
      <c r="G94" s="128" t="inlineStr">
        <is>
          <t>Very Positive</t>
        </is>
      </c>
    </row>
    <row r="95" ht="15" customHeight="1" s="78">
      <c r="A95" s="124" t="n">
        <v>2748770</v>
      </c>
      <c r="B95" s="124" t="inlineStr">
        <is>
          <t>Dala and the Cursed Forest</t>
        </is>
      </c>
      <c r="C95" s="124" t="n">
        <v>2026</v>
      </c>
      <c r="D95" s="125" t="n">
        <v>207</v>
      </c>
      <c r="E95" s="125" t="n">
        <v>7</v>
      </c>
      <c r="F95" s="126" t="n">
        <v>29.5714285714286</v>
      </c>
      <c r="G95" s="124" t="inlineStr">
        <is>
          <t>7 user reviews</t>
        </is>
      </c>
    </row>
    <row r="96" ht="15" customHeight="1" s="78">
      <c r="A96" s="128" t="n">
        <v>3166810</v>
      </c>
      <c r="B96" s="128" t="inlineStr">
        <is>
          <t>Insider Trading</t>
        </is>
      </c>
      <c r="C96" s="128" t="n">
        <v>2026</v>
      </c>
      <c r="D96" s="129" t="n">
        <v>73190</v>
      </c>
      <c r="E96" s="129" t="n">
        <v>649</v>
      </c>
      <c r="F96" s="130" t="n">
        <v>112.773497688752</v>
      </c>
      <c r="G96" s="128" t="inlineStr">
        <is>
          <t>Very Positive</t>
        </is>
      </c>
    </row>
    <row r="97" ht="15" customHeight="1" s="78">
      <c r="A97" s="124" t="n">
        <v>3319720</v>
      </c>
      <c r="B97" s="124" t="inlineStr">
        <is>
          <t>Kernel</t>
        </is>
      </c>
      <c r="C97" s="124" t="n">
        <v>2025</v>
      </c>
      <c r="D97" s="125" t="n">
        <v>310</v>
      </c>
      <c r="E97" s="125" t="n">
        <v>27</v>
      </c>
      <c r="F97" s="126" t="n">
        <v>11.4814814814815</v>
      </c>
      <c r="G97" s="124" t="inlineStr">
        <is>
          <t>Positive</t>
        </is>
      </c>
    </row>
    <row r="98" ht="15" customHeight="1" s="78">
      <c r="A98" s="128" t="n">
        <v>3298430</v>
      </c>
      <c r="B98" s="128" t="inlineStr">
        <is>
          <t>Flaregate Network</t>
        </is>
      </c>
      <c r="C98" s="128" t="n">
        <v>2026</v>
      </c>
      <c r="D98" s="129" t="n">
        <v>1406</v>
      </c>
      <c r="E98" s="129" t="n">
        <v>64</v>
      </c>
      <c r="F98" s="130" t="n">
        <v>21.96875</v>
      </c>
      <c r="G98" s="128" t="inlineStr">
        <is>
          <t>Mostly Positive</t>
        </is>
      </c>
    </row>
    <row r="99" ht="15" customHeight="1" s="78">
      <c r="A99" s="124" t="n">
        <v>3546440</v>
      </c>
      <c r="B99" s="124" t="inlineStr">
        <is>
          <t>Rentlord</t>
        </is>
      </c>
      <c r="C99" s="124" t="n">
        <v>2025</v>
      </c>
      <c r="D99" s="125" t="n">
        <v>22865</v>
      </c>
      <c r="E99" s="125" t="n">
        <v>411</v>
      </c>
      <c r="F99" s="126" t="n">
        <v>55.632603406326</v>
      </c>
      <c r="G99" s="124" t="inlineStr">
        <is>
          <t>Mostly Positive</t>
        </is>
      </c>
    </row>
    <row r="100" ht="15" customHeight="1" s="78">
      <c r="A100" s="128" t="n">
        <v>2906730</v>
      </c>
      <c r="B100" s="128" t="inlineStr">
        <is>
          <t>Watchword</t>
        </is>
      </c>
      <c r="C100" s="128" t="n">
        <v>2025</v>
      </c>
      <c r="D100" s="129" t="n">
        <v>1057</v>
      </c>
      <c r="E100" s="129" t="n">
        <v>35</v>
      </c>
      <c r="F100" s="130" t="n">
        <v>30.2</v>
      </c>
      <c r="G100" s="128" t="inlineStr">
        <is>
          <t>Positive</t>
        </is>
      </c>
    </row>
    <row r="101" ht="15" customHeight="1" s="78">
      <c r="A101" s="124" t="n">
        <v>1635710</v>
      </c>
      <c r="B101" s="124" t="inlineStr">
        <is>
          <t>Bossfight Tactics</t>
        </is>
      </c>
      <c r="C101" s="124" t="n">
        <v>2025</v>
      </c>
      <c r="D101" s="125" t="n">
        <v>385</v>
      </c>
      <c r="E101" s="125" t="n">
        <v>36</v>
      </c>
      <c r="F101" s="126" t="n">
        <v>10.6944444444444</v>
      </c>
      <c r="G101" s="124" t="inlineStr">
        <is>
          <t>Positive</t>
        </is>
      </c>
    </row>
    <row r="102" ht="15" customHeight="1" s="78">
      <c r="A102" s="128" t="n">
        <v>5259200</v>
      </c>
      <c r="B102" s="128" t="inlineStr">
        <is>
          <t>Domebreak</t>
        </is>
      </c>
      <c r="C102" s="128" t="n">
        <v>2026</v>
      </c>
      <c r="D102" s="129" t="n">
        <v>1</v>
      </c>
      <c r="E102" s="129" t="n">
        <v>0</v>
      </c>
      <c r="F102" s="130" t="n">
        <v>0</v>
      </c>
      <c r="G102" s="128" t="inlineStr">
        <is>
          <t>No user reviews</t>
        </is>
      </c>
    </row>
    <row r="103" ht="15" customHeight="1" s="78">
      <c r="A103" s="124" t="n">
        <v>3576520</v>
      </c>
      <c r="B103" s="124" t="inlineStr">
        <is>
          <t>Spinera</t>
        </is>
      </c>
      <c r="C103" s="124" t="n">
        <v>2026</v>
      </c>
      <c r="D103" s="125" t="n">
        <v>2901</v>
      </c>
      <c r="E103" s="125" t="n">
        <v>135</v>
      </c>
      <c r="F103" s="126" t="n">
        <v>21.4888888888889</v>
      </c>
      <c r="G103" s="124" t="inlineStr">
        <is>
          <t>Mostly Positive</t>
        </is>
      </c>
    </row>
    <row r="104" ht="15" customHeight="1" s="78">
      <c r="A104" s="128" t="n">
        <v>3160090</v>
      </c>
      <c r="B104" s="128" t="inlineStr">
        <is>
          <t>Slot &amp; Dungeons</t>
        </is>
      </c>
      <c r="C104" s="128" t="n">
        <v>2026</v>
      </c>
      <c r="D104" s="129" t="n">
        <v>18401</v>
      </c>
      <c r="E104" s="129" t="n">
        <v>332</v>
      </c>
      <c r="F104" s="130" t="n">
        <v>55.4246987951807</v>
      </c>
      <c r="G104" s="128" t="inlineStr">
        <is>
          <t>Very Positive</t>
        </is>
      </c>
    </row>
    <row r="105" ht="15" customHeight="1" s="78">
      <c r="A105" s="124" t="n">
        <v>3656680</v>
      </c>
      <c r="B105" s="124" t="inlineStr">
        <is>
          <t>Gold and Graves</t>
        </is>
      </c>
      <c r="C105" s="124" t="n">
        <v>2025</v>
      </c>
      <c r="D105" s="125" t="n">
        <v>4028</v>
      </c>
      <c r="E105" s="125" t="n">
        <v>181</v>
      </c>
      <c r="F105" s="126" t="n">
        <v>22.2541436464088</v>
      </c>
      <c r="G105" s="124" t="inlineStr">
        <is>
          <t>Very Positive</t>
        </is>
      </c>
    </row>
    <row r="106" ht="15" customHeight="1" s="78">
      <c r="A106" s="128" t="n">
        <v>4718270</v>
      </c>
      <c r="B106" s="128" t="inlineStr">
        <is>
          <t>Blosharper: Battle of Blossoms</t>
        </is>
      </c>
      <c r="C106" s="128" t="n">
        <v>2026</v>
      </c>
      <c r="D106" s="129" t="n">
        <v>161</v>
      </c>
      <c r="E106" s="129" t="n">
        <v>9</v>
      </c>
      <c r="F106" s="130" t="n">
        <v>17.8888888888889</v>
      </c>
      <c r="G106" s="128" t="inlineStr">
        <is>
          <t>9 user reviews</t>
        </is>
      </c>
    </row>
    <row r="107" ht="15" customHeight="1" s="78">
      <c r="A107" s="124" t="n">
        <v>3726730</v>
      </c>
      <c r="B107" s="124" t="inlineStr">
        <is>
          <t>Dreamcards</t>
        </is>
      </c>
      <c r="C107" s="124" t="n">
        <v>2026</v>
      </c>
      <c r="D107" s="125" t="n">
        <v>1647</v>
      </c>
      <c r="E107" s="125" t="n">
        <v>114</v>
      </c>
      <c r="F107" s="126" t="n">
        <v>14.4473684210526</v>
      </c>
      <c r="G107" s="124" t="inlineStr">
        <is>
          <t>Very Positive</t>
        </is>
      </c>
    </row>
    <row r="108" ht="15" customHeight="1" s="78">
      <c r="A108" s="128" t="n">
        <v>1913420</v>
      </c>
      <c r="B108" s="128" t="inlineStr">
        <is>
          <t>Fantasy of Caocao 2</t>
        </is>
      </c>
      <c r="C108" s="128" t="n">
        <v>2023</v>
      </c>
      <c r="D108" s="129" t="n">
        <v>15420</v>
      </c>
      <c r="E108" s="129" t="n">
        <v>394</v>
      </c>
      <c r="F108" s="130" t="n">
        <v>39.1370558375635</v>
      </c>
      <c r="G108" s="128" t="inlineStr">
        <is>
          <t>Very Positive</t>
        </is>
      </c>
    </row>
    <row r="109" ht="15" customHeight="1" s="78">
      <c r="A109" s="124" t="n">
        <v>2924580</v>
      </c>
      <c r="B109" s="124" t="inlineStr">
        <is>
          <t>Inkborn</t>
        </is>
      </c>
      <c r="C109" s="124" t="n">
        <v>2025</v>
      </c>
      <c r="D109" s="125" t="n">
        <v>2112</v>
      </c>
      <c r="E109" s="125" t="n">
        <v>86</v>
      </c>
      <c r="F109" s="126" t="n">
        <v>24.5581395348837</v>
      </c>
      <c r="G109" s="124" t="inlineStr">
        <is>
          <t>Very Positive</t>
        </is>
      </c>
    </row>
    <row r="110" ht="15" customHeight="1" s="78">
      <c r="A110" s="128" t="n">
        <v>3962850</v>
      </c>
      <c r="B110" s="128" t="inlineStr">
        <is>
          <t>Fairy Circle</t>
        </is>
      </c>
      <c r="C110" s="128" t="n">
        <v>2026</v>
      </c>
      <c r="D110" s="129" t="n">
        <v>30</v>
      </c>
      <c r="E110" s="129" t="n">
        <v>3</v>
      </c>
      <c r="F110" s="130" t="n">
        <v>10</v>
      </c>
      <c r="G110" s="128" t="inlineStr">
        <is>
          <t>3 user reviews</t>
        </is>
      </c>
    </row>
    <row r="111" ht="15" customHeight="1" s="78">
      <c r="A111" s="124" t="n">
        <v>2946260</v>
      </c>
      <c r="B111" s="124" t="inlineStr">
        <is>
          <t>Poker Dungeon : Joker's Madness</t>
        </is>
      </c>
      <c r="C111" s="124" t="n">
        <v>2024</v>
      </c>
      <c r="D111" s="125" t="n">
        <v>1082</v>
      </c>
      <c r="E111" s="125" t="n">
        <v>28</v>
      </c>
      <c r="F111" s="126" t="n">
        <v>38.6428571428572</v>
      </c>
      <c r="G111" s="124" t="inlineStr">
        <is>
          <t>Positive</t>
        </is>
      </c>
    </row>
    <row r="112" ht="15" customHeight="1" s="78">
      <c r="A112" s="128" t="n">
        <v>2837790</v>
      </c>
      <c r="B112" s="128" t="inlineStr">
        <is>
          <t>Spinny Dungeon</t>
        </is>
      </c>
      <c r="C112" s="128" t="n">
        <v>2026</v>
      </c>
      <c r="D112" s="129" t="n">
        <v>5653</v>
      </c>
      <c r="E112" s="129" t="n">
        <v>93</v>
      </c>
      <c r="F112" s="130" t="n">
        <v>60.7849462365591</v>
      </c>
      <c r="G112" s="128" t="inlineStr">
        <is>
          <t>Very Positive</t>
        </is>
      </c>
    </row>
    <row r="113" ht="15" customHeight="1" s="78">
      <c r="A113" s="124" t="n">
        <v>3879840</v>
      </c>
      <c r="B113" s="124" t="inlineStr">
        <is>
          <t>Dice × Deck</t>
        </is>
      </c>
      <c r="C113" s="124" t="n">
        <v>2026</v>
      </c>
      <c r="D113" s="125" t="n">
        <v>1</v>
      </c>
      <c r="E113" s="125" t="n">
        <v>0</v>
      </c>
      <c r="F113" s="126" t="n">
        <v>0</v>
      </c>
      <c r="G113" s="124" t="inlineStr">
        <is>
          <t>No user reviews</t>
        </is>
      </c>
    </row>
    <row r="114" ht="15" customHeight="1" s="78">
      <c r="A114" s="128" t="n">
        <v>3885520</v>
      </c>
      <c r="B114" s="128" t="inlineStr">
        <is>
          <t>Dice of Kalma</t>
        </is>
      </c>
      <c r="C114" s="128" t="n">
        <v>2025</v>
      </c>
      <c r="D114" s="129" t="n">
        <v>4577</v>
      </c>
      <c r="E114" s="129" t="n">
        <v>134</v>
      </c>
      <c r="F114" s="130" t="n">
        <v>34.1567164179105</v>
      </c>
      <c r="G114" s="128" t="inlineStr">
        <is>
          <t>Very Positive</t>
        </is>
      </c>
    </row>
    <row r="115" ht="15" customHeight="1" s="78">
      <c r="A115" s="124" t="n">
        <v>2056210</v>
      </c>
      <c r="B115" s="124" t="inlineStr">
        <is>
          <t>LONESTAR</t>
        </is>
      </c>
      <c r="C115" s="124" t="n">
        <v>2025</v>
      </c>
      <c r="D115" s="125" t="n">
        <v>162587</v>
      </c>
      <c r="E115" s="125" t="n">
        <v>2459</v>
      </c>
      <c r="F115" s="126" t="n">
        <v>66.1191541276942</v>
      </c>
      <c r="G115" s="124" t="inlineStr">
        <is>
          <t>Very Positive</t>
        </is>
      </c>
    </row>
    <row r="116" ht="15" customHeight="1" s="78">
      <c r="A116" s="128" t="n">
        <v>4637960</v>
      </c>
      <c r="B116" s="128" t="inlineStr">
        <is>
          <t>Blessed To Die</t>
        </is>
      </c>
      <c r="C116" s="128" t="n">
        <v>2026</v>
      </c>
      <c r="D116" s="129" t="n">
        <v>85</v>
      </c>
      <c r="E116" s="129" t="n">
        <v>6</v>
      </c>
      <c r="F116" s="130" t="n">
        <v>14.1666666666667</v>
      </c>
      <c r="G116" s="128" t="inlineStr">
        <is>
          <t>6 user reviews</t>
        </is>
      </c>
    </row>
    <row r="117" ht="15" customHeight="1" s="78">
      <c r="A117" s="124" t="n">
        <v>1937110</v>
      </c>
      <c r="B117" s="124" t="inlineStr">
        <is>
          <t>Tetra Tactics</t>
        </is>
      </c>
      <c r="C117" s="124" t="n">
        <v>2024</v>
      </c>
      <c r="D117" s="125" t="n">
        <v>2258</v>
      </c>
      <c r="E117" s="125" t="n">
        <v>63</v>
      </c>
      <c r="F117" s="126" t="n">
        <v>35.8412698412698</v>
      </c>
      <c r="G117" s="124" t="inlineStr">
        <is>
          <t>Mostly Positive</t>
        </is>
      </c>
    </row>
    <row r="118" ht="15" customHeight="1" s="78">
      <c r="A118" s="128" t="n">
        <v>4571100</v>
      </c>
      <c r="B118" s="128" t="inlineStr">
        <is>
          <t>English Vocab Rush</t>
        </is>
      </c>
      <c r="C118" s="128" t="n">
        <v>2026</v>
      </c>
      <c r="D118" s="129" t="n">
        <v>49</v>
      </c>
      <c r="E118" s="129" t="n">
        <v>5</v>
      </c>
      <c r="F118" s="130" t="n">
        <v>9.800000000000001</v>
      </c>
      <c r="G118" s="128" t="inlineStr">
        <is>
          <t>5 user reviews</t>
        </is>
      </c>
    </row>
    <row r="119" ht="15" customHeight="1" s="78">
      <c r="A119" s="124" t="n">
        <v>4300180</v>
      </c>
      <c r="B119" s="124" t="inlineStr">
        <is>
          <t>Fruitbearer</t>
        </is>
      </c>
      <c r="C119" s="124" t="n">
        <v>2026</v>
      </c>
      <c r="D119" s="125" t="n">
        <v>633</v>
      </c>
      <c r="E119" s="125" t="n">
        <v>46</v>
      </c>
      <c r="F119" s="126" t="n">
        <v>13.7608695652174</v>
      </c>
      <c r="G119" s="124" t="inlineStr">
        <is>
          <t>Positive</t>
        </is>
      </c>
    </row>
    <row r="120" ht="15" customHeight="1" s="78">
      <c r="A120" s="128" t="n">
        <v>2372240</v>
      </c>
      <c r="B120" s="128" t="inlineStr">
        <is>
          <t>Re:Night</t>
        </is>
      </c>
      <c r="C120" s="128" t="n">
        <v>2026</v>
      </c>
      <c r="D120" s="129" t="n">
        <v>11711</v>
      </c>
      <c r="E120" s="129" t="n">
        <v>172</v>
      </c>
      <c r="F120" s="130" t="n">
        <v>68.0872093023256</v>
      </c>
      <c r="G120" s="128" t="inlineStr">
        <is>
          <t>Very Positive</t>
        </is>
      </c>
    </row>
    <row r="121" ht="15" customHeight="1" s="78">
      <c r="A121" s="124" t="n">
        <v>2216700</v>
      </c>
      <c r="B121" s="124" t="inlineStr">
        <is>
          <t>Decks Of Power</t>
        </is>
      </c>
      <c r="C121" s="124" t="n">
        <v>2023</v>
      </c>
      <c r="D121" s="125" t="n">
        <v>166</v>
      </c>
      <c r="E121" s="125" t="n">
        <v>8</v>
      </c>
      <c r="F121" s="126" t="n">
        <v>20.75</v>
      </c>
      <c r="G121" s="124" t="inlineStr">
        <is>
          <t>8 user reviews</t>
        </is>
      </c>
    </row>
    <row r="122" ht="15" customHeight="1" s="78">
      <c r="A122" s="128" t="n">
        <v>3856460</v>
      </c>
      <c r="B122" s="128" t="inlineStr">
        <is>
          <t>Cursed Words: The Word Game That Isn't</t>
        </is>
      </c>
      <c r="C122" s="128" t="n">
        <v>2026</v>
      </c>
      <c r="D122" s="129" t="n">
        <v>27301</v>
      </c>
      <c r="E122" s="129" t="n">
        <v>760</v>
      </c>
      <c r="F122" s="130" t="n">
        <v>35.9223684210526</v>
      </c>
      <c r="G122" s="128" t="inlineStr">
        <is>
          <t>Overwhelmingly Positive</t>
        </is>
      </c>
    </row>
    <row r="123" ht="15" customHeight="1" s="78">
      <c r="A123" s="124" t="n">
        <v>2997060</v>
      </c>
      <c r="B123" s="124" t="inlineStr">
        <is>
          <t>Hunt the Pale Gods</t>
        </is>
      </c>
      <c r="C123" s="124" t="n">
        <v>2025</v>
      </c>
      <c r="D123" s="125" t="n">
        <v>788</v>
      </c>
      <c r="E123" s="125" t="n">
        <v>45</v>
      </c>
      <c r="F123" s="126" t="n">
        <v>17.5111111111111</v>
      </c>
      <c r="G123" s="124" t="inlineStr">
        <is>
          <t>Positive</t>
        </is>
      </c>
    </row>
    <row r="124" ht="15" customHeight="1" s="78">
      <c r="A124" s="128" t="n">
        <v>4638590</v>
      </c>
      <c r="B124" s="128" t="inlineStr">
        <is>
          <t>Goaldeck</t>
        </is>
      </c>
      <c r="C124" s="128" t="n">
        <v>2026</v>
      </c>
      <c r="D124" s="129" t="n">
        <v>206</v>
      </c>
      <c r="E124" s="129" t="n">
        <v>14</v>
      </c>
      <c r="F124" s="130" t="n">
        <v>14.7142857142857</v>
      </c>
      <c r="G124" s="128" t="inlineStr">
        <is>
          <t>Positive</t>
        </is>
      </c>
    </row>
    <row r="125" ht="15" customHeight="1" s="78">
      <c r="A125" s="124" t="n">
        <v>5222500</v>
      </c>
      <c r="B125" s="124" t="inlineStr">
        <is>
          <t>Card Monarchy</t>
        </is>
      </c>
      <c r="C125" s="124" t="n">
        <v>2026</v>
      </c>
      <c r="D125" s="125" t="n">
        <v>15</v>
      </c>
      <c r="E125" s="125" t="n">
        <v>1</v>
      </c>
      <c r="F125" s="126" t="n">
        <v>15</v>
      </c>
      <c r="G125" s="124" t="inlineStr">
        <is>
          <t>1 user reviews</t>
        </is>
      </c>
    </row>
    <row r="126" ht="15" customHeight="1" s="78">
      <c r="A126" s="128" t="n">
        <v>3007390</v>
      </c>
      <c r="B126" s="128" t="inlineStr">
        <is>
          <t>Duck N Roll</t>
        </is>
      </c>
      <c r="C126" s="128" t="n">
        <v>2024</v>
      </c>
      <c r="D126" s="129" t="n">
        <v>663</v>
      </c>
      <c r="E126" s="129" t="n">
        <v>33</v>
      </c>
      <c r="F126" s="130" t="n">
        <v>20.0909090909091</v>
      </c>
      <c r="G126" s="128" t="inlineStr">
        <is>
          <t>Positive</t>
        </is>
      </c>
    </row>
    <row r="127" ht="15" customHeight="1" s="78">
      <c r="A127" s="124" t="n">
        <v>2954010</v>
      </c>
      <c r="B127" s="124" t="inlineStr">
        <is>
          <t>Burn With Me</t>
        </is>
      </c>
      <c r="C127" s="124" t="n">
        <v>2026</v>
      </c>
      <c r="D127" s="125" t="n">
        <v>7249</v>
      </c>
      <c r="E127" s="125" t="n">
        <v>289</v>
      </c>
      <c r="F127" s="126" t="n">
        <v>25.083044982699</v>
      </c>
      <c r="G127" s="124" t="inlineStr">
        <is>
          <t>Very Positive</t>
        </is>
      </c>
    </row>
    <row r="128" ht="15" customHeight="1" s="78">
      <c r="A128" s="128" t="n">
        <v>3498550</v>
      </c>
      <c r="B128" s="128" t="inlineStr">
        <is>
          <t>Questwood</t>
        </is>
      </c>
      <c r="C128" s="128" t="n">
        <v>2025</v>
      </c>
      <c r="D128" s="129" t="n">
        <v>30</v>
      </c>
      <c r="E128" s="129" t="n">
        <v>1</v>
      </c>
      <c r="F128" s="130" t="n">
        <v>30</v>
      </c>
      <c r="G128" s="128" t="inlineStr">
        <is>
          <t>1 user reviews</t>
        </is>
      </c>
    </row>
    <row r="129" ht="15" customHeight="1" s="78">
      <c r="A129" s="124" t="n">
        <v>3634010</v>
      </c>
      <c r="B129" s="124" t="inlineStr">
        <is>
          <t>Islantiles</t>
        </is>
      </c>
      <c r="C129" s="124" t="n">
        <v>2026</v>
      </c>
      <c r="D129" s="125" t="n">
        <v>2832</v>
      </c>
      <c r="E129" s="125" t="n">
        <v>70</v>
      </c>
      <c r="F129" s="126" t="n">
        <v>40.4571428571429</v>
      </c>
      <c r="G129" s="124" t="inlineStr">
        <is>
          <t>Very Positive</t>
        </is>
      </c>
    </row>
    <row r="130" ht="15" customHeight="1" s="78">
      <c r="A130" s="128" t="n">
        <v>3843360</v>
      </c>
      <c r="B130" s="128" t="inlineStr">
        <is>
          <t>Heroes of Magic &amp; Cards</t>
        </is>
      </c>
      <c r="C130" s="128" t="n">
        <v>2026</v>
      </c>
      <c r="D130" s="129" t="n">
        <v>4206</v>
      </c>
      <c r="E130" s="129" t="n">
        <v>92</v>
      </c>
      <c r="F130" s="130" t="n">
        <v>45.7173913043478</v>
      </c>
      <c r="G130" s="128" t="inlineStr">
        <is>
          <t>Very Positive</t>
        </is>
      </c>
    </row>
    <row r="131" ht="15" customHeight="1" s="78">
      <c r="A131" s="124" t="n">
        <v>3453330</v>
      </c>
      <c r="B131" s="124" t="inlineStr">
        <is>
          <t>Cult Leader Simulator</t>
        </is>
      </c>
      <c r="C131" s="124" t="n">
        <v>2025</v>
      </c>
      <c r="D131" s="125" t="n">
        <v>646</v>
      </c>
      <c r="E131" s="125" t="n">
        <v>23</v>
      </c>
      <c r="F131" s="126" t="n">
        <v>28.0869565217391</v>
      </c>
      <c r="G131" s="124" t="inlineStr">
        <is>
          <t>Mixed</t>
        </is>
      </c>
    </row>
    <row r="132" ht="15" customHeight="1" s="78">
      <c r="A132" s="128" t="n">
        <v>2666230</v>
      </c>
      <c r="B132" s="128" t="inlineStr">
        <is>
          <t>Dog And Goblin</t>
        </is>
      </c>
      <c r="C132" s="128" t="n">
        <v>2024</v>
      </c>
      <c r="D132" s="129" t="n">
        <v>8942</v>
      </c>
      <c r="E132" s="129" t="n">
        <v>172</v>
      </c>
      <c r="F132" s="130" t="n">
        <v>51.9883720930233</v>
      </c>
      <c r="G132" s="128" t="inlineStr">
        <is>
          <t>Mostly Positive</t>
        </is>
      </c>
    </row>
    <row r="133" ht="15" customHeight="1" s="78">
      <c r="A133" s="124" t="n">
        <v>1996430</v>
      </c>
      <c r="B133" s="124" t="inlineStr">
        <is>
          <t>Dicefolk</t>
        </is>
      </c>
      <c r="C133" s="124" t="n">
        <v>2024</v>
      </c>
      <c r="D133" s="125" t="n">
        <v>67082</v>
      </c>
      <c r="E133" s="125" t="n">
        <v>1141</v>
      </c>
      <c r="F133" s="126" t="n">
        <v>58.7922874671341</v>
      </c>
      <c r="G133" s="124" t="inlineStr">
        <is>
          <t>Very Positive</t>
        </is>
      </c>
    </row>
    <row r="134" ht="15" customHeight="1" s="78">
      <c r="A134" s="128" t="n">
        <v>2356780</v>
      </c>
      <c r="B134" s="128" t="inlineStr">
        <is>
          <t>Dungeon Clawler</t>
        </is>
      </c>
      <c r="C134" s="128" t="n">
        <v>2026</v>
      </c>
      <c r="D134" s="129" t="n">
        <v>385291</v>
      </c>
      <c r="E134" s="129" t="n">
        <v>4051</v>
      </c>
      <c r="F134" s="130" t="n">
        <v>95.1100962725253</v>
      </c>
      <c r="G134" s="128" t="inlineStr">
        <is>
          <t>Very Positive</t>
        </is>
      </c>
    </row>
    <row r="135" ht="15" customHeight="1" s="78">
      <c r="A135" s="124" t="n">
        <v>3541000</v>
      </c>
      <c r="B135" s="124" t="inlineStr">
        <is>
          <t>Kingdom Loop</t>
        </is>
      </c>
      <c r="C135" s="124" t="n">
        <v>2026</v>
      </c>
      <c r="D135" s="125" t="n">
        <v>873</v>
      </c>
      <c r="E135" s="125" t="n">
        <v>45</v>
      </c>
      <c r="F135" s="126" t="n">
        <v>19.4</v>
      </c>
      <c r="G135" s="124" t="inlineStr">
        <is>
          <t>Mixed</t>
        </is>
      </c>
    </row>
    <row r="136" ht="15" customHeight="1" s="78">
      <c r="A136" s="128" t="n">
        <v>2095290</v>
      </c>
      <c r="B136" s="128" t="inlineStr">
        <is>
          <t>Theseus Protocol</t>
        </is>
      </c>
      <c r="C136" s="128" t="n">
        <v>2023</v>
      </c>
      <c r="D136" s="129" t="n">
        <v>17333</v>
      </c>
      <c r="E136" s="129" t="n">
        <v>371</v>
      </c>
      <c r="F136" s="130" t="n">
        <v>46.7196765498652</v>
      </c>
      <c r="G136" s="128" t="inlineStr">
        <is>
          <t>Mixed</t>
        </is>
      </c>
    </row>
    <row r="137" ht="15" customHeight="1" s="78">
      <c r="A137" s="124" t="n">
        <v>2071430</v>
      </c>
      <c r="B137" s="124" t="inlineStr">
        <is>
          <t>Roots of Yggdrasil</t>
        </is>
      </c>
      <c r="C137" s="124" t="n">
        <v>2024</v>
      </c>
      <c r="D137" s="125" t="n">
        <v>19447</v>
      </c>
      <c r="E137" s="125" t="n">
        <v>366</v>
      </c>
      <c r="F137" s="126" t="n">
        <v>53.1338797814208</v>
      </c>
      <c r="G137" s="124" t="inlineStr">
        <is>
          <t>Very Positive</t>
        </is>
      </c>
    </row>
    <row r="138" ht="15" customHeight="1" s="78">
      <c r="A138" s="128" t="n">
        <v>3496890</v>
      </c>
      <c r="B138" s="128" t="inlineStr">
        <is>
          <t>Slot or Not</t>
        </is>
      </c>
      <c r="C138" s="128" t="n">
        <v>2026</v>
      </c>
      <c r="D138" s="129" t="n">
        <v>5455</v>
      </c>
      <c r="E138" s="129" t="n">
        <v>163</v>
      </c>
      <c r="F138" s="130" t="n">
        <v>33.4662576687117</v>
      </c>
      <c r="G138" s="128" t="inlineStr">
        <is>
          <t>Very Positive</t>
        </is>
      </c>
    </row>
    <row r="139" ht="15" customHeight="1" s="78">
      <c r="A139" s="124" t="n">
        <v>3264170</v>
      </c>
      <c r="B139" s="124" t="inlineStr">
        <is>
          <t>Birdigo - bird word game</t>
        </is>
      </c>
      <c r="C139" s="124" t="n">
        <v>2025</v>
      </c>
      <c r="D139" s="125" t="n">
        <v>2535</v>
      </c>
      <c r="E139" s="125" t="n">
        <v>86</v>
      </c>
      <c r="F139" s="126" t="n">
        <v>29.4767441860465</v>
      </c>
      <c r="G139" s="124" t="inlineStr">
        <is>
          <t>Very Positive</t>
        </is>
      </c>
    </row>
    <row r="140" ht="15" customHeight="1" s="78">
      <c r="A140" s="128" t="n">
        <v>1772050</v>
      </c>
      <c r="B140" s="128" t="inlineStr">
        <is>
          <t>Souls of White Star</t>
        </is>
      </c>
      <c r="C140" s="128" t="n">
        <v>2023</v>
      </c>
      <c r="D140" s="129" t="n">
        <v>3707</v>
      </c>
      <c r="E140" s="129" t="n">
        <v>167</v>
      </c>
      <c r="F140" s="130" t="n">
        <v>22.1976047904192</v>
      </c>
      <c r="G140" s="128" t="inlineStr">
        <is>
          <t>Very Positive</t>
        </is>
      </c>
    </row>
    <row r="141" ht="15" customHeight="1" s="78">
      <c r="A141" s="124" t="n">
        <v>3449690</v>
      </c>
      <c r="B141" s="124" t="inlineStr">
        <is>
          <t>Malys</t>
        </is>
      </c>
      <c r="C141" s="124" t="n">
        <v>2025</v>
      </c>
      <c r="D141" s="125" t="n">
        <v>4970</v>
      </c>
      <c r="E141" s="125" t="n">
        <v>197</v>
      </c>
      <c r="F141" s="126" t="n">
        <v>25.2284263959391</v>
      </c>
      <c r="G141" s="124" t="inlineStr">
        <is>
          <t>Mostly Positive</t>
        </is>
      </c>
    </row>
    <row r="142" ht="15" customHeight="1" s="78">
      <c r="A142" s="128" t="n">
        <v>3408020</v>
      </c>
      <c r="B142" s="128" t="inlineStr">
        <is>
          <t>Succubus Forest</t>
        </is>
      </c>
      <c r="C142" s="128" t="n">
        <v>2025</v>
      </c>
      <c r="D142" s="129" t="n">
        <v>12508</v>
      </c>
      <c r="E142" s="129" t="n">
        <v>234</v>
      </c>
      <c r="F142" s="130" t="n">
        <v>53.4529914529915</v>
      </c>
      <c r="G142" s="128" t="inlineStr">
        <is>
          <t>Mostly Positive</t>
        </is>
      </c>
    </row>
    <row r="143" ht="15" customHeight="1" s="78">
      <c r="A143" s="124" t="n">
        <v>4147140</v>
      </c>
      <c r="B143" s="124" t="inlineStr">
        <is>
          <t>我独自飞升成仙</t>
        </is>
      </c>
      <c r="C143" s="124" t="n">
        <v>2025</v>
      </c>
      <c r="D143" s="125" t="n">
        <v>8051</v>
      </c>
      <c r="E143" s="125" t="n">
        <v>30</v>
      </c>
      <c r="F143" s="126" t="n">
        <v>268.366666666667</v>
      </c>
      <c r="G143" s="124" t="inlineStr">
        <is>
          <t>Mostly Positive</t>
        </is>
      </c>
    </row>
    <row r="144" ht="15" customHeight="1" s="78">
      <c r="A144" s="128" t="n">
        <v>3165590</v>
      </c>
      <c r="B144" s="128" t="inlineStr">
        <is>
          <t>Gemblades</t>
        </is>
      </c>
      <c r="C144" s="128" t="n">
        <v>2026</v>
      </c>
      <c r="D144" s="129" t="n">
        <v>2303</v>
      </c>
      <c r="E144" s="129" t="n">
        <v>65</v>
      </c>
      <c r="F144" s="130" t="n">
        <v>35.4307692307692</v>
      </c>
      <c r="G144" s="128" t="inlineStr">
        <is>
          <t>Very Positive</t>
        </is>
      </c>
    </row>
    <row r="145" ht="15" customHeight="1" s="78">
      <c r="A145" s="124" t="n">
        <v>2243070</v>
      </c>
      <c r="B145" s="124" t="inlineStr">
        <is>
          <t>Kodama Battles</t>
        </is>
      </c>
      <c r="C145" s="124" t="n">
        <v>2023</v>
      </c>
      <c r="D145" s="125" t="n">
        <v>116</v>
      </c>
      <c r="E145" s="125" t="n">
        <v>6</v>
      </c>
      <c r="F145" s="126" t="n">
        <v>19.3333333333333</v>
      </c>
      <c r="G145" s="124" t="inlineStr">
        <is>
          <t>6 user reviews</t>
        </is>
      </c>
    </row>
    <row r="146" ht="15" customHeight="1" s="78">
      <c r="A146" s="128" t="n">
        <v>2726870</v>
      </c>
      <c r="B146" s="128" t="inlineStr">
        <is>
          <t>Loopstructor</t>
        </is>
      </c>
      <c r="C146" s="128" t="n">
        <v>2024</v>
      </c>
      <c r="D146" s="129" t="n">
        <v>23661</v>
      </c>
      <c r="E146" s="129" t="n">
        <v>384</v>
      </c>
      <c r="F146" s="130" t="n">
        <v>61.6171875</v>
      </c>
      <c r="G146" s="128" t="inlineStr">
        <is>
          <t>Very Positive</t>
        </is>
      </c>
    </row>
    <row r="147" ht="15" customHeight="1" s="78">
      <c r="A147" s="124" t="n">
        <v>1314770</v>
      </c>
      <c r="B147" s="124" t="inlineStr">
        <is>
          <t>Three Kingdom: The Journey</t>
        </is>
      </c>
      <c r="C147" s="124" t="n">
        <v>2023</v>
      </c>
      <c r="D147" s="125" t="n">
        <v>11823</v>
      </c>
      <c r="E147" s="125" t="n">
        <v>249</v>
      </c>
      <c r="F147" s="126" t="n">
        <v>47.4819277108434</v>
      </c>
      <c r="G147" s="124" t="inlineStr">
        <is>
          <t>Very Positive</t>
        </is>
      </c>
    </row>
    <row r="148" ht="15" customHeight="1" s="78">
      <c r="A148" s="128" t="n">
        <v>1716940</v>
      </c>
      <c r="B148" s="128" t="inlineStr">
        <is>
          <t>Ancient Gods</t>
        </is>
      </c>
      <c r="C148" s="128" t="n">
        <v>2022</v>
      </c>
      <c r="D148" s="129" t="n">
        <v>10467</v>
      </c>
      <c r="E148" s="129" t="n">
        <v>302</v>
      </c>
      <c r="F148" s="130" t="n">
        <v>34.658940397351</v>
      </c>
      <c r="G148" s="128" t="inlineStr">
        <is>
          <t>Mixed</t>
        </is>
      </c>
    </row>
    <row r="149" ht="15" customHeight="1" s="78">
      <c r="A149" s="124" t="n">
        <v>2209560</v>
      </c>
      <c r="B149" s="124" t="inlineStr">
        <is>
          <t>NoEL - Nothing on Elysion Line</t>
        </is>
      </c>
      <c r="C149" s="124" t="n">
        <v>2023</v>
      </c>
      <c r="D149" s="125" t="n">
        <v>163</v>
      </c>
      <c r="E149" s="125" t="n">
        <v>12</v>
      </c>
      <c r="F149" s="126" t="n">
        <v>13.5833333333333</v>
      </c>
      <c r="G149" s="124" t="inlineStr">
        <is>
          <t>Mixed</t>
        </is>
      </c>
    </row>
    <row r="150" ht="15" customHeight="1" s="78">
      <c r="A150" s="128" t="n">
        <v>1408730</v>
      </c>
      <c r="B150" s="128" t="inlineStr">
        <is>
          <t>KindFolx</t>
        </is>
      </c>
      <c r="C150" s="128" t="n">
        <v>2025</v>
      </c>
      <c r="D150" s="129" t="n">
        <v>153</v>
      </c>
      <c r="E150" s="129" t="n">
        <v>7</v>
      </c>
      <c r="F150" s="130" t="n">
        <v>21.8571428571429</v>
      </c>
      <c r="G150" s="128" t="inlineStr">
        <is>
          <t>7 user reviews</t>
        </is>
      </c>
    </row>
    <row r="151" ht="15" customHeight="1" s="78">
      <c r="A151" s="124" t="n">
        <v>2097570</v>
      </c>
      <c r="B151" s="124" t="inlineStr">
        <is>
          <t>StarVaders</t>
        </is>
      </c>
      <c r="C151" s="124" t="n">
        <v>2025</v>
      </c>
      <c r="D151" s="125" t="n">
        <v>186861</v>
      </c>
      <c r="E151" s="125" t="n">
        <v>4449</v>
      </c>
      <c r="F151" s="126" t="n">
        <v>42.0006743088335</v>
      </c>
      <c r="G151" s="124" t="inlineStr">
        <is>
          <t>Overwhelmingly Positive</t>
        </is>
      </c>
    </row>
    <row r="152" ht="15" customHeight="1" s="78">
      <c r="A152" s="128" t="n">
        <v>3324350</v>
      </c>
      <c r="B152" s="128" t="inlineStr">
        <is>
          <t>Three Kingdoms Poker</t>
        </is>
      </c>
      <c r="C152" s="128" t="n">
        <v>2025</v>
      </c>
      <c r="D152" s="129" t="n">
        <v>545</v>
      </c>
      <c r="E152" s="129" t="n">
        <v>7</v>
      </c>
      <c r="F152" s="130" t="n">
        <v>77.8571428571429</v>
      </c>
      <c r="G152" s="128" t="inlineStr">
        <is>
          <t>7 user reviews</t>
        </is>
      </c>
    </row>
  </sheetData>
  <autoFilter ref="A12:G152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A34332"/>
    <outlinePr summaryBelow="1" summaryRight="1"/>
    <pageSetUpPr fitToPage="0"/>
  </sheetPr>
  <dimension ref="A1:G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77" min="1" max="1"/>
    <col width="16" customWidth="1" style="77" min="2" max="4"/>
    <col width="26" customWidth="1" style="77" min="5" max="5"/>
    <col width="16" customWidth="1" style="77" min="6" max="6"/>
    <col width="13" customWidth="1" style="77" min="7" max="7"/>
  </cols>
  <sheetData>
    <row r="1" ht="21.6" customHeight="1" s="78">
      <c r="A1" s="88" t="inlineStr">
        <is>
          <t>04 / 财务模型（黄色单元格可改）</t>
        </is>
      </c>
    </row>
    <row r="2" ht="15" customHeight="1" s="78">
      <c r="A2" s="81" t="inlineStr">
        <is>
          <t>默认：$19.99 / ¥58；平均实收 75%；开发者分成 60%</t>
        </is>
      </c>
    </row>
    <row r="4" ht="15" customHeight="1" s="78">
      <c r="A4" s="133" t="inlineStr">
        <is>
          <t>售价（¥）</t>
        </is>
      </c>
      <c r="B4" s="134" t="n">
        <v>58</v>
      </c>
      <c r="E4" s="135" t="inlineStr">
        <is>
          <t>回归截距</t>
        </is>
      </c>
      <c r="F4" s="136" t="n">
        <v>0.914</v>
      </c>
    </row>
    <row r="5" ht="15" customHeight="1" s="78">
      <c r="A5" s="133" t="inlineStr">
        <is>
          <t>售价（$）</t>
        </is>
      </c>
      <c r="B5" s="137" t="n">
        <v>19.99</v>
      </c>
      <c r="E5" s="135" t="inlineStr">
        <is>
          <t>回归斜率</t>
        </is>
      </c>
      <c r="F5" s="136" t="n">
        <v>1.265</v>
      </c>
    </row>
    <row r="6" ht="15" customHeight="1" s="78">
      <c r="A6" s="133" t="inlineStr">
        <is>
          <t>平均实收率</t>
        </is>
      </c>
      <c r="B6" s="138" t="n">
        <v>0.75</v>
      </c>
    </row>
    <row r="7" ht="15" customHeight="1" s="78">
      <c r="A7" s="133" t="inlineStr">
        <is>
          <t>开发者分成</t>
        </is>
      </c>
      <c r="B7" s="138" t="n">
        <v>0.6</v>
      </c>
    </row>
    <row r="9" ht="15" customHeight="1" s="78">
      <c r="A9" s="139" t="inlineStr">
        <is>
          <t>净收入率</t>
        </is>
      </c>
      <c r="B9" s="140">
        <f>B6*B7</f>
        <v/>
      </c>
    </row>
    <row r="10" ht="15" customHeight="1" s="78">
      <c r="A10" s="139" t="inlineStr">
        <is>
          <t>每份净收入（¥）</t>
        </is>
      </c>
      <c r="B10" s="141">
        <f>B4*B9</f>
        <v/>
      </c>
    </row>
    <row r="11" ht="15" customHeight="1" s="78">
      <c r="A11" s="139" t="inlineStr">
        <is>
          <t>每份净收入（$）</t>
        </is>
      </c>
      <c r="B11" s="142">
        <f>B5*B9</f>
        <v/>
      </c>
    </row>
    <row r="13" ht="16.4" customHeight="1" s="78">
      <c r="A13" s="89" t="inlineStr">
        <is>
          <t>4.1 预算与回本线</t>
        </is>
      </c>
    </row>
    <row r="14" ht="30" customHeight="1" s="78">
      <c r="A14" s="90" t="inlineStr">
        <is>
          <t>方案</t>
        </is>
      </c>
      <c r="B14" s="90" t="inlineStr">
        <is>
          <t>周期（月）</t>
        </is>
      </c>
      <c r="C14" s="90" t="inlineStr">
        <is>
          <t>月成本（¥）</t>
        </is>
      </c>
      <c r="D14" s="90" t="inlineStr">
        <is>
          <t>外包（¥）</t>
        </is>
      </c>
      <c r="E14" s="90" t="inlineStr">
        <is>
          <t>总预算（¥）</t>
        </is>
      </c>
      <c r="F14" s="90" t="inlineStr">
        <is>
          <t>回本销量</t>
        </is>
      </c>
      <c r="G14" s="90" t="inlineStr">
        <is>
          <t>成熟样本分位</t>
        </is>
      </c>
    </row>
    <row r="15" ht="15" customHeight="1" s="78">
      <c r="A15" s="124" t="inlineStr">
        <is>
          <t>精简</t>
        </is>
      </c>
      <c r="B15" s="124" t="n">
        <v>18</v>
      </c>
      <c r="C15" s="143" t="n">
        <v>8000</v>
      </c>
      <c r="D15" s="143" t="n">
        <v>50000</v>
      </c>
      <c r="E15" s="143">
        <f>B15*C15+D15</f>
        <v/>
      </c>
      <c r="F15" s="125">
        <f>ROUNDUP(E15/$B$10,0)</f>
        <v/>
      </c>
      <c r="G15" s="144" t="n">
        <v>0.584</v>
      </c>
    </row>
    <row r="16" ht="15" customHeight="1" s="78">
      <c r="A16" s="128" t="inlineStr">
        <is>
          <t>标准</t>
        </is>
      </c>
      <c r="B16" s="128" t="n">
        <v>24</v>
      </c>
      <c r="C16" s="145" t="n">
        <v>12000</v>
      </c>
      <c r="D16" s="145" t="n">
        <v>100000</v>
      </c>
      <c r="E16" s="145">
        <f>B16*C16+D16</f>
        <v/>
      </c>
      <c r="F16" s="129">
        <f>ROUNDUP(E16/$B$10,0)</f>
        <v/>
      </c>
      <c r="G16" s="146" t="n">
        <v>0.656</v>
      </c>
    </row>
    <row r="17" ht="15" customHeight="1" s="78">
      <c r="A17" s="124" t="inlineStr">
        <is>
          <t>充裕</t>
        </is>
      </c>
      <c r="B17" s="124" t="n">
        <v>30</v>
      </c>
      <c r="C17" s="143" t="n">
        <v>15000</v>
      </c>
      <c r="D17" s="143" t="n">
        <v>150000</v>
      </c>
      <c r="E17" s="143">
        <f>B17*C17+D17</f>
        <v/>
      </c>
      <c r="F17" s="125">
        <f>ROUNDUP(E17/$B$10,0)</f>
        <v/>
      </c>
      <c r="G17" s="144" t="n">
        <v>0.72</v>
      </c>
    </row>
    <row r="20" ht="16.4" customHeight="1" s="78">
      <c r="A20" s="89" t="inlineStr">
        <is>
          <t>4.2 销量情景</t>
        </is>
      </c>
    </row>
    <row r="21" ht="30" customHeight="1" s="78">
      <c r="A21" s="90" t="inlineStr">
        <is>
          <t>销量</t>
        </is>
      </c>
      <c r="B21" s="90" t="inlineStr">
        <is>
          <t>净收入（¥）</t>
        </is>
      </c>
      <c r="C21" s="90" t="inlineStr">
        <is>
          <t>成熟样本分位</t>
        </is>
      </c>
      <c r="D21" s="90" t="inlineStr">
        <is>
          <t>约需评论</t>
        </is>
      </c>
      <c r="E21" s="90" t="inlineStr">
        <is>
          <t>含义</t>
        </is>
      </c>
    </row>
    <row r="22" ht="15" customHeight="1" s="78">
      <c r="A22" s="125" t="n">
        <v>5000</v>
      </c>
      <c r="B22" s="143">
        <f>A22*$B$10</f>
        <v/>
      </c>
      <c r="C22" s="144" t="n">
        <v>0.548</v>
      </c>
      <c r="D22" s="125">
        <f>ROUND(10^((LOG10(A22)-$F$4)/$F$5),0)</f>
        <v/>
      </c>
      <c r="E22" s="124" t="n"/>
    </row>
    <row r="23" ht="15" customHeight="1" s="78">
      <c r="A23" s="129" t="n">
        <v>10000</v>
      </c>
      <c r="B23" s="145">
        <f>A23*$B$10</f>
        <v/>
      </c>
      <c r="C23" s="146" t="n">
        <v>0.612</v>
      </c>
      <c r="D23" s="129">
        <f>ROUND(10^((LOG10(A23)-$F$4)/$F$5),0)</f>
        <v/>
      </c>
      <c r="E23" s="128" t="n"/>
    </row>
    <row r="24" ht="15" customHeight="1" s="78">
      <c r="A24" s="125" t="n">
        <v>20000</v>
      </c>
      <c r="B24" s="143">
        <f>A24*$B$10</f>
        <v/>
      </c>
      <c r="C24" s="144" t="n">
        <v>0.708</v>
      </c>
      <c r="D24" s="125">
        <f>ROUND(10^((LOG10(A24)-$F$4)/$F$5),0)</f>
        <v/>
      </c>
      <c r="E24" s="124" t="inlineStr">
        <is>
          <t>回本线附近</t>
        </is>
      </c>
    </row>
    <row r="25" ht="15" customHeight="1" s="78">
      <c r="A25" s="129" t="n">
        <v>50000</v>
      </c>
      <c r="B25" s="145">
        <f>A25*$B$10</f>
        <v/>
      </c>
      <c r="C25" s="146" t="n">
        <v>0.82</v>
      </c>
      <c r="D25" s="129">
        <f>ROUND(10^((LOG10(A25)-$F$4)/$F$5),0)</f>
        <v/>
      </c>
      <c r="E25" s="128" t="n"/>
    </row>
    <row r="26" ht="15" customHeight="1" s="78">
      <c r="A26" s="125" t="n">
        <v>100000</v>
      </c>
      <c r="B26" s="143">
        <f>A26*$B$10</f>
        <v/>
      </c>
      <c r="C26" s="144" t="n">
        <v>0.888</v>
      </c>
      <c r="D26" s="125">
        <f>ROUND(10^((LOG10(A26)-$F$4)/$F$5),0)</f>
        <v/>
      </c>
      <c r="E26" s="124" t="n"/>
    </row>
    <row r="27" ht="15" customHeight="1" s="78">
      <c r="A27" s="129" t="n">
        <v>300000</v>
      </c>
      <c r="B27" s="145">
        <f>A27*$B$10</f>
        <v/>
      </c>
      <c r="C27" s="146" t="n">
        <v>0.952</v>
      </c>
      <c r="D27" s="129">
        <f>ROUND(10^((LOG10(A27)-$F$4)/$F$5),0)</f>
        <v/>
      </c>
      <c r="E27" s="128" t="n"/>
    </row>
    <row r="30" ht="16.4" customHeight="1" s="78">
      <c r="A30" s="89" t="inlineStr">
        <is>
          <t>4.3 价格敏感性（净收入，¥）</t>
        </is>
      </c>
    </row>
    <row r="31" ht="30" customHeight="1" s="78">
      <c r="A31" s="90" t="inlineStr">
        <is>
          <t>定价（¥）</t>
        </is>
      </c>
      <c r="B31" s="90" t="inlineStr">
        <is>
          <t>每份净收入</t>
        </is>
      </c>
      <c r="C31" s="90" t="inlineStr">
        <is>
          <t>5,000 份</t>
        </is>
      </c>
      <c r="D31" s="90" t="inlineStr">
        <is>
          <t>10,000 份</t>
        </is>
      </c>
      <c r="E31" s="90" t="inlineStr">
        <is>
          <t>20,000 份</t>
        </is>
      </c>
      <c r="F31" s="90" t="inlineStr">
        <is>
          <t>50,000 份</t>
        </is>
      </c>
    </row>
    <row r="32" ht="15" customHeight="1" s="78">
      <c r="A32" s="143" t="n">
        <v>52</v>
      </c>
      <c r="B32" s="147">
        <f>A32*$B$9</f>
        <v/>
      </c>
      <c r="C32" s="143">
        <f>$B32*5000</f>
        <v/>
      </c>
      <c r="D32" s="143">
        <f>$B32*10000</f>
        <v/>
      </c>
      <c r="E32" s="143">
        <f>$B32*20000</f>
        <v/>
      </c>
      <c r="F32" s="143">
        <f>$B32*50000</f>
        <v/>
      </c>
    </row>
    <row r="33" ht="15" customHeight="1" s="78">
      <c r="A33" s="145" t="n">
        <v>58</v>
      </c>
      <c r="B33" s="148">
        <f>A33*$B$9</f>
        <v/>
      </c>
      <c r="C33" s="145">
        <f>$B33*5000</f>
        <v/>
      </c>
      <c r="D33" s="145">
        <f>$B33*10000</f>
        <v/>
      </c>
      <c r="E33" s="145">
        <f>$B33*20000</f>
        <v/>
      </c>
      <c r="F33" s="145">
        <f>$B33*50000</f>
        <v/>
      </c>
    </row>
    <row r="34" ht="15" customHeight="1" s="78">
      <c r="A34" s="143" t="n">
        <v>68</v>
      </c>
      <c r="B34" s="147">
        <f>A34*$B$9</f>
        <v/>
      </c>
      <c r="C34" s="143">
        <f>$B34*5000</f>
        <v/>
      </c>
      <c r="D34" s="143">
        <f>$B34*10000</f>
        <v/>
      </c>
      <c r="E34" s="143">
        <f>$B34*20000</f>
        <v/>
      </c>
      <c r="F34" s="143">
        <f>$B34*50000</f>
        <v/>
      </c>
    </row>
    <row r="37" ht="16.4" customHeight="1" s="78">
      <c r="A37" s="89" t="inlineStr">
        <is>
          <t>4.4 评论目标（由回归式反推）</t>
        </is>
      </c>
    </row>
    <row r="38" ht="30" customHeight="1" s="78">
      <c r="A38" s="90" t="inlineStr">
        <is>
          <t>评论数</t>
        </is>
      </c>
      <c r="B38" s="90" t="inlineStr">
        <is>
          <t>预测销量</t>
        </is>
      </c>
      <c r="C38" s="90" t="inlineStr">
        <is>
          <t>对应净收入（¥）</t>
        </is>
      </c>
    </row>
    <row r="39" ht="15" customHeight="1" s="78">
      <c r="A39" s="125" t="n">
        <v>100</v>
      </c>
      <c r="B39" s="125" t="n">
        <v>2776</v>
      </c>
      <c r="C39" s="143">
        <f>B39*$B$10</f>
        <v/>
      </c>
    </row>
    <row r="40" ht="15" customHeight="1" s="78">
      <c r="A40" s="129" t="n">
        <v>300</v>
      </c>
      <c r="B40" s="129" t="n">
        <v>11140</v>
      </c>
      <c r="C40" s="145">
        <f>B40*$B$10</f>
        <v/>
      </c>
    </row>
    <row r="41" ht="15" customHeight="1" s="78">
      <c r="A41" s="125" t="n">
        <v>400</v>
      </c>
      <c r="B41" s="125" t="n">
        <v>16028</v>
      </c>
      <c r="C41" s="143">
        <f>B41*$B$10</f>
        <v/>
      </c>
    </row>
    <row r="42" ht="15" customHeight="1" s="78">
      <c r="A42" s="129" t="n">
        <v>500</v>
      </c>
      <c r="B42" s="129" t="n">
        <v>21254</v>
      </c>
      <c r="C42" s="145">
        <f>B42*$B$10</f>
        <v/>
      </c>
    </row>
    <row r="43" ht="15" customHeight="1" s="78">
      <c r="A43" s="125" t="n">
        <v>800</v>
      </c>
      <c r="B43" s="125" t="n">
        <v>38511</v>
      </c>
      <c r="C43" s="143">
        <f>B43*$B$10</f>
        <v/>
      </c>
    </row>
    <row r="44" ht="15" customHeight="1" s="78">
      <c r="A44" s="129" t="n">
        <v>1000</v>
      </c>
      <c r="B44" s="129" t="n">
        <v>51067</v>
      </c>
      <c r="C44" s="145">
        <f>B44*$B$10</f>
        <v/>
      </c>
    </row>
    <row r="45" ht="15" customHeight="1" s="78">
      <c r="A45" s="125" t="n">
        <v>2000</v>
      </c>
      <c r="B45" s="125" t="n">
        <v>122698</v>
      </c>
      <c r="C45" s="143">
        <f>B45*$B$10</f>
        <v/>
      </c>
    </row>
    <row r="46" ht="15" customHeight="1" s="78">
      <c r="A46" s="129" t="n">
        <v>5000</v>
      </c>
      <c r="B46" s="129" t="n">
        <v>390922</v>
      </c>
      <c r="C46" s="145">
        <f>B46*$B$10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8FA89B"/>
    <outlinePr summaryBelow="1" summaryRight="1"/>
    <pageSetUpPr fitToPage="0"/>
  </sheetPr>
  <dimension ref="A1:H9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3" customWidth="1" style="77" min="1" max="1"/>
    <col width="44" customWidth="1" style="77" min="2" max="2"/>
    <col width="13" customWidth="1" style="77" min="3" max="6"/>
    <col width="28" customWidth="1" style="77" min="7" max="7"/>
    <col width="70" customWidth="1" style="77" min="8" max="8"/>
  </cols>
  <sheetData>
    <row r="1" ht="21.6" customHeight="1" s="78">
      <c r="A1" s="88" t="inlineStr">
        <is>
          <t>05 / Roguelike Deckbuilder 标签全集（949 款）</t>
        </is>
      </c>
    </row>
    <row r="2" ht="15" customHeight="1" s="78">
      <c r="A2" s="81" t="inlineStr">
        <is>
          <t>Gamalytic 估算数据，抓取日 2026-10-19；按估算销量降序</t>
        </is>
      </c>
    </row>
    <row r="4" ht="30" customHeight="1" s="78">
      <c r="A4" s="90" t="inlineStr">
        <is>
          <t>AppID</t>
        </is>
      </c>
      <c r="B4" s="90" t="inlineStr">
        <is>
          <t>游戏</t>
        </is>
      </c>
      <c r="C4" s="90" t="inlineStr">
        <is>
          <t>发售年</t>
        </is>
      </c>
      <c r="D4" s="90" t="inlineStr">
        <is>
          <t>价格USD</t>
        </is>
      </c>
      <c r="E4" s="90" t="inlineStr">
        <is>
          <t>估算销量</t>
        </is>
      </c>
      <c r="F4" s="90" t="inlineStr">
        <is>
          <t>评分</t>
        </is>
      </c>
      <c r="G4" s="90" t="inlineStr">
        <is>
          <t>开发商</t>
        </is>
      </c>
      <c r="H4" s="90" t="inlineStr">
        <is>
          <t>标签（前 8）</t>
        </is>
      </c>
    </row>
    <row r="5" ht="15" customHeight="1" s="78">
      <c r="A5" s="149" t="n">
        <v>646570</v>
      </c>
      <c r="B5" s="149" t="inlineStr">
        <is>
          <t>Slay the Spire</t>
        </is>
      </c>
      <c r="C5" s="149" t="n">
        <v>2019</v>
      </c>
      <c r="D5" s="150" t="n">
        <v>24.99</v>
      </c>
      <c r="E5" s="151" t="n">
        <v>10583038</v>
      </c>
      <c r="F5" s="149" t="n">
        <v>97</v>
      </c>
      <c r="G5" s="149" t="inlineStr">
        <is>
          <t>Mega Crit</t>
        </is>
      </c>
      <c r="H5" s="149" t="inlineStr">
        <is>
          <t>Roguelike Deckbuilder · Card Game · Card Battler · Roguelike · Deckbuilding · Turn-Based · Strategy · Singleplayer</t>
        </is>
      </c>
    </row>
    <row r="6" ht="15" customHeight="1" s="78">
      <c r="A6" s="152" t="n">
        <v>2868840</v>
      </c>
      <c r="B6" s="152" t="inlineStr">
        <is>
          <t>Slay the Spire 2</t>
        </is>
      </c>
      <c r="C6" s="152" t="n">
        <v>2026</v>
      </c>
      <c r="D6" s="153" t="n">
        <v>24.99</v>
      </c>
      <c r="E6" s="154" t="n">
        <v>7410557</v>
      </c>
      <c r="F6" s="152" t="n">
        <v>61</v>
      </c>
      <c r="G6" s="152" t="inlineStr">
        <is>
          <t>Mega Crit</t>
        </is>
      </c>
      <c r="H6" s="152" t="inlineStr">
        <is>
          <t>Roguelike · Card Game · Deckbuilding · Co-op · Strategy · Roguelike Deckbuilder · Multiplayer · Turn-Based Combat</t>
        </is>
      </c>
    </row>
    <row r="7" ht="15" customHeight="1" s="78">
      <c r="A7" s="149" t="n">
        <v>2379780</v>
      </c>
      <c r="B7" s="149" t="inlineStr">
        <is>
          <t>Balatro</t>
        </is>
      </c>
      <c r="C7" s="149" t="n">
        <v>2024</v>
      </c>
      <c r="D7" s="150" t="n">
        <v>14.99</v>
      </c>
      <c r="E7" s="151" t="n">
        <v>6495863</v>
      </c>
      <c r="F7" s="149" t="n">
        <v>98</v>
      </c>
      <c r="G7" s="149" t="inlineStr">
        <is>
          <t>LocalThunk</t>
        </is>
      </c>
      <c r="H7" s="149" t="inlineStr">
        <is>
          <t>Card Game · Roguelike · Roguelike Deckbuilder · Deckbuilding · Singleplayer · Strategy · Pixel Graphics · Replay Value</t>
        </is>
      </c>
    </row>
    <row r="8" ht="15" customHeight="1" s="78">
      <c r="A8" s="152" t="n">
        <v>1557740</v>
      </c>
      <c r="B8" s="152" t="inlineStr">
        <is>
          <t>ROUNDS</t>
        </is>
      </c>
      <c r="C8" s="152" t="n">
        <v>2021</v>
      </c>
      <c r="D8" s="153" t="n">
        <v>5.99</v>
      </c>
      <c r="E8" s="154" t="n">
        <v>2083509</v>
      </c>
      <c r="F8" s="152" t="n">
        <v>95</v>
      </c>
      <c r="G8" s="152" t="inlineStr">
        <is>
          <t>Landfall</t>
        </is>
      </c>
      <c r="H8" s="152" t="inlineStr">
        <is>
          <t>Multiplayer · Fighting · Local Multiplayer · 2D Fighter · Deckbuilding · Roguelite · Action · PvP</t>
        </is>
      </c>
    </row>
    <row r="9" ht="15" customHeight="1" s="78">
      <c r="A9" s="149" t="n">
        <v>2427700</v>
      </c>
      <c r="B9" s="149" t="inlineStr">
        <is>
          <t>Backpack Battles</t>
        </is>
      </c>
      <c r="C9" s="149" t="n">
        <v>2025</v>
      </c>
      <c r="D9" s="150" t="n">
        <v>14.99</v>
      </c>
      <c r="E9" s="151" t="n">
        <v>1556886</v>
      </c>
      <c r="F9" s="149" t="n">
        <v>91</v>
      </c>
      <c r="G9" s="149" t="inlineStr">
        <is>
          <t>PlayWithFurcifer</t>
        </is>
      </c>
      <c r="H9" s="149" t="inlineStr">
        <is>
          <t>Auto Battler · Inventory Management · Strategy · PvP · Roguelike Deckbuilder · Asynchronous Multiplayer · Multiplayer · Roguelike</t>
        </is>
      </c>
    </row>
    <row r="10" ht="15" customHeight="1" s="78">
      <c r="A10" s="152" t="n">
        <v>1102190</v>
      </c>
      <c r="B10" s="152" t="inlineStr">
        <is>
          <t>Monster Train</t>
        </is>
      </c>
      <c r="C10" s="152" t="n">
        <v>2020</v>
      </c>
      <c r="D10" s="153" t="n">
        <v>24.99</v>
      </c>
      <c r="E10" s="154" t="n">
        <v>1445478</v>
      </c>
      <c r="F10" s="152" t="n">
        <v>96</v>
      </c>
      <c r="G10" s="152" t="inlineStr">
        <is>
          <t>Shiny Shoe</t>
        </is>
      </c>
      <c r="H10" s="152" t="inlineStr">
        <is>
          <t>Card Battler · Roguelite · Card Game · Deckbuilding · Turn-Based Tactics · Roguelike · Turn-Based Strategy · Difficult</t>
        </is>
      </c>
    </row>
    <row r="11" ht="15" customHeight="1" s="78">
      <c r="A11" s="149" t="n">
        <v>3265700</v>
      </c>
      <c r="B11" s="149" t="inlineStr">
        <is>
          <t>Vampire Crawlers: The Turbo Wildcard from Vampire Survivors</t>
        </is>
      </c>
      <c r="C11" s="149" t="n">
        <v>2026</v>
      </c>
      <c r="D11" s="150" t="n">
        <v>9.99</v>
      </c>
      <c r="E11" s="151" t="n">
        <v>1338510</v>
      </c>
      <c r="F11" s="149" t="n">
        <v>96</v>
      </c>
      <c r="G11" s="149" t="inlineStr">
        <is>
          <t>poncle; Nosebleed Interactive</t>
        </is>
      </c>
      <c r="H11" s="149" t="inlineStr">
        <is>
          <t>Card Battler · Dungeon Crawler · Deckbuilding · Strategy · Roguelike · Pixel Graphics · Card Game · Action</t>
        </is>
      </c>
    </row>
    <row r="12" ht="15" customHeight="1" s="78">
      <c r="A12" s="152" t="n">
        <v>2784470</v>
      </c>
      <c r="B12" s="152" t="inlineStr">
        <is>
          <t>9 Kings</t>
        </is>
      </c>
      <c r="C12" s="152" t="n">
        <v>2025</v>
      </c>
      <c r="D12" s="153" t="n">
        <v>19.99</v>
      </c>
      <c r="E12" s="154" t="n">
        <v>1127310</v>
      </c>
      <c r="F12" s="152" t="n">
        <v>92</v>
      </c>
      <c r="G12" s="152" t="inlineStr">
        <is>
          <t>Sad Socket</t>
        </is>
      </c>
      <c r="H12" s="152" t="inlineStr">
        <is>
          <t>Strategy · RPG · Auto Battler · Roguelike · Card Game · Deckbuilding · Roguelike Deckbuilder · Multiplayer</t>
        </is>
      </c>
    </row>
    <row r="13" ht="15" customHeight="1" s="78">
      <c r="A13" s="149" t="n">
        <v>769560</v>
      </c>
      <c r="B13" s="149" t="inlineStr">
        <is>
          <t>月圆之夜 (Night of Full Moon)</t>
        </is>
      </c>
      <c r="C13" s="149" t="n">
        <v>2019</v>
      </c>
      <c r="D13" s="150" t="n">
        <v>0</v>
      </c>
      <c r="E13" s="151" t="n">
        <v>1081216</v>
      </c>
      <c r="F13" s="149" t="n">
        <v>80</v>
      </c>
      <c r="G13" s="149" t="inlineStr">
        <is>
          <t>Giant Games</t>
        </is>
      </c>
      <c r="H13" s="149" t="inlineStr">
        <is>
          <t>Card Game · Free to Play · Strategy · Deckbuilding · Card Battler · Indie · Adventure · Roguelite</t>
        </is>
      </c>
    </row>
    <row r="14" ht="15" customHeight="1" s="78">
      <c r="A14" s="152" t="n">
        <v>601840</v>
      </c>
      <c r="B14" s="152" t="inlineStr">
        <is>
          <t>Griftlands</t>
        </is>
      </c>
      <c r="C14" s="152" t="n">
        <v>2021</v>
      </c>
      <c r="D14" s="153" t="n">
        <v>19.99</v>
      </c>
      <c r="E14" s="154" t="n">
        <v>857962</v>
      </c>
      <c r="F14" s="152" t="n">
        <v>94</v>
      </c>
      <c r="G14" s="152" t="inlineStr">
        <is>
          <t>Klei Entertainment</t>
        </is>
      </c>
      <c r="H14" s="152" t="inlineStr">
        <is>
          <t>Card Battler · Roguelite · Deckbuilding · Choices Matter · RPG · Turn-Based · Card Game · Story Rich</t>
        </is>
      </c>
    </row>
    <row r="15" ht="15" customHeight="1" s="78">
      <c r="A15" s="149" t="n">
        <v>3784030</v>
      </c>
      <c r="B15" s="149" t="inlineStr">
        <is>
          <t>RACCOIN: Coin Pusher Roguelike</t>
        </is>
      </c>
      <c r="C15" s="149" t="n">
        <v>2026</v>
      </c>
      <c r="D15" s="150" t="n">
        <v>11.99</v>
      </c>
      <c r="E15" s="151" t="n">
        <v>839189</v>
      </c>
      <c r="F15" s="149" t="n">
        <v>82</v>
      </c>
      <c r="G15" s="149" t="inlineStr">
        <is>
          <t>Doraccoon</t>
        </is>
      </c>
      <c r="H15" s="149" t="inlineStr">
        <is>
          <t>Strategy · Roguelike · Deckbuilding · Roguelike Deckbuilder · Singleplayer · Casual · Turn-Based Strategy · Roguelite</t>
        </is>
      </c>
    </row>
    <row r="16" ht="15" customHeight="1" s="78">
      <c r="A16" s="152" t="n">
        <v>1404850</v>
      </c>
      <c r="B16" s="152" t="inlineStr">
        <is>
          <t>Luck be a Landlord</t>
        </is>
      </c>
      <c r="C16" s="152" t="n">
        <v>2023</v>
      </c>
      <c r="D16" s="153" t="n">
        <v>9.99</v>
      </c>
      <c r="E16" s="154" t="n">
        <v>818789</v>
      </c>
      <c r="F16" s="152" t="n">
        <v>93</v>
      </c>
      <c r="G16" s="152" t="inlineStr">
        <is>
          <t>TrampolineTales</t>
        </is>
      </c>
      <c r="H16" s="152" t="inlineStr">
        <is>
          <t>Roguelike Deckbuilder · Deckbuilding · Roguelite · Strategy · Procedural Generation · Pixel Graphics · Simulation · Roguelike</t>
        </is>
      </c>
    </row>
    <row r="17" ht="15" customHeight="1" s="78">
      <c r="A17" s="149" t="n">
        <v>861540</v>
      </c>
      <c r="B17" s="149" t="inlineStr">
        <is>
          <t>Dicey Dungeons</t>
        </is>
      </c>
      <c r="C17" s="149" t="n">
        <v>2019</v>
      </c>
      <c r="D17" s="150" t="n">
        <v>14.99</v>
      </c>
      <c r="E17" s="151" t="n">
        <v>805510</v>
      </c>
      <c r="F17" s="149" t="n">
        <v>89</v>
      </c>
      <c r="G17" s="149" t="inlineStr">
        <is>
          <t>Terry Cavanagh</t>
        </is>
      </c>
      <c r="H17" s="149" t="inlineStr">
        <is>
          <t>Roguelike Deckbuilder · Card Battler · Deckbuilding · Roguelite · Roguelike · Indie · Turn-Based · Strategy</t>
        </is>
      </c>
    </row>
    <row r="18" ht="15" customHeight="1" s="78">
      <c r="A18" s="152" t="n">
        <v>266510</v>
      </c>
      <c r="B18" s="152" t="inlineStr">
        <is>
          <t>Hand of Fate</t>
        </is>
      </c>
      <c r="C18" s="152" t="n">
        <v>2015</v>
      </c>
      <c r="D18" s="153" t="n">
        <v>19.99</v>
      </c>
      <c r="E18" s="154" t="n">
        <v>726786</v>
      </c>
      <c r="F18" s="152" t="n">
        <v>89</v>
      </c>
      <c r="G18" s="152" t="inlineStr">
        <is>
          <t>Defiant Development</t>
        </is>
      </c>
      <c r="H18" s="152" t="inlineStr">
        <is>
          <t>Roguelike Deckbuilder · Roguelike · Deckbuilding · Card Game · Action Roguelike · RPG · Singleplayer · Action</t>
        </is>
      </c>
    </row>
    <row r="19" ht="15" customHeight="1" s="78">
      <c r="A19" s="149" t="n">
        <v>1385380</v>
      </c>
      <c r="B19" s="149" t="inlineStr">
        <is>
          <t>Across the Obelisk</t>
        </is>
      </c>
      <c r="C19" s="149" t="n">
        <v>2022</v>
      </c>
      <c r="D19" s="150" t="n">
        <v>19.99</v>
      </c>
      <c r="E19" s="151" t="n">
        <v>711232</v>
      </c>
      <c r="F19" s="149" t="n">
        <v>80</v>
      </c>
      <c r="G19" s="149" t="inlineStr">
        <is>
          <t>Dreamsite Games</t>
        </is>
      </c>
      <c r="H19" s="149" t="inlineStr">
        <is>
          <t>Casual · Adventure · Tactical · Turn-Based Strategy · Roguelike Deckbuilder · Card Game · Roguelike · Deckbuilding</t>
        </is>
      </c>
    </row>
    <row r="20" ht="15" customHeight="1" s="78">
      <c r="A20" s="152" t="n">
        <v>1970580</v>
      </c>
      <c r="B20" s="152" t="inlineStr">
        <is>
          <t>Backpack Hero</t>
        </is>
      </c>
      <c r="C20" s="152" t="n">
        <v>2023</v>
      </c>
      <c r="D20" s="153" t="n">
        <v>19.99</v>
      </c>
      <c r="E20" s="154" t="n">
        <v>586133</v>
      </c>
      <c r="F20" s="152" t="n">
        <v>86</v>
      </c>
      <c r="G20" s="152" t="inlineStr">
        <is>
          <t>Jaspel</t>
        </is>
      </c>
      <c r="H20" s="152" t="inlineStr">
        <is>
          <t>Replay Value · Inventory Management · Turn-Based · Roguelike Deckbuilder · Deckbuilding · 2D · Roguelike · Fantasy</t>
        </is>
      </c>
    </row>
    <row r="21" ht="15" customHeight="1" s="78">
      <c r="A21" s="149" t="n">
        <v>2742830</v>
      </c>
      <c r="B21" s="149" t="inlineStr">
        <is>
          <t>Monster Train 2</t>
        </is>
      </c>
      <c r="C21" s="149" t="n">
        <v>2025</v>
      </c>
      <c r="D21" s="150" t="n">
        <v>24.99</v>
      </c>
      <c r="E21" s="151" t="n">
        <v>537235</v>
      </c>
      <c r="F21" s="149" t="n">
        <v>95</v>
      </c>
      <c r="G21" s="149" t="inlineStr">
        <is>
          <t>Shiny Shoe</t>
        </is>
      </c>
      <c r="H21" s="149" t="inlineStr">
        <is>
          <t>Roguelike Deckbuilder · Card Game · Roguelike · Deckbuilding · Turn-Based Strategy · Strategy · Turn-Based Tactics · Singleplayer</t>
        </is>
      </c>
    </row>
    <row r="22" ht="15" customHeight="1" s="78">
      <c r="A22" s="152" t="n">
        <v>1188930</v>
      </c>
      <c r="B22" s="152" t="inlineStr">
        <is>
          <t>Chrono Ark</t>
        </is>
      </c>
      <c r="C22" s="152" t="n">
        <v>2024</v>
      </c>
      <c r="D22" s="153" t="n">
        <v>24.99</v>
      </c>
      <c r="E22" s="154" t="n">
        <v>490331</v>
      </c>
      <c r="F22" s="152" t="n">
        <v>91</v>
      </c>
      <c r="G22" s="152" t="inlineStr">
        <is>
          <t>Al Fine</t>
        </is>
      </c>
      <c r="H22" s="152" t="inlineStr">
        <is>
          <t>Roguelike Deckbuilder · Anime · RPG · Strategy · Indie · Adventure · Roguelite · Card Game</t>
        </is>
      </c>
    </row>
    <row r="23" ht="15" customHeight="1" s="78">
      <c r="A23" s="149" t="n">
        <v>456670</v>
      </c>
      <c r="B23" s="149" t="inlineStr">
        <is>
          <t>Hand of Fate 2</t>
        </is>
      </c>
      <c r="C23" s="149" t="n">
        <v>2017</v>
      </c>
      <c r="D23" s="150" t="n">
        <v>29.99</v>
      </c>
      <c r="E23" s="151" t="n">
        <v>453398</v>
      </c>
      <c r="F23" s="149" t="n">
        <v>84</v>
      </c>
      <c r="G23" s="149" t="inlineStr">
        <is>
          <t>Defiant Development</t>
        </is>
      </c>
      <c r="H23" s="149" t="inlineStr">
        <is>
          <t>RPG · Roguelike Deckbuilder · Card Game · Deckbuilding · Action · Roguelite · Indie · Action Roguelike</t>
        </is>
      </c>
    </row>
    <row r="24" ht="15" customHeight="1" s="78">
      <c r="A24" s="152" t="n">
        <v>2289750</v>
      </c>
      <c r="B24" s="152" t="inlineStr">
        <is>
          <t>Super Fantasy Kingdom</t>
        </is>
      </c>
      <c r="C24" s="152" t="n">
        <v>2025</v>
      </c>
      <c r="D24" s="153" t="n">
        <v>19.99</v>
      </c>
      <c r="E24" s="154" t="n">
        <v>391377</v>
      </c>
      <c r="F24" s="152" t="n">
        <v>87</v>
      </c>
      <c r="G24" s="152" t="inlineStr">
        <is>
          <t>Super Fantasy Games</t>
        </is>
      </c>
      <c r="H24" s="152" t="inlineStr">
        <is>
          <t>Strategy · RPG · Roguelike · Auto Battler · Roguelite · Fantasy · Card Game · Deckbuilding</t>
        </is>
      </c>
    </row>
    <row r="25" ht="15" customHeight="1" s="78">
      <c r="A25" s="149" t="n">
        <v>2356780</v>
      </c>
      <c r="B25" s="149" t="inlineStr">
        <is>
          <t>Dungeon Clawler</t>
        </is>
      </c>
      <c r="C25" s="149" t="n">
        <v>2026</v>
      </c>
      <c r="D25" s="150" t="n">
        <v>14.99</v>
      </c>
      <c r="E25" s="151" t="n">
        <v>385291</v>
      </c>
      <c r="F25" s="149" t="n">
        <v>89</v>
      </c>
      <c r="G25" s="149" t="inlineStr">
        <is>
          <t>Stray Fawn Studio</t>
        </is>
      </c>
      <c r="H25" s="149" t="inlineStr">
        <is>
          <t>Roguelike Deckbuilder · Replay Value · Arcade · Strategy · Roguelite · Gambling · Turn-Based Strategy · Singleplayer</t>
        </is>
      </c>
    </row>
    <row r="26" ht="15" customHeight="1" s="78">
      <c r="A26" s="152" t="n">
        <v>2084000</v>
      </c>
      <c r="B26" s="152" t="inlineStr">
        <is>
          <t>Shogun Showdown</t>
        </is>
      </c>
      <c r="C26" s="152" t="n">
        <v>2024</v>
      </c>
      <c r="D26" s="153" t="n">
        <v>14.99</v>
      </c>
      <c r="E26" s="154" t="n">
        <v>367362</v>
      </c>
      <c r="F26" s="152" t="n">
        <v>95</v>
      </c>
      <c r="G26" s="152" t="inlineStr">
        <is>
          <t>Roboatino</t>
        </is>
      </c>
      <c r="H26" s="152" t="inlineStr">
        <is>
          <t>Replay Value · Strategy RPG · Roguelike · Turn-Based · Pixel Graphics · Turn-Based Strategy · Roguelike Deckbuilder · Strategy</t>
        </is>
      </c>
    </row>
    <row r="27" ht="15" customHeight="1" s="78">
      <c r="A27" s="149" t="n">
        <v>1265820</v>
      </c>
      <c r="B27" s="149" t="inlineStr">
        <is>
          <t>Fights in Tight Spaces</t>
        </is>
      </c>
      <c r="C27" s="149" t="n">
        <v>2021</v>
      </c>
      <c r="D27" s="150" t="n">
        <v>24.99</v>
      </c>
      <c r="E27" s="151" t="n">
        <v>336269</v>
      </c>
      <c r="F27" s="149" t="n">
        <v>90</v>
      </c>
      <c r="G27" s="149" t="inlineStr">
        <is>
          <t>Ground Shatter</t>
        </is>
      </c>
      <c r="H27" s="149" t="inlineStr">
        <is>
          <t>Strategy · Action · Turn-Based Tactics · Deckbuilding · Turn-Based Combat · Martial Arts · Roguelike Deckbuilder · Turn-Based</t>
        </is>
      </c>
    </row>
    <row r="28" ht="15" customHeight="1" s="78">
      <c r="A28" s="152" t="n">
        <v>1201540</v>
      </c>
      <c r="B28" s="152" t="inlineStr">
        <is>
          <t>HELLCARD</t>
        </is>
      </c>
      <c r="C28" s="152" t="n">
        <v>2024</v>
      </c>
      <c r="D28" s="153" t="n">
        <v>24.99</v>
      </c>
      <c r="E28" s="154" t="n">
        <v>324119</v>
      </c>
      <c r="F28" s="152" t="n">
        <v>86</v>
      </c>
      <c r="G28" s="152" t="inlineStr">
        <is>
          <t>Thing Trunk</t>
        </is>
      </c>
      <c r="H28" s="152" t="inlineStr">
        <is>
          <t>Co-op · Roguelike · Card Battler · Roguelite · RPG · Deckbuilding · Turn-Based Combat · Strategy</t>
        </is>
      </c>
    </row>
    <row r="29" ht="15" customHeight="1" s="78">
      <c r="A29" s="149" t="n">
        <v>2400510</v>
      </c>
      <c r="B29" s="149" t="inlineStr">
        <is>
          <t>Dungeons &amp; Degenerate Gamblers</t>
        </is>
      </c>
      <c r="C29" s="149" t="n">
        <v>2024</v>
      </c>
      <c r="D29" s="150" t="n">
        <v>14.99</v>
      </c>
      <c r="E29" s="151" t="n">
        <v>308475</v>
      </c>
      <c r="F29" s="149" t="n">
        <v>82</v>
      </c>
      <c r="G29" s="149" t="inlineStr">
        <is>
          <t>Purple Moss Collectors</t>
        </is>
      </c>
      <c r="H29" s="149" t="inlineStr">
        <is>
          <t>Roguelike Deckbuilder · Roguelike · Strategy · Card Game · Deckbuilding · Card Battler · Roguelite · Singleplayer</t>
        </is>
      </c>
    </row>
    <row r="30" ht="15" customHeight="1" s="78">
      <c r="A30" s="152" t="n">
        <v>1076200</v>
      </c>
      <c r="B30" s="152" t="inlineStr">
        <is>
          <t>Roguebook</t>
        </is>
      </c>
      <c r="C30" s="152" t="n">
        <v>2021</v>
      </c>
      <c r="D30" s="153" t="n">
        <v>24.99</v>
      </c>
      <c r="E30" s="154" t="n">
        <v>303981</v>
      </c>
      <c r="F30" s="152" t="n">
        <v>84</v>
      </c>
      <c r="G30" s="152" t="inlineStr">
        <is>
          <t>Abrakam Entertainment SA</t>
        </is>
      </c>
      <c r="H30" s="152" t="inlineStr">
        <is>
          <t>RPG · Indie · Card Game · Deckbuilding · Singleplayer · Strategy · Roguelite · Turn-Based</t>
        </is>
      </c>
    </row>
    <row r="31" ht="15" customHeight="1" s="78">
      <c r="A31" s="149" t="n">
        <v>449960</v>
      </c>
      <c r="B31" s="149" t="inlineStr">
        <is>
          <t>Book of Demons</t>
        </is>
      </c>
      <c r="C31" s="149" t="n">
        <v>2017</v>
      </c>
      <c r="D31" s="150" t="n">
        <v>24.99</v>
      </c>
      <c r="E31" s="151" t="n">
        <v>303539</v>
      </c>
      <c r="F31" s="149" t="n">
        <v>91</v>
      </c>
      <c r="G31" s="149" t="inlineStr">
        <is>
          <t>Thing Trunk</t>
        </is>
      </c>
      <c r="H31" s="149" t="inlineStr">
        <is>
          <t>Dungeon Crawler · Roguelike Deckbuilder · Hack and Slash · RPG · Deckbuilding · Singleplayer · Isometric · Action RPG</t>
        </is>
      </c>
    </row>
    <row r="32" ht="15" customHeight="1" s="78">
      <c r="A32" s="152" t="n">
        <v>3444020</v>
      </c>
      <c r="B32" s="152" t="inlineStr">
        <is>
          <t>Demonic Mahjong</t>
        </is>
      </c>
      <c r="C32" s="152" t="n">
        <v>2025</v>
      </c>
      <c r="D32" s="153" t="n">
        <v>16.99</v>
      </c>
      <c r="E32" s="154" t="n">
        <v>300013</v>
      </c>
      <c r="F32" s="152" t="n">
        <v>96</v>
      </c>
      <c r="G32" s="152" t="inlineStr">
        <is>
          <t>Boxed Lighting Games</t>
        </is>
      </c>
      <c r="H32" s="152" t="inlineStr">
        <is>
          <t>Strategy · Card Game · Roguelike · Tabletop · Casual · 3D · Mahjong · Deckbuilding</t>
        </is>
      </c>
    </row>
    <row r="33" ht="15" customHeight="1" s="78">
      <c r="A33" s="149" t="n">
        <v>2501600</v>
      </c>
      <c r="B33" s="149" t="inlineStr">
        <is>
          <t>DICEOMANCER</t>
        </is>
      </c>
      <c r="C33" s="149" t="n">
        <v>2024</v>
      </c>
      <c r="D33" s="150" t="n">
        <v>14.99</v>
      </c>
      <c r="E33" s="151" t="n">
        <v>295486</v>
      </c>
      <c r="F33" s="149" t="n">
        <v>96</v>
      </c>
      <c r="G33" s="149" t="inlineStr">
        <is>
          <t>超厚皮猪猪 Ultra Piggy Studio</t>
        </is>
      </c>
      <c r="H33" s="149" t="inlineStr">
        <is>
          <t>Strategy · Card Game · Roguelike Deckbuilder · Card Battler · Colorful · Deckbuilding · Roguelike · First-Person</t>
        </is>
      </c>
    </row>
    <row r="34" ht="15" customHeight="1" s="78">
      <c r="A34" s="152" t="n">
        <v>1108370</v>
      </c>
      <c r="B34" s="152" t="inlineStr">
        <is>
          <t>Ratropolis</t>
        </is>
      </c>
      <c r="C34" s="152" t="n">
        <v>2020</v>
      </c>
      <c r="D34" s="153" t="n">
        <v>17.99</v>
      </c>
      <c r="E34" s="154" t="n">
        <v>276011</v>
      </c>
      <c r="F34" s="152" t="n">
        <v>88</v>
      </c>
      <c r="G34" s="152" t="inlineStr">
        <is>
          <t>Cassel Games</t>
        </is>
      </c>
      <c r="H34" s="152" t="inlineStr">
        <is>
          <t>2D · Deckbuilding · Card Battler · Roguelite · Strategy · Singleplayer · Card Game · Simulation</t>
        </is>
      </c>
    </row>
    <row r="35" ht="15" customHeight="1" s="78">
      <c r="A35" s="149" t="n">
        <v>2824490</v>
      </c>
      <c r="B35" s="149" t="inlineStr">
        <is>
          <t>He is Coming</t>
        </is>
      </c>
      <c r="C35" s="149" t="n">
        <v>2025</v>
      </c>
      <c r="D35" s="150" t="n">
        <v>19.99</v>
      </c>
      <c r="E35" s="151" t="n">
        <v>275559</v>
      </c>
      <c r="F35" s="149" t="n">
        <v>85</v>
      </c>
      <c r="G35" s="149" t="inlineStr">
        <is>
          <t>Chronocle</t>
        </is>
      </c>
      <c r="H35" s="149" t="inlineStr">
        <is>
          <t>Strategy · Roguelike · Auto Battler · RPG · Roguelite · Dungeon Crawler · Fantasy · Card Game</t>
        </is>
      </c>
    </row>
    <row r="36" ht="15" customHeight="1" s="78">
      <c r="A36" s="152" t="n">
        <v>1811990</v>
      </c>
      <c r="B36" s="152" t="inlineStr">
        <is>
          <t>Wildfrost</t>
        </is>
      </c>
      <c r="C36" s="152" t="n">
        <v>2023</v>
      </c>
      <c r="D36" s="153" t="n">
        <v>19.99</v>
      </c>
      <c r="E36" s="154" t="n">
        <v>270553</v>
      </c>
      <c r="F36" s="152" t="n">
        <v>83</v>
      </c>
      <c r="G36" s="152" t="inlineStr">
        <is>
          <t>Deadpan Games; Gaziter</t>
        </is>
      </c>
      <c r="H36" s="152" t="inlineStr">
        <is>
          <t>Card Battler · Roguelike Deckbuilder · Card Game · Difficult · Turn-Based Tactics · Roguelite · Deckbuilding · Roguelike</t>
        </is>
      </c>
    </row>
    <row r="37" ht="15" customHeight="1" s="78">
      <c r="A37" s="149" t="n">
        <v>1755830</v>
      </c>
      <c r="B37" s="149" t="inlineStr">
        <is>
          <t>Astrea: Six-Sided Oracles</t>
        </is>
      </c>
      <c r="C37" s="149" t="n">
        <v>2023</v>
      </c>
      <c r="D37" s="150" t="n">
        <v>24.99</v>
      </c>
      <c r="E37" s="151" t="n">
        <v>253014</v>
      </c>
      <c r="F37" s="149" t="n">
        <v>92</v>
      </c>
      <c r="G37" s="149" t="inlineStr">
        <is>
          <t>Little Leo Games</t>
        </is>
      </c>
      <c r="H37" s="149" t="inlineStr">
        <is>
          <t>Dice · Roguelike Deckbuilder · Card Battler · Card Game · Roguelike · Turn-Based · Strategy · Deckbuilding</t>
        </is>
      </c>
    </row>
    <row r="38" ht="15" customHeight="1" s="78">
      <c r="A38" s="152" t="n">
        <v>981430</v>
      </c>
      <c r="B38" s="152" t="inlineStr">
        <is>
          <t>Gordian Quest</t>
        </is>
      </c>
      <c r="C38" s="152" t="n">
        <v>2022</v>
      </c>
      <c r="D38" s="153" t="n">
        <v>19.99</v>
      </c>
      <c r="E38" s="154" t="n">
        <v>248027</v>
      </c>
      <c r="F38" s="152" t="n">
        <v>89</v>
      </c>
      <c r="G38" s="152" t="inlineStr">
        <is>
          <t>Mixed Realms; SwagSoft Studios</t>
        </is>
      </c>
      <c r="H38" s="152" t="inlineStr">
        <is>
          <t>RPG · Card Game · Card Battler · Strategy · Adventure · Replay Value · Turn-Based · Tactical</t>
        </is>
      </c>
    </row>
    <row r="39" ht="15" customHeight="1" s="78">
      <c r="A39" s="149" t="n">
        <v>2459550</v>
      </c>
      <c r="B39" s="149" t="inlineStr">
        <is>
          <t>Emberward</t>
        </is>
      </c>
      <c r="C39" s="149" t="n">
        <v>2026</v>
      </c>
      <c r="D39" s="150" t="n">
        <v>19.99</v>
      </c>
      <c r="E39" s="151" t="n">
        <v>237831</v>
      </c>
      <c r="F39" s="149" t="n">
        <v>97</v>
      </c>
      <c r="G39" s="149" t="inlineStr">
        <is>
          <t>Refic Games</t>
        </is>
      </c>
      <c r="H39" s="149" t="inlineStr">
        <is>
          <t>Tower Defense · Falling Blocks · Strategy · Roguelite · Deckbuilding · Base Building · 3D · Indie</t>
        </is>
      </c>
    </row>
    <row r="40" ht="15" customHeight="1" s="78">
      <c r="A40" s="152" t="n">
        <v>2181610</v>
      </c>
      <c r="B40" s="152" t="inlineStr">
        <is>
          <t>Heretic's Fork</t>
        </is>
      </c>
      <c r="C40" s="152" t="n">
        <v>2023</v>
      </c>
      <c r="D40" s="153" t="n">
        <v>9.99</v>
      </c>
      <c r="E40" s="154" t="n">
        <v>233597</v>
      </c>
      <c r="F40" s="152" t="n">
        <v>85</v>
      </c>
      <c r="G40" s="152" t="inlineStr">
        <is>
          <t>9FingerGames</t>
        </is>
      </c>
      <c r="H40" s="152" t="inlineStr">
        <is>
          <t>Bullet Heaven · Deckbuilding · Tower Defense · Strategy · Roguelike Deckbuilder · Card Game · Action · 2D</t>
        </is>
      </c>
    </row>
    <row r="41" ht="15" customHeight="1" s="78">
      <c r="A41" s="149" t="n">
        <v>2797340</v>
      </c>
      <c r="B41" s="149" t="inlineStr">
        <is>
          <t>Cat God Ranch</t>
        </is>
      </c>
      <c r="C41" s="149" t="n">
        <v>2024</v>
      </c>
      <c r="D41" s="150" t="n">
        <v>9.99</v>
      </c>
      <c r="E41" s="151" t="n">
        <v>226696</v>
      </c>
      <c r="F41" s="149" t="n">
        <v>93</v>
      </c>
      <c r="G41" s="149" t="inlineStr">
        <is>
          <t>CrazyPotato Studio</t>
        </is>
      </c>
      <c r="H41" s="149" t="inlineStr">
        <is>
          <t>Management · Farming Sim · Simulation · Resource Management · Roguelike Deckbuilder · Deckbuilding · Casual · Card Battler</t>
        </is>
      </c>
    </row>
    <row r="42" ht="15" customHeight="1" s="78">
      <c r="A42" s="152" t="n">
        <v>317820</v>
      </c>
      <c r="B42" s="152" t="inlineStr">
        <is>
          <t>Guild of Dungeoneering Ultimate Edition</t>
        </is>
      </c>
      <c r="C42" s="152" t="n">
        <v>2015</v>
      </c>
      <c r="D42" s="153" t="n">
        <v>19.99</v>
      </c>
      <c r="E42" s="154" t="n">
        <v>221022</v>
      </c>
      <c r="F42" s="152" t="n">
        <v>77</v>
      </c>
      <c r="G42" s="152" t="inlineStr">
        <is>
          <t>Gambrinous</t>
        </is>
      </c>
      <c r="H42" s="152" t="inlineStr">
        <is>
          <t>Roguelike Deckbuilder · Roguelike · Deckbuilding · RPG · Card Game · Turn-Based · Indie · Dungeon Crawler</t>
        </is>
      </c>
    </row>
    <row r="43" ht="15" customHeight="1" s="78">
      <c r="A43" s="149" t="n">
        <v>2738490</v>
      </c>
      <c r="B43" s="149" t="inlineStr">
        <is>
          <t>Sol Cesto</t>
        </is>
      </c>
      <c r="C43" s="149" t="n">
        <v>2026</v>
      </c>
      <c r="D43" s="150" t="n">
        <v>13.99</v>
      </c>
      <c r="E43" s="151" t="n">
        <v>211559</v>
      </c>
      <c r="F43" s="149" t="n">
        <v>91</v>
      </c>
      <c r="G43" s="149" t="inlineStr">
        <is>
          <t>Tambouille; Géraud Zucchini; Chariospirale</t>
        </is>
      </c>
      <c r="H43" s="149" t="inlineStr">
        <is>
          <t>Dungeon Crawler · Roguelike · Tactical · Puzzle · Atmospheric · Fantasy · Gambling · Procedural Generation</t>
        </is>
      </c>
    </row>
    <row r="44" ht="15" customHeight="1" s="78">
      <c r="A44" s="152" t="n">
        <v>698640</v>
      </c>
      <c r="B44" s="152" t="inlineStr">
        <is>
          <t>Deep Sky Derelicts</t>
        </is>
      </c>
      <c r="C44" s="152" t="n">
        <v>2018</v>
      </c>
      <c r="D44" s="153" t="n">
        <v>19.99</v>
      </c>
      <c r="E44" s="154" t="n">
        <v>208920</v>
      </c>
      <c r="F44" s="152" t="n">
        <v>74</v>
      </c>
      <c r="G44" s="152" t="inlineStr">
        <is>
          <t>Snowhound Games</t>
        </is>
      </c>
      <c r="H44" s="152" t="inlineStr">
        <is>
          <t>Roguelike Deckbuilder · RPG · Strategy · Card Battler · Deckbuilding · Indie · Turn-Based Combat · Dungeon Crawler</t>
        </is>
      </c>
    </row>
    <row r="45" ht="15" customHeight="1" s="78">
      <c r="A45" s="149" t="n">
        <v>3509230</v>
      </c>
      <c r="B45" s="149" t="inlineStr">
        <is>
          <t>Gambonanza</t>
        </is>
      </c>
      <c r="C45" s="149" t="n">
        <v>2026</v>
      </c>
      <c r="D45" s="150" t="n">
        <v>14.99</v>
      </c>
      <c r="E45" s="151" t="n">
        <v>208592</v>
      </c>
      <c r="F45" s="149" t="n">
        <v>76</v>
      </c>
      <c r="G45" s="149" t="inlineStr">
        <is>
          <t>Blukulélé</t>
        </is>
      </c>
      <c r="H45" s="149" t="inlineStr">
        <is>
          <t>Roguelike Deckbuilder · Chess · Turn-Based Strategy · Replay Value · Arcade · Singleplayer · Board Game · Strategy</t>
        </is>
      </c>
    </row>
    <row r="46" ht="15" customHeight="1" s="78">
      <c r="A46" s="152" t="n">
        <v>2026820</v>
      </c>
      <c r="B46" s="152" t="inlineStr">
        <is>
          <t>Die in the Dungeon</t>
        </is>
      </c>
      <c r="C46" s="152" t="n">
        <v>2026</v>
      </c>
      <c r="D46" s="153" t="n">
        <v>14.99</v>
      </c>
      <c r="E46" s="154" t="n">
        <v>205915</v>
      </c>
      <c r="F46" s="152" t="n">
        <v>92</v>
      </c>
      <c r="G46" s="152" t="inlineStr">
        <is>
          <t>ATICO</t>
        </is>
      </c>
      <c r="H46" s="152" t="inlineStr">
        <is>
          <t>Roguelike · Strategy · Deckbuilding · Card Game · Roguelike Deckbuilder · Turn-Based Combat · Card Battler · Indie</t>
        </is>
      </c>
    </row>
    <row r="47" ht="15" customHeight="1" s="78">
      <c r="A47" s="149" t="n">
        <v>2097570</v>
      </c>
      <c r="B47" s="149" t="inlineStr">
        <is>
          <t>StarVaders</t>
        </is>
      </c>
      <c r="C47" s="149" t="n">
        <v>2025</v>
      </c>
      <c r="D47" s="150" t="n">
        <v>24.99</v>
      </c>
      <c r="E47" s="151" t="n">
        <v>186861</v>
      </c>
      <c r="F47" s="149" t="n">
        <v>97</v>
      </c>
      <c r="G47" s="149" t="inlineStr">
        <is>
          <t>Pengonauts</t>
        </is>
      </c>
      <c r="H47" s="149" t="inlineStr">
        <is>
          <t>Roguelike Deckbuilder · Deckbuilding · Turn-Based Tactics · Roguelite · Difficult · Visual Novel · Card Game · Turn-Based Strategy</t>
        </is>
      </c>
    </row>
    <row r="48" ht="15" customHeight="1" s="78">
      <c r="A48" s="152" t="n">
        <v>2198070</v>
      </c>
      <c r="B48" s="152" t="inlineStr">
        <is>
          <t>Cardboard Town</t>
        </is>
      </c>
      <c r="C48" s="152" t="n">
        <v>2023</v>
      </c>
      <c r="D48" s="153" t="n">
        <v>19.99</v>
      </c>
      <c r="E48" s="154" t="n">
        <v>184755</v>
      </c>
      <c r="F48" s="152" t="n">
        <v>80</v>
      </c>
      <c r="G48" s="152" t="inlineStr">
        <is>
          <t>Stratera Games; cukuto</t>
        </is>
      </c>
      <c r="H48" s="152" t="inlineStr">
        <is>
          <t>Building · City Builder · Card Game · Stylized · Resource Management · Simulation · Roguelite · Turn-Based Strategy</t>
        </is>
      </c>
    </row>
    <row r="49" ht="15" customHeight="1" s="78">
      <c r="A49" s="149" t="n">
        <v>998740</v>
      </c>
      <c r="B49" s="149" t="inlineStr">
        <is>
          <t>Ring of Pain</t>
        </is>
      </c>
      <c r="C49" s="149" t="n">
        <v>2020</v>
      </c>
      <c r="D49" s="150" t="n">
        <v>19.99</v>
      </c>
      <c r="E49" s="151" t="n">
        <v>178930</v>
      </c>
      <c r="F49" s="149" t="n">
        <v>91</v>
      </c>
      <c r="G49" s="149" t="inlineStr">
        <is>
          <t>Simon Boxer; Twice Different</t>
        </is>
      </c>
      <c r="H49" s="149" t="inlineStr">
        <is>
          <t>Dungeon Crawler · Card Game · Roguelite · Turn-Based · Roguelike · Difficult · Dark · Strategy</t>
        </is>
      </c>
    </row>
    <row r="50" ht="15" customHeight="1" s="78">
      <c r="A50" s="152" t="n">
        <v>1919460</v>
      </c>
      <c r="B50" s="152" t="inlineStr">
        <is>
          <t>Seraph's Last Stand</t>
        </is>
      </c>
      <c r="C50" s="152" t="n">
        <v>2022</v>
      </c>
      <c r="D50" s="153" t="n">
        <v>0.99</v>
      </c>
      <c r="E50" s="154" t="n">
        <v>170941</v>
      </c>
      <c r="F50" s="152" t="n">
        <v>94</v>
      </c>
      <c r="G50" s="152" t="inlineStr">
        <is>
          <t>Sad Socket</t>
        </is>
      </c>
      <c r="H50" s="152" t="inlineStr">
        <is>
          <t>Action Roguelike · Bullet Hell · Casual · Roguelike Deckbuilder · 2D · Pixel Graphics · Roguelike · Magic</t>
        </is>
      </c>
    </row>
    <row r="51" ht="15" customHeight="1" s="78">
      <c r="A51" s="149" t="n">
        <v>1075740</v>
      </c>
      <c r="B51" s="149" t="inlineStr">
        <is>
          <t>Banners of Ruin</t>
        </is>
      </c>
      <c r="C51" s="149" t="n">
        <v>2021</v>
      </c>
      <c r="D51" s="150" t="n">
        <v>19.99</v>
      </c>
      <c r="E51" s="151" t="n">
        <v>169488</v>
      </c>
      <c r="F51" s="149" t="n">
        <v>79</v>
      </c>
      <c r="G51" s="149" t="inlineStr">
        <is>
          <t>MonteBearo</t>
        </is>
      </c>
      <c r="H51" s="149" t="inlineStr">
        <is>
          <t>Roguelike Deckbuilder · Card Battler · Roguelike · Card Game · Difficult · Turn-Based · Deckbuilding · Strategy</t>
        </is>
      </c>
    </row>
    <row r="52" ht="15" customHeight="1" s="78">
      <c r="A52" s="152" t="n">
        <v>2842800</v>
      </c>
      <c r="B52" s="152" t="inlineStr">
        <is>
          <t>Dream of Corpse Lady</t>
        </is>
      </c>
      <c r="C52" s="152" t="n">
        <v>2026</v>
      </c>
      <c r="D52" s="153" t="n">
        <v>9.99</v>
      </c>
      <c r="E52" s="154" t="n">
        <v>167652</v>
      </c>
      <c r="F52" s="152" t="n">
        <v>93</v>
      </c>
      <c r="G52" s="152" t="inlineStr">
        <is>
          <t>HT3 Studio</t>
        </is>
      </c>
      <c r="H52" s="152" t="inlineStr">
        <is>
          <t>Card Game · Strategy · Card Battler · Sexual Content · Turn-Based Tactics · Female Protagonist · Strategy RPG · Roguelite</t>
        </is>
      </c>
    </row>
    <row r="53" ht="15" customHeight="1" s="78">
      <c r="A53" s="149" t="n">
        <v>2870340</v>
      </c>
      <c r="B53" s="149" t="inlineStr">
        <is>
          <t>Decktamer</t>
        </is>
      </c>
      <c r="C53" s="149" t="n">
        <v>2025</v>
      </c>
      <c r="D53" s="150" t="n">
        <v>15.99</v>
      </c>
      <c r="E53" s="151" t="n">
        <v>167224</v>
      </c>
      <c r="F53" s="149" t="n">
        <v>86</v>
      </c>
      <c r="G53" s="149" t="inlineStr">
        <is>
          <t>Horizon Edge</t>
        </is>
      </c>
      <c r="H53" s="149" t="inlineStr">
        <is>
          <t>Roguelike Deckbuilder · Creature Collector · Card Game · Card Battler · Turn-Based Combat · Deckbuilding · Strategy · Turn-Based Strategy</t>
        </is>
      </c>
    </row>
    <row r="54" ht="15" customHeight="1" s="78">
      <c r="A54" s="152" t="n">
        <v>1793250</v>
      </c>
      <c r="B54" s="152" t="inlineStr">
        <is>
          <t>Take Me To The Dungeon!!</t>
        </is>
      </c>
      <c r="C54" s="152" t="n">
        <v>2023</v>
      </c>
      <c r="D54" s="153" t="n">
        <v>10.99</v>
      </c>
      <c r="E54" s="154" t="n">
        <v>164682</v>
      </c>
      <c r="F54" s="152" t="n">
        <v>94</v>
      </c>
      <c r="G54" s="152" t="inlineStr">
        <is>
          <t>Hanabi Fuusen</t>
        </is>
      </c>
      <c r="H54" s="152" t="inlineStr">
        <is>
          <t>Sexual Content · Nudity · Hentai · Card Game · Roguelike Deckbuilder · Roguelite · Anime · RPG</t>
        </is>
      </c>
    </row>
    <row r="55" ht="15" customHeight="1" s="78">
      <c r="A55" s="149" t="n">
        <v>2056210</v>
      </c>
      <c r="B55" s="149" t="inlineStr">
        <is>
          <t>LONESTAR</t>
        </is>
      </c>
      <c r="C55" s="149" t="n">
        <v>2025</v>
      </c>
      <c r="D55" s="150" t="n">
        <v>12.99</v>
      </c>
      <c r="E55" s="151" t="n">
        <v>162587</v>
      </c>
      <c r="F55" s="149" t="n">
        <v>91</v>
      </c>
      <c r="G55" s="149" t="inlineStr">
        <is>
          <t>Math Tide</t>
        </is>
      </c>
      <c r="H55" s="149" t="inlineStr">
        <is>
          <t>Roguelike · Strategy · Turn-Based Tactics · Card Battler · Roguelike Deckbuilder · Turn-Based Strategy · Turn-Based Combat · Replay Value</t>
        </is>
      </c>
    </row>
    <row r="56" ht="15" customHeight="1" s="78">
      <c r="A56" s="152" t="n">
        <v>2179850</v>
      </c>
      <c r="B56" s="152" t="inlineStr">
        <is>
          <t>Cobalt Core</t>
        </is>
      </c>
      <c r="C56" s="152" t="n">
        <v>2023</v>
      </c>
      <c r="D56" s="153" t="n">
        <v>19.99</v>
      </c>
      <c r="E56" s="154" t="n">
        <v>155304</v>
      </c>
      <c r="F56" s="152" t="n">
        <v>96</v>
      </c>
      <c r="G56" s="152" t="inlineStr">
        <is>
          <t>Rocket Rat Games</t>
        </is>
      </c>
      <c r="H56" s="152" t="inlineStr">
        <is>
          <t>Roguelike Deckbuilder · Card Game · Strategy · Roguelike · Turn-Based Strategy · Sci-fi · Pixel Graphics · Turn-Based Tactics</t>
        </is>
      </c>
    </row>
    <row r="57" ht="15" customHeight="1" s="78">
      <c r="A57" s="149" t="n">
        <v>2693930</v>
      </c>
      <c r="B57" s="149" t="inlineStr">
        <is>
          <t>Dice &amp; Fold</t>
        </is>
      </c>
      <c r="C57" s="149" t="n">
        <v>2024</v>
      </c>
      <c r="D57" s="150" t="n">
        <v>12.99</v>
      </c>
      <c r="E57" s="151" t="n">
        <v>151933</v>
      </c>
      <c r="F57" s="149" t="n">
        <v>83</v>
      </c>
      <c r="G57" s="149" t="inlineStr">
        <is>
          <t>Tinymice Entertainment</t>
        </is>
      </c>
      <c r="H57" s="149" t="inlineStr">
        <is>
          <t>Card Battler · Dungeon Crawler · Roguelike Deckbuilder · Turn-Based Combat · Roguelike · Dice · Deckbuilding · Solitaire</t>
        </is>
      </c>
    </row>
    <row r="58" ht="15" customHeight="1" s="78">
      <c r="A58" s="152" t="n">
        <v>3709430</v>
      </c>
      <c r="B58" s="152" t="inlineStr">
        <is>
          <t>Witch's Apocalyptic Journey</t>
        </is>
      </c>
      <c r="C58" s="152" t="n">
        <v>2026</v>
      </c>
      <c r="D58" s="153" t="n">
        <v>8.99</v>
      </c>
      <c r="E58" s="154" t="n">
        <v>142777</v>
      </c>
      <c r="F58" s="152" t="n">
        <v>85</v>
      </c>
      <c r="G58" s="152" t="inlineStr">
        <is>
          <t>MeowAlive</t>
        </is>
      </c>
      <c r="H58" s="152" t="inlineStr">
        <is>
          <t>Roguelike Deckbuilder · Card Game · Anime · Level Editor · Pixel Graphics · JRPG · Deckbuilding · Card Battler</t>
        </is>
      </c>
    </row>
    <row r="59" ht="15" customHeight="1" s="78">
      <c r="A59" s="149" t="n">
        <v>2719030</v>
      </c>
      <c r="B59" s="149" t="inlineStr">
        <is>
          <t>Meme Mayhem</t>
        </is>
      </c>
      <c r="C59" s="149" t="n">
        <v>2024</v>
      </c>
      <c r="D59" s="150" t="n">
        <v>16.99</v>
      </c>
      <c r="E59" s="151" t="n">
        <v>141139</v>
      </c>
      <c r="F59" s="149" t="n">
        <v>75</v>
      </c>
      <c r="G59" s="149" t="inlineStr">
        <is>
          <t>Cr3 Studio</t>
        </is>
      </c>
      <c r="H59" s="149" t="inlineStr">
        <is>
          <t>Roguelike Deckbuilder · Card Game · Roguelike · Singleplayer · Memes · Auto Battler · Roguelite · Strategy</t>
        </is>
      </c>
    </row>
    <row r="60" ht="15" customHeight="1" s="78">
      <c r="A60" s="152" t="n">
        <v>1668690</v>
      </c>
      <c r="B60" s="152" t="inlineStr">
        <is>
          <t>Alina of the Arena</t>
        </is>
      </c>
      <c r="C60" s="152" t="n">
        <v>2022</v>
      </c>
      <c r="D60" s="153" t="n">
        <v>14.99</v>
      </c>
      <c r="E60" s="154" t="n">
        <v>140526</v>
      </c>
      <c r="F60" s="152" t="n">
        <v>92</v>
      </c>
      <c r="G60" s="152" t="inlineStr">
        <is>
          <t>PINIX</t>
        </is>
      </c>
      <c r="H60" s="152" t="inlineStr">
        <is>
          <t>Roguelike Deckbuilder · Roguelike · Turn-Based Tactics · Hex Grid · Card Game · Roguelite · Strategy · Pixel Graphics</t>
        </is>
      </c>
    </row>
    <row r="61" ht="15" customHeight="1" s="78">
      <c r="A61" s="149" t="n">
        <v>1232580</v>
      </c>
      <c r="B61" s="149" t="inlineStr">
        <is>
          <t>Knock on the Coffin Lid</t>
        </is>
      </c>
      <c r="C61" s="149" t="n">
        <v>2024</v>
      </c>
      <c r="D61" s="150" t="n">
        <v>24.99</v>
      </c>
      <c r="E61" s="151" t="n">
        <v>135152</v>
      </c>
      <c r="F61" s="149" t="n">
        <v>84</v>
      </c>
      <c r="G61" s="149" t="inlineStr">
        <is>
          <t>RedBoon</t>
        </is>
      </c>
      <c r="H61" s="149" t="inlineStr">
        <is>
          <t>Fantasy · Dark Fantasy · Zombies · Roguelike Deckbuilder · Card Game · Card Battler · Roguelike · Deckbuilding</t>
        </is>
      </c>
    </row>
    <row r="62" ht="15" customHeight="1" s="78">
      <c r="A62" s="152" t="n">
        <v>3410180</v>
      </c>
      <c r="B62" s="152" t="inlineStr">
        <is>
          <t>Overlooting</t>
        </is>
      </c>
      <c r="C62" s="152" t="n">
        <v>2025</v>
      </c>
      <c r="D62" s="153" t="n">
        <v>9.99</v>
      </c>
      <c r="E62" s="154" t="n">
        <v>134671</v>
      </c>
      <c r="F62" s="152" t="n">
        <v>79</v>
      </c>
      <c r="G62" s="152" t="inlineStr">
        <is>
          <t>Posing Possums</t>
        </is>
      </c>
      <c r="H62" s="152" t="inlineStr">
        <is>
          <t>Inventory Management · Loot · Roguelite · Dungeon Crawler · Pixel Graphics · Roguelike · RPG · Character Customization</t>
        </is>
      </c>
    </row>
    <row r="63" ht="15" customHeight="1" s="78">
      <c r="A63" s="149" t="n">
        <v>919370</v>
      </c>
      <c r="B63" s="149" t="inlineStr">
        <is>
          <t>Overdungeon</t>
        </is>
      </c>
      <c r="C63" s="149" t="n">
        <v>2019</v>
      </c>
      <c r="D63" s="150" t="n">
        <v>14.99</v>
      </c>
      <c r="E63" s="151" t="n">
        <v>130951</v>
      </c>
      <c r="F63" s="149" t="n">
        <v>80</v>
      </c>
      <c r="G63" s="149" t="inlineStr">
        <is>
          <t>Pocketpair</t>
        </is>
      </c>
      <c r="H63" s="149" t="inlineStr">
        <is>
          <t>Strategy · Indie · Roguelike Deckbuilder · RPG · Casual · Card Battler · Deckbuilding · Roguelite</t>
        </is>
      </c>
    </row>
    <row r="64" ht="15" customHeight="1" s="78">
      <c r="A64" s="152" t="n">
        <v>3100370</v>
      </c>
      <c r="B64" s="152" t="inlineStr">
        <is>
          <t>Black Jacket</t>
        </is>
      </c>
      <c r="C64" s="152" t="n">
        <v>2026</v>
      </c>
      <c r="D64" s="153" t="n">
        <v>14.99</v>
      </c>
      <c r="E64" s="154" t="n">
        <v>120461</v>
      </c>
      <c r="F64" s="152" t="n">
        <v>91</v>
      </c>
      <c r="G64" s="152" t="inlineStr">
        <is>
          <t>Mi'pu'mi Games GmbH</t>
        </is>
      </c>
      <c r="H64" s="152" t="inlineStr">
        <is>
          <t>Card Game · Roguelike Deckbuilder · Roguelike · Deckbuilding · Singleplayer · Roguelite · Replay Value · Turn-Based</t>
        </is>
      </c>
    </row>
    <row r="65" ht="15" customHeight="1" s="78">
      <c r="A65" s="149" t="n">
        <v>3542380</v>
      </c>
      <c r="B65" s="149" t="inlineStr">
        <is>
          <t>Rune Dice</t>
        </is>
      </c>
      <c r="C65" s="149" t="n">
        <v>2026</v>
      </c>
      <c r="D65" s="150" t="n">
        <v>14.99</v>
      </c>
      <c r="E65" s="151" t="n">
        <v>112816</v>
      </c>
      <c r="F65" s="149" t="n">
        <v>81</v>
      </c>
      <c r="G65" s="149" t="inlineStr">
        <is>
          <t>Smart Raven Studio</t>
        </is>
      </c>
      <c r="H65" s="149" t="inlineStr">
        <is>
          <t>Roguelike Deckbuilder · Dungeon Crawler · Roguelite · Roguelike · RPG · Strategy · 2D · Casual</t>
        </is>
      </c>
    </row>
    <row r="66" ht="15" customHeight="1" s="78">
      <c r="A66" s="152" t="n">
        <v>823910</v>
      </c>
      <c r="B66" s="152" t="inlineStr">
        <is>
          <t>Last Evil</t>
        </is>
      </c>
      <c r="C66" s="152" t="n">
        <v>2020</v>
      </c>
      <c r="D66" s="153" t="n">
        <v>9.99</v>
      </c>
      <c r="E66" s="154" t="n">
        <v>111491</v>
      </c>
      <c r="F66" s="152" t="n">
        <v>94</v>
      </c>
      <c r="G66" s="152" t="inlineStr">
        <is>
          <t>Flametorch</t>
        </is>
      </c>
      <c r="H66" s="152" t="inlineStr">
        <is>
          <t>Sexual Content · Nudity · Hentai · Deckbuilding · Card Battler · Roguelike · Female Protagonist · Card Game</t>
        </is>
      </c>
    </row>
    <row r="67" ht="15" customHeight="1" s="78">
      <c r="A67" s="149" t="n">
        <v>1038370</v>
      </c>
      <c r="B67" s="149" t="inlineStr">
        <is>
          <t>Trials of Fire</t>
        </is>
      </c>
      <c r="C67" s="149" t="n">
        <v>2021</v>
      </c>
      <c r="D67" s="150" t="n">
        <v>19.99</v>
      </c>
      <c r="E67" s="151" t="n">
        <v>108539</v>
      </c>
      <c r="F67" s="149" t="n">
        <v>86</v>
      </c>
      <c r="G67" s="149" t="inlineStr">
        <is>
          <t>Whatboy Games</t>
        </is>
      </c>
      <c r="H67" s="149" t="inlineStr">
        <is>
          <t>Card Battler · Turn-Based Tactics · Tactical RPG · Roguelite · Dungeon Crawler · Turn-Based · Perma Death · Roguelike Deckbuilder</t>
        </is>
      </c>
    </row>
    <row r="68" ht="15" customHeight="1" s="78">
      <c r="A68" s="152" t="n">
        <v>1915510</v>
      </c>
      <c r="B68" s="152" t="inlineStr">
        <is>
          <t>Yao-Guai Hunter</t>
        </is>
      </c>
      <c r="C68" s="152" t="n">
        <v>2025</v>
      </c>
      <c r="D68" s="153" t="n">
        <v>16.99</v>
      </c>
      <c r="E68" s="154" t="n">
        <v>107130</v>
      </c>
      <c r="F68" s="152" t="n">
        <v>83</v>
      </c>
      <c r="G68" s="152" t="inlineStr">
        <is>
          <t>MyACG Studio</t>
        </is>
      </c>
      <c r="H68" s="152" t="inlineStr">
        <is>
          <t>Roguelike Deckbuilder · Card Game · Replay Value · Roguelike · Card Battler · Cartoony · Turn-Based · Deckbuilding</t>
        </is>
      </c>
    </row>
    <row r="69" ht="15" customHeight="1" s="78">
      <c r="A69" s="149" t="n">
        <v>2113050</v>
      </c>
      <c r="B69" s="149" t="inlineStr">
        <is>
          <t>RUNGORE: Beginner Experience</t>
        </is>
      </c>
      <c r="C69" s="149" t="n">
        <v>2022</v>
      </c>
      <c r="D69" s="150" t="n">
        <v>0</v>
      </c>
      <c r="E69" s="151" t="n">
        <v>104435</v>
      </c>
      <c r="F69" s="149" t="n">
        <v>91</v>
      </c>
      <c r="G69" s="149" t="inlineStr">
        <is>
          <t>YOUR_MOM'S_HP; RavenJm</t>
        </is>
      </c>
      <c r="H69" s="149" t="inlineStr">
        <is>
          <t>Roguelike Deckbuilder · Card Game · Card Battler · Roguelike · Strategy · Roguelite · Deckbuilding · Adventure</t>
        </is>
      </c>
    </row>
    <row r="70" ht="15" customHeight="1" s="78">
      <c r="A70" s="152" t="n">
        <v>3177890</v>
      </c>
      <c r="B70" s="152" t="inlineStr">
        <is>
          <t>Rana Card</t>
        </is>
      </c>
      <c r="C70" s="152" t="n">
        <v>2025</v>
      </c>
      <c r="D70" s="153" t="n">
        <v>12.99</v>
      </c>
      <c r="E70" s="154" t="n">
        <v>104406</v>
      </c>
      <c r="F70" s="152" t="n">
        <v>90</v>
      </c>
      <c r="G70" s="152" t="inlineStr">
        <is>
          <t>VisionRana</t>
        </is>
      </c>
      <c r="H70" s="152" t="inlineStr">
        <is>
          <t>Casual · Card Game · Roguelite · Deckbuilding · Strategy · Agriculture · 2D · Indie</t>
        </is>
      </c>
    </row>
    <row r="71" ht="15" customHeight="1" s="78">
      <c r="A71" s="149" t="n">
        <v>2644610</v>
      </c>
      <c r="B71" s="149" t="inlineStr">
        <is>
          <t>Menace from the Deep</t>
        </is>
      </c>
      <c r="C71" s="149" t="n">
        <v>2024</v>
      </c>
      <c r="D71" s="150" t="n">
        <v>16.99</v>
      </c>
      <c r="E71" s="151" t="n">
        <v>102559</v>
      </c>
      <c r="F71" s="149" t="n">
        <v>85</v>
      </c>
      <c r="G71" s="149" t="inlineStr">
        <is>
          <t>Flat Lab</t>
        </is>
      </c>
      <c r="H71" s="149" t="inlineStr">
        <is>
          <t>Lovecraftian · Roguelike Deckbuilder · Deckbuilding · Roguelike · Card Battler · Dark · Card Game · Indie</t>
        </is>
      </c>
    </row>
    <row r="72" ht="15" customHeight="1" s="78">
      <c r="A72" s="152" t="n">
        <v>3205380</v>
      </c>
      <c r="B72" s="152" t="inlineStr">
        <is>
          <t>Omelet You Cook</t>
        </is>
      </c>
      <c r="C72" s="152" t="n">
        <v>2026</v>
      </c>
      <c r="D72" s="153" t="n">
        <v>14.99</v>
      </c>
      <c r="E72" s="154" t="n">
        <v>101947</v>
      </c>
      <c r="F72" s="152" t="n">
        <v>97</v>
      </c>
      <c r="G72" s="152" t="inlineStr">
        <is>
          <t>Dan Schumacher; Hjalte Tagmose</t>
        </is>
      </c>
      <c r="H72" s="152" t="inlineStr">
        <is>
          <t>Roguelike Deckbuilder · Cooking · Physics · Replay Value · Roguelite · Cozy · Animals · Action Roguelike</t>
        </is>
      </c>
    </row>
    <row r="73" ht="15" customHeight="1" s="78">
      <c r="A73" s="149" t="n">
        <v>1260590</v>
      </c>
      <c r="B73" s="149" t="inlineStr">
        <is>
          <t>Hadean Tactics</t>
        </is>
      </c>
      <c r="C73" s="149" t="n">
        <v>2023</v>
      </c>
      <c r="D73" s="150" t="n">
        <v>19.99</v>
      </c>
      <c r="E73" s="151" t="n">
        <v>99480</v>
      </c>
      <c r="F73" s="149" t="n">
        <v>89</v>
      </c>
      <c r="G73" s="149" t="inlineStr">
        <is>
          <t>Emberfish Games</t>
        </is>
      </c>
      <c r="H73" s="149" t="inlineStr">
        <is>
          <t>Roguelike Deckbuilder · Auto Battler · Card Battler · Roguelike · Card Game · Deckbuilding · Dungeon Crawler · Roguelite</t>
        </is>
      </c>
    </row>
    <row r="74" ht="15" customHeight="1" s="78">
      <c r="A74" s="152" t="n">
        <v>2852980</v>
      </c>
      <c r="B74" s="152" t="inlineStr">
        <is>
          <t>Necroking</t>
        </is>
      </c>
      <c r="C74" s="152" t="n">
        <v>2024</v>
      </c>
      <c r="D74" s="153" t="n">
        <v>4.99</v>
      </c>
      <c r="E74" s="154" t="n">
        <v>98009</v>
      </c>
      <c r="F74" s="152" t="n">
        <v>82</v>
      </c>
      <c r="G74" s="152" t="inlineStr">
        <is>
          <t>KORO.GAMES</t>
        </is>
      </c>
      <c r="H74" s="152" t="inlineStr">
        <is>
          <t>Turn-Based Tactics · Roguelite · Deckbuilding · Card Game · Pixel Graphics · Roguelike Deckbuilder · Procedural Generation · Tactical</t>
        </is>
      </c>
    </row>
    <row r="75" ht="15" customHeight="1" s="78">
      <c r="A75" s="149" t="n">
        <v>1135810</v>
      </c>
      <c r="B75" s="149" t="inlineStr">
        <is>
          <t>Vault of the Void</t>
        </is>
      </c>
      <c r="C75" s="149" t="n">
        <v>2022</v>
      </c>
      <c r="D75" s="150" t="n">
        <v>17.99</v>
      </c>
      <c r="E75" s="151" t="n">
        <v>97111</v>
      </c>
      <c r="F75" s="149" t="n">
        <v>92</v>
      </c>
      <c r="G75" s="149" t="inlineStr">
        <is>
          <t>Spider Nest Games</t>
        </is>
      </c>
      <c r="H75" s="149" t="inlineStr">
        <is>
          <t>Indie · Roguelike Deckbuilder · Deckbuilding · Choices Matter · Strategy · Card Battler · Card Game · Roguelite</t>
        </is>
      </c>
    </row>
    <row r="76" ht="15" customHeight="1" s="78">
      <c r="A76" s="152" t="n">
        <v>1709900</v>
      </c>
      <c r="B76" s="152" t="inlineStr">
        <is>
          <t>Tower Tactics: Liberation</t>
        </is>
      </c>
      <c r="C76" s="152" t="n">
        <v>2023</v>
      </c>
      <c r="D76" s="153" t="n">
        <v>12.99</v>
      </c>
      <c r="E76" s="154" t="n">
        <v>94568</v>
      </c>
      <c r="F76" s="152" t="n">
        <v>88</v>
      </c>
      <c r="G76" s="152" t="inlineStr">
        <is>
          <t>asraworks</t>
        </is>
      </c>
      <c r="H76" s="152" t="inlineStr">
        <is>
          <t>Tower Defense · Roguelike Deckbuilder · Card Battler · Card Game · Roguelike · Deckbuilding · Strategy · Singleplayer</t>
        </is>
      </c>
    </row>
    <row r="77" ht="15" customHeight="1" s="78">
      <c r="A77" s="149" t="n">
        <v>1337890</v>
      </c>
      <c r="B77" s="149" t="inlineStr">
        <is>
          <t>Choice of Life: Middle Ages</t>
        </is>
      </c>
      <c r="C77" s="149" t="n">
        <v>2020</v>
      </c>
      <c r="D77" s="150" t="n">
        <v>4.99</v>
      </c>
      <c r="E77" s="151" t="n">
        <v>93862</v>
      </c>
      <c r="F77" s="149" t="n">
        <v>89</v>
      </c>
      <c r="G77" s="149" t="inlineStr">
        <is>
          <t>Blazing Planet Studio</t>
        </is>
      </c>
      <c r="H77" s="149" t="inlineStr">
        <is>
          <t>Card Game · Singleplayer · Choices Matter · Strategy · Indie · Medieval · Choose Your Own Adventure · Turn-Based</t>
        </is>
      </c>
    </row>
    <row r="78" ht="15" customHeight="1" s="78">
      <c r="A78" s="152" t="n">
        <v>1990110</v>
      </c>
      <c r="B78" s="152" t="inlineStr">
        <is>
          <t>SpellRogue</t>
        </is>
      </c>
      <c r="C78" s="152" t="n">
        <v>2025</v>
      </c>
      <c r="D78" s="153" t="n">
        <v>19.99</v>
      </c>
      <c r="E78" s="154" t="n">
        <v>93517</v>
      </c>
      <c r="F78" s="152" t="n">
        <v>87</v>
      </c>
      <c r="G78" s="152" t="inlineStr">
        <is>
          <t>Guidelight Games</t>
        </is>
      </c>
      <c r="H78" s="152" t="inlineStr">
        <is>
          <t>Deckbuilding · Dice · Roguelike Deckbuilder · Card Battler · Difficult · Card Game · Roguelite · Dark Fantasy</t>
        </is>
      </c>
    </row>
    <row r="79" ht="15" customHeight="1" s="78">
      <c r="A79" s="149" t="n">
        <v>3430340</v>
      </c>
      <c r="B79" s="149" t="inlineStr">
        <is>
          <t>Dice A Million</t>
        </is>
      </c>
      <c r="C79" s="149" t="n">
        <v>2026</v>
      </c>
      <c r="D79" s="150" t="n">
        <v>12.99</v>
      </c>
      <c r="E79" s="151" t="n">
        <v>92674</v>
      </c>
      <c r="F79" s="149" t="n">
        <v>90</v>
      </c>
      <c r="G79" s="149" t="inlineStr">
        <is>
          <t>countlessnights</t>
        </is>
      </c>
      <c r="H79" s="149" t="inlineStr">
        <is>
          <t>Dice · Roguelike · Roguelike Deckbuilder · Deckbuilding · Board Game · Singleplayer · Replay Value · Casual</t>
        </is>
      </c>
    </row>
    <row r="80" ht="15" customHeight="1" s="78">
      <c r="A80" s="152" t="n">
        <v>2697930</v>
      </c>
      <c r="B80" s="152" t="inlineStr">
        <is>
          <t>Commander Quest</t>
        </is>
      </c>
      <c r="C80" s="152" t="n">
        <v>2025</v>
      </c>
      <c r="D80" s="153" t="n">
        <v>11.99</v>
      </c>
      <c r="E80" s="154" t="n">
        <v>90624</v>
      </c>
      <c r="F80" s="152" t="n">
        <v>75</v>
      </c>
      <c r="G80" s="152" t="inlineStr">
        <is>
          <t>Flyway Games, Inc.</t>
        </is>
      </c>
      <c r="H80" s="152" t="inlineStr">
        <is>
          <t>War · Roguelike Deckbuilder · Card Game · Strategy · Replay Value · Deckbuilding · Roguelike · Card Battler</t>
        </is>
      </c>
    </row>
    <row r="81" ht="15" customHeight="1" s="78">
      <c r="A81" s="149" t="n">
        <v>1569090</v>
      </c>
      <c r="B81" s="149" t="inlineStr">
        <is>
          <t>Vivid Knight</t>
        </is>
      </c>
      <c r="C81" s="149" t="n">
        <v>2021</v>
      </c>
      <c r="D81" s="150" t="n">
        <v>14.99</v>
      </c>
      <c r="E81" s="151" t="n">
        <v>88909</v>
      </c>
      <c r="F81" s="149" t="n">
        <v>90</v>
      </c>
      <c r="G81" s="149" t="inlineStr">
        <is>
          <t>Asobism.Co.,Ltd</t>
        </is>
      </c>
      <c r="H81" s="149" t="inlineStr">
        <is>
          <t>Roguelike · Inventory Management · Roguelike Deckbuilder · Choices Matter · Difficult · Roguelite · 2D · Dungeon Crawler</t>
        </is>
      </c>
    </row>
    <row r="82" ht="15" customHeight="1" s="78">
      <c r="A82" s="152" t="n">
        <v>4075620</v>
      </c>
      <c r="B82" s="152" t="inlineStr">
        <is>
          <t>Combolands: Roguelike Citybuilder</t>
        </is>
      </c>
      <c r="C82" s="152" t="n">
        <v>2026</v>
      </c>
      <c r="D82" s="153" t="n">
        <v>9.99</v>
      </c>
      <c r="E82" s="154" t="n">
        <v>88076</v>
      </c>
      <c r="F82" s="152" t="n">
        <v>97</v>
      </c>
      <c r="G82" s="152" t="inlineStr">
        <is>
          <t>Crux Games</t>
        </is>
      </c>
      <c r="H82" s="152" t="inlineStr">
        <is>
          <t>Strategy · City Builder · Roguelike · Roguelite · Roguelike Deckbuilder · Pixel Graphics · Deckbuilding · 2D</t>
        </is>
      </c>
    </row>
    <row r="83" ht="15" customHeight="1" s="78">
      <c r="A83" s="149" t="n">
        <v>3066570</v>
      </c>
      <c r="B83" s="149" t="inlineStr">
        <is>
          <t>Aotenjo: Infinite Hands</t>
        </is>
      </c>
      <c r="C83" s="149" t="n">
        <v>2025</v>
      </c>
      <c r="D83" s="150" t="n">
        <v>9.99</v>
      </c>
      <c r="E83" s="151" t="n">
        <v>86470</v>
      </c>
      <c r="F83" s="149" t="n">
        <v>88</v>
      </c>
      <c r="G83" s="149" t="inlineStr">
        <is>
          <t>XO Cat</t>
        </is>
      </c>
      <c r="H83" s="149" t="inlineStr">
        <is>
          <t>Strategy · Roguelike Deckbuilder · Deckbuilding · Resource Management · Replay Value · Card Game · Roguelike · 2D</t>
        </is>
      </c>
    </row>
    <row r="84" ht="15" customHeight="1" s="78">
      <c r="A84" s="152" t="n">
        <v>2789810</v>
      </c>
      <c r="B84" s="152" t="inlineStr">
        <is>
          <t>Bingle Bingle</t>
        </is>
      </c>
      <c r="C84" s="152" t="n">
        <v>2026</v>
      </c>
      <c r="D84" s="153" t="n">
        <v>14.99</v>
      </c>
      <c r="E84" s="154" t="n">
        <v>86196</v>
      </c>
      <c r="F84" s="152" t="n">
        <v>82</v>
      </c>
      <c r="G84" s="152" t="inlineStr">
        <is>
          <t>Knitting Games</t>
        </is>
      </c>
      <c r="H84" s="152" t="inlineStr">
        <is>
          <t>Gambling · Replay Value · Pixel Graphics · Strategy · Turn-Based Tactics · Roguelite · Tabletop · 2D</t>
        </is>
      </c>
    </row>
    <row r="85" ht="15" customHeight="1" s="78">
      <c r="A85" s="149" t="n">
        <v>2735630</v>
      </c>
      <c r="B85" s="149" t="inlineStr">
        <is>
          <t>Frostrain</t>
        </is>
      </c>
      <c r="C85" s="149" t="n">
        <v>2024</v>
      </c>
      <c r="D85" s="150" t="n">
        <v>0</v>
      </c>
      <c r="E85" s="151" t="n">
        <v>85423</v>
      </c>
      <c r="F85" s="149" t="n">
        <v>92</v>
      </c>
      <c r="G85" s="149" t="inlineStr">
        <is>
          <t>STEWDIO; nemonan</t>
        </is>
      </c>
      <c r="H85" s="149" t="inlineStr">
        <is>
          <t>Roguelike Deckbuilder · Strategy · Trains · Deckbuilding · Post-apocalyptic · Simulation · Roguelike · Indie</t>
        </is>
      </c>
    </row>
    <row r="86" ht="15" customHeight="1" s="78">
      <c r="A86" s="152" t="n">
        <v>1140150</v>
      </c>
      <c r="B86" s="152" t="inlineStr">
        <is>
          <t>Touhou: Lost Branch of Legend</t>
        </is>
      </c>
      <c r="C86" s="152" t="n">
        <v>2022</v>
      </c>
      <c r="D86" s="153" t="n">
        <v>29.99</v>
      </c>
      <c r="E86" s="154" t="n">
        <v>81114</v>
      </c>
      <c r="F86" s="152" t="n">
        <v>93</v>
      </c>
      <c r="G86" s="152" t="inlineStr">
        <is>
          <t>Alioth Studio</t>
        </is>
      </c>
      <c r="H86" s="152" t="inlineStr">
        <is>
          <t>Roguelike Deckbuilder · Anime · Strategy · Card Battler · Roguelike · Card Game · Deckbuilding · Singleplayer</t>
        </is>
      </c>
    </row>
    <row r="87" ht="15" customHeight="1" s="78">
      <c r="A87" s="149" t="n">
        <v>1711950</v>
      </c>
      <c r="B87" s="149" t="inlineStr">
        <is>
          <t>GWENT: Rogue Mage (Single-Player Expansion)</t>
        </is>
      </c>
      <c r="C87" s="149" t="n">
        <v>2022</v>
      </c>
      <c r="D87" s="150" t="n">
        <v>9.99</v>
      </c>
      <c r="E87" s="151" t="n">
        <v>77425</v>
      </c>
      <c r="F87" s="149" t="n">
        <v>54</v>
      </c>
      <c r="G87" s="149" t="inlineStr">
        <is>
          <t>CD PROJEKT RED</t>
        </is>
      </c>
      <c r="H87" s="149" t="inlineStr">
        <is>
          <t>Strategy · Card Game · Board Game · Puzzle · Roguelike · Turn-Based Strategy · Card Battler · 2D</t>
        </is>
      </c>
    </row>
    <row r="88" ht="15" customHeight="1" s="78">
      <c r="A88" s="152" t="n">
        <v>2118810</v>
      </c>
      <c r="B88" s="152" t="inlineStr">
        <is>
          <t>Breachway</t>
        </is>
      </c>
      <c r="C88" s="152" t="n">
        <v>2024</v>
      </c>
      <c r="D88" s="153" t="n">
        <v>19.99</v>
      </c>
      <c r="E88" s="154" t="n">
        <v>76680</v>
      </c>
      <c r="F88" s="152" t="n">
        <v>76</v>
      </c>
      <c r="G88" s="152" t="inlineStr">
        <is>
          <t>Edgeflow Studio</t>
        </is>
      </c>
      <c r="H88" s="152" t="inlineStr">
        <is>
          <t>Strategy · Roguelike · Card Game · Deckbuilding · Roguelike Deckbuilder · Turn-Based Combat · Card Battler · Roguelite</t>
        </is>
      </c>
    </row>
    <row r="89" ht="15" customHeight="1" s="78">
      <c r="A89" s="149" t="n">
        <v>496620</v>
      </c>
      <c r="B89" s="149" t="inlineStr">
        <is>
          <t>Monster Slayers</t>
        </is>
      </c>
      <c r="C89" s="149" t="n">
        <v>2017</v>
      </c>
      <c r="D89" s="150" t="n">
        <v>8.99</v>
      </c>
      <c r="E89" s="151" t="n">
        <v>76393</v>
      </c>
      <c r="F89" s="149" t="n">
        <v>79</v>
      </c>
      <c r="G89" s="149" t="inlineStr">
        <is>
          <t>Nerdook Productions</t>
        </is>
      </c>
      <c r="H89" s="149" t="inlineStr">
        <is>
          <t>Roguelike Deckbuilder · Card Battler · Card Game · RPG · Roguelite · Deckbuilding · Turn-Based · Singleplayer</t>
        </is>
      </c>
    </row>
    <row r="90" ht="15" customHeight="1" s="78">
      <c r="A90" s="152" t="n">
        <v>2113040</v>
      </c>
      <c r="B90" s="152" t="inlineStr">
        <is>
          <t>RUNGORE</t>
        </is>
      </c>
      <c r="C90" s="152" t="n">
        <v>2024</v>
      </c>
      <c r="D90" s="153" t="n">
        <v>14.99</v>
      </c>
      <c r="E90" s="154" t="n">
        <v>73760</v>
      </c>
      <c r="F90" s="152" t="n">
        <v>86</v>
      </c>
      <c r="G90" s="152" t="inlineStr">
        <is>
          <t>YOUR_MOM'S_HP; RavenJm</t>
        </is>
      </c>
      <c r="H90" s="152" t="inlineStr">
        <is>
          <t>Trading Card Game · Indie · Card Game · Card Battler · Real Time Tactics · Difficult · Replay Value · Strategy RPG</t>
        </is>
      </c>
    </row>
    <row r="91" ht="15" customHeight="1" s="78">
      <c r="A91" s="149" t="n">
        <v>2917350</v>
      </c>
      <c r="B91" s="149" t="inlineStr">
        <is>
          <t>Spin Hero</t>
        </is>
      </c>
      <c r="C91" s="149" t="n">
        <v>2024</v>
      </c>
      <c r="D91" s="150" t="n">
        <v>7.99</v>
      </c>
      <c r="E91" s="151" t="n">
        <v>73712</v>
      </c>
      <c r="F91" s="149" t="n">
        <v>72</v>
      </c>
      <c r="G91" s="149" t="inlineStr">
        <is>
          <t>Sphere Studios</t>
        </is>
      </c>
      <c r="H91" s="149" t="inlineStr">
        <is>
          <t>Roguelike · Auto Battler · Roguelike Deckbuilder · Indie · Management · Choices Matter · Procedural Generation · Strategy</t>
        </is>
      </c>
    </row>
    <row r="92" ht="15" customHeight="1" s="78">
      <c r="A92" s="152" t="n">
        <v>3166810</v>
      </c>
      <c r="B92" s="152" t="inlineStr">
        <is>
          <t>Insider Trading</t>
        </is>
      </c>
      <c r="C92" s="152" t="n">
        <v>2026</v>
      </c>
      <c r="D92" s="153" t="n">
        <v>12.89</v>
      </c>
      <c r="E92" s="154" t="n">
        <v>73190</v>
      </c>
      <c r="F92" s="152" t="n">
        <v>81</v>
      </c>
      <c r="G92" s="152" t="inlineStr">
        <is>
          <t>Naiive</t>
        </is>
      </c>
      <c r="H92" s="152" t="inlineStr">
        <is>
          <t>Strategy · Roguelike Deckbuilder · Deckbuilding · Singleplayer · Roguelike · Turn-Based · Replay Value · Capitalism</t>
        </is>
      </c>
    </row>
    <row r="93" ht="15" customHeight="1" s="78">
      <c r="A93" s="149" t="n">
        <v>3481020</v>
      </c>
      <c r="B93" s="149" t="inlineStr">
        <is>
          <t>Apokerlypse</t>
        </is>
      </c>
      <c r="C93" s="149" t="n">
        <v>2026</v>
      </c>
      <c r="D93" s="150" t="n">
        <v>9.99</v>
      </c>
      <c r="E93" s="151" t="n">
        <v>72674</v>
      </c>
      <c r="F93" s="149" t="n">
        <v>82</v>
      </c>
      <c r="G93" s="149" t="inlineStr">
        <is>
          <t>Breaker Games</t>
        </is>
      </c>
      <c r="H93" s="149" t="inlineStr">
        <is>
          <t>Strategy · Roguelike · Roguelike Deckbuilder · Multiplayer · Singleplayer · Casual · Deckbuilding · Asynchronous Multiplayer</t>
        </is>
      </c>
    </row>
    <row r="94" ht="15" customHeight="1" s="78">
      <c r="A94" s="152" t="n">
        <v>2460070</v>
      </c>
      <c r="B94" s="152" t="inlineStr">
        <is>
          <t>Half-Demon Shinobi</t>
        </is>
      </c>
      <c r="C94" s="152" t="n">
        <v>2024</v>
      </c>
      <c r="D94" s="153" t="n">
        <v>10.99</v>
      </c>
      <c r="E94" s="154" t="n">
        <v>71618</v>
      </c>
      <c r="F94" s="152" t="n">
        <v>90</v>
      </c>
      <c r="G94" s="152" t="inlineStr">
        <is>
          <t>樹懶叫工作室; 紳士吉娃; Maker製造機</t>
        </is>
      </c>
      <c r="H94" s="152" t="inlineStr">
        <is>
          <t>Nudity · Sexual Content · Hentai · Roguelite · Card Game · Female Protagonist · Casual · Ninja</t>
        </is>
      </c>
    </row>
    <row r="95" ht="15" customHeight="1" s="78">
      <c r="A95" s="149" t="n">
        <v>1803400</v>
      </c>
      <c r="B95" s="149" t="inlineStr">
        <is>
          <t>Beneath Oresa</t>
        </is>
      </c>
      <c r="C95" s="149" t="n">
        <v>2023</v>
      </c>
      <c r="D95" s="150" t="n">
        <v>24.99</v>
      </c>
      <c r="E95" s="151" t="n">
        <v>69987</v>
      </c>
      <c r="F95" s="149" t="n">
        <v>76</v>
      </c>
      <c r="G95" s="149" t="inlineStr">
        <is>
          <t>Broken Spear Inc.</t>
        </is>
      </c>
      <c r="H95" s="149" t="inlineStr">
        <is>
          <t>Roguelike Deckbuilder · Deckbuilding · Card Game · Strategy · Roguelike · 3D · Hand-drawn · Third Person</t>
        </is>
      </c>
    </row>
    <row r="96" ht="15" customHeight="1" s="78">
      <c r="A96" s="152" t="n">
        <v>4150860</v>
      </c>
      <c r="B96" s="152" t="inlineStr">
        <is>
          <t>The Loopler</t>
        </is>
      </c>
      <c r="C96" s="152" t="n">
        <v>2026</v>
      </c>
      <c r="D96" s="153" t="n">
        <v>9.99</v>
      </c>
      <c r="E96" s="154" t="n">
        <v>68792</v>
      </c>
      <c r="F96" s="152" t="n">
        <v>89</v>
      </c>
      <c r="G96" s="152" t="inlineStr">
        <is>
          <t>Mheep</t>
        </is>
      </c>
      <c r="H96" s="152" t="inlineStr">
        <is>
          <t>Roguelike Deckbuilder · Roguelite · Strategy · Casual · Deckbuilding · Roguelike · Score Attack · Racing</t>
        </is>
      </c>
    </row>
    <row r="97" ht="15" customHeight="1" s="78">
      <c r="A97" s="149" t="n">
        <v>2464880</v>
      </c>
      <c r="B97" s="149" t="inlineStr">
        <is>
          <t>Terracards</t>
        </is>
      </c>
      <c r="C97" s="149" t="n">
        <v>2023</v>
      </c>
      <c r="D97" s="150" t="n">
        <v>8.99</v>
      </c>
      <c r="E97" s="151" t="n">
        <v>67594</v>
      </c>
      <c r="F97" s="149" t="n">
        <v>85</v>
      </c>
      <c r="G97" s="149" t="inlineStr">
        <is>
          <t>Pixel Purrfect</t>
        </is>
      </c>
      <c r="H97" s="149" t="inlineStr">
        <is>
          <t>Early Access · Strategy · Roguelike Deckbuilder · Deckbuilding · Roguelite · Casual · Management · Capitalism</t>
        </is>
      </c>
    </row>
    <row r="98" ht="15" customHeight="1" s="78">
      <c r="A98" s="152" t="n">
        <v>770100</v>
      </c>
      <c r="B98" s="152" t="inlineStr">
        <is>
          <t>One Deck Dungeon</t>
        </is>
      </c>
      <c r="C98" s="152" t="n">
        <v>2018</v>
      </c>
      <c r="D98" s="153" t="n">
        <v>9.99</v>
      </c>
      <c r="E98" s="154" t="n">
        <v>67171</v>
      </c>
      <c r="F98" s="152" t="n">
        <v>81</v>
      </c>
      <c r="G98" s="152" t="inlineStr">
        <is>
          <t>Handelabra Games Inc.</t>
        </is>
      </c>
      <c r="H98" s="152" t="inlineStr">
        <is>
          <t>Dungeon Crawler · Board Game · Roguelite · Perma Death · Card Game · Tabletop · Roguelike · Female Protagonist</t>
        </is>
      </c>
    </row>
    <row r="99" ht="15" customHeight="1" s="78">
      <c r="A99" s="149" t="n">
        <v>1996430</v>
      </c>
      <c r="B99" s="149" t="inlineStr">
        <is>
          <t>Dicefolk</t>
        </is>
      </c>
      <c r="C99" s="149" t="n">
        <v>2024</v>
      </c>
      <c r="D99" s="150" t="n">
        <v>14.99</v>
      </c>
      <c r="E99" s="151" t="n">
        <v>67082</v>
      </c>
      <c r="F99" s="149" t="n">
        <v>89</v>
      </c>
      <c r="G99" s="149" t="inlineStr">
        <is>
          <t>LEAP Game Studios; Tiny Ghoul</t>
        </is>
      </c>
      <c r="H99" s="149" t="inlineStr">
        <is>
          <t>Roguelike Deckbuilder · Turn-Based Combat · Roguelike · Turn-Based Strategy · Roguelite · Creature Collector · Strategy · Singleplayer</t>
        </is>
      </c>
    </row>
    <row r="100" ht="15" customHeight="1" s="78">
      <c r="A100" s="152" t="n">
        <v>3332600</v>
      </c>
      <c r="B100" s="152" t="inlineStr">
        <is>
          <t>Cubic Cosmos</t>
        </is>
      </c>
      <c r="C100" s="152" t="n">
        <v>2026</v>
      </c>
      <c r="D100" s="153" t="n">
        <v>12.99</v>
      </c>
      <c r="E100" s="154" t="n">
        <v>65827</v>
      </c>
      <c r="F100" s="152" t="n">
        <v>92</v>
      </c>
      <c r="G100" s="152" t="inlineStr">
        <is>
          <t>Inkstone Atelier</t>
        </is>
      </c>
      <c r="H100" s="152" t="inlineStr">
        <is>
          <t>Roguelike Deckbuilder · Deckbuilding · Card Battler · Roguelike · Card Game · Strategy · Tower Defense · Turn-Based Combat</t>
        </is>
      </c>
    </row>
    <row r="101" ht="15" customHeight="1" s="78">
      <c r="A101" s="149" t="n">
        <v>1769830</v>
      </c>
      <c r="B101" s="149" t="inlineStr">
        <is>
          <t>As We Descend</t>
        </is>
      </c>
      <c r="C101" s="149" t="n">
        <v>2025</v>
      </c>
      <c r="D101" s="150" t="n">
        <v>19.99</v>
      </c>
      <c r="E101" s="151" t="n">
        <v>64624</v>
      </c>
      <c r="F101" s="149" t="n">
        <v>87</v>
      </c>
      <c r="G101" s="149" t="inlineStr">
        <is>
          <t>Box Dragon</t>
        </is>
      </c>
      <c r="H101" s="149" t="inlineStr">
        <is>
          <t>Early Access · Roguelike Deckbuilder · Card Battler · Card Game · Roguelike · Deckbuilding · Turn-Based Tactics · Roguelite</t>
        </is>
      </c>
    </row>
    <row r="102" ht="15" customHeight="1" s="78">
      <c r="A102" s="152" t="n">
        <v>2760790</v>
      </c>
      <c r="B102" s="152" t="inlineStr">
        <is>
          <t>Another Farm Roguelike: Rebirth</t>
        </is>
      </c>
      <c r="C102" s="152" t="n">
        <v>2025</v>
      </c>
      <c r="D102" s="153" t="n">
        <v>6.99</v>
      </c>
      <c r="E102" s="154" t="n">
        <v>62489</v>
      </c>
      <c r="F102" s="152" t="n">
        <v>72</v>
      </c>
      <c r="G102" s="152" t="inlineStr">
        <is>
          <t>Zabbo Games</t>
        </is>
      </c>
      <c r="H102" s="152" t="inlineStr">
        <is>
          <t>Roguelike Deckbuilder · Turn-Based Strategy · Deckbuilding · Farming Sim · Strategy · Pixel Graphics · Roguelike · Roguelite</t>
        </is>
      </c>
    </row>
    <row r="103" ht="15" customHeight="1" s="78">
      <c r="A103" s="149" t="n">
        <v>2316330</v>
      </c>
      <c r="B103" s="149" t="inlineStr">
        <is>
          <t>Shogun Showdown: Prologue</t>
        </is>
      </c>
      <c r="C103" s="149" t="n">
        <v>2023</v>
      </c>
      <c r="D103" s="150" t="n">
        <v>0</v>
      </c>
      <c r="E103" s="151" t="n">
        <v>60734</v>
      </c>
      <c r="F103" s="149" t="n">
        <v>97</v>
      </c>
      <c r="G103" s="149" t="inlineStr">
        <is>
          <t>Roboatino</t>
        </is>
      </c>
      <c r="H103" s="149" t="inlineStr">
        <is>
          <t>Turn-Based Tactics · Roguelite · Martial Arts · Difficult · Card Game · Free to Play · Roguelike · Action RPG</t>
        </is>
      </c>
    </row>
    <row r="104" ht="15" customHeight="1" s="78">
      <c r="A104" s="152" t="n">
        <v>2655590</v>
      </c>
      <c r="B104" s="152" t="inlineStr">
        <is>
          <t>Kingdom's Deck</t>
        </is>
      </c>
      <c r="C104" s="152" t="n">
        <v>2025</v>
      </c>
      <c r="D104" s="153" t="n">
        <v>9.99</v>
      </c>
      <c r="E104" s="154" t="n">
        <v>58465</v>
      </c>
      <c r="F104" s="152" t="n">
        <v>73</v>
      </c>
      <c r="G104" s="152" t="inlineStr">
        <is>
          <t>Ivan Aco</t>
        </is>
      </c>
      <c r="H104" s="152" t="inlineStr">
        <is>
          <t>City Builder · Base Building · Roguelike Deckbuilder · Card Game · Colony Sim · Simulation · Survival · Tower Defense</t>
        </is>
      </c>
    </row>
    <row r="105" ht="15" customHeight="1" s="78">
      <c r="A105" s="149" t="n">
        <v>4206270</v>
      </c>
      <c r="B105" s="149" t="inlineStr">
        <is>
          <t>Wireworks</t>
        </is>
      </c>
      <c r="C105" s="149" t="n">
        <v>2026</v>
      </c>
      <c r="D105" s="150" t="n">
        <v>6.99</v>
      </c>
      <c r="E105" s="151" t="n">
        <v>56782</v>
      </c>
      <c r="F105" s="149" t="n">
        <v>90</v>
      </c>
      <c r="G105" s="149" t="inlineStr">
        <is>
          <t>JJJ</t>
        </is>
      </c>
      <c r="H105" s="149" t="inlineStr">
        <is>
          <t>Roguelike Deckbuilder · Tower Defense · Auto Battler · Automation · Strategy · Inventory Management · Bullet Heaven · Programming</t>
        </is>
      </c>
    </row>
    <row r="106" ht="15" customHeight="1" s="78">
      <c r="A106" s="152" t="n">
        <v>1389360</v>
      </c>
      <c r="B106" s="152" t="inlineStr">
        <is>
          <t>Mech Armada</t>
        </is>
      </c>
      <c r="C106" s="152" t="n">
        <v>2022</v>
      </c>
      <c r="D106" s="153" t="n">
        <v>19.99</v>
      </c>
      <c r="E106" s="154" t="n">
        <v>56214</v>
      </c>
      <c r="F106" s="152" t="n">
        <v>81</v>
      </c>
      <c r="G106" s="152" t="inlineStr">
        <is>
          <t>Lioncode Games</t>
        </is>
      </c>
      <c r="H106" s="152" t="inlineStr">
        <is>
          <t>Turn-Based Tactics · Mechs · Roguelite · Deckbuilding · Turn-Based Strategy · Roguelike · Character Customization · 3D</t>
        </is>
      </c>
    </row>
    <row r="107" ht="15" customHeight="1" s="78">
      <c r="A107" s="149" t="n">
        <v>1266430</v>
      </c>
      <c r="B107" s="149" t="inlineStr">
        <is>
          <t>Lost In Fantaland</t>
        </is>
      </c>
      <c r="C107" s="149" t="n">
        <v>2024</v>
      </c>
      <c r="D107" s="150" t="n">
        <v>13.99</v>
      </c>
      <c r="E107" s="151" t="n">
        <v>54761</v>
      </c>
      <c r="F107" s="149" t="n">
        <v>85</v>
      </c>
      <c r="G107" s="149" t="inlineStr">
        <is>
          <t>Supernature Studio</t>
        </is>
      </c>
      <c r="H107" s="149" t="inlineStr">
        <is>
          <t>Roguelike Deckbuilder · Strategy · Pixel Graphics · RPG · Indie · Deckbuilding · Card Battler · Turn-Based Tactics</t>
        </is>
      </c>
    </row>
    <row r="108" ht="15" customHeight="1" s="78">
      <c r="A108" s="152" t="n">
        <v>2691350</v>
      </c>
      <c r="B108" s="152" t="inlineStr">
        <is>
          <t>.Forty-Five</t>
        </is>
      </c>
      <c r="C108" s="152" t="n">
        <v>2024</v>
      </c>
      <c r="D108" s="153" t="n">
        <v>0</v>
      </c>
      <c r="E108" s="154" t="n">
        <v>54704</v>
      </c>
      <c r="F108" s="152" t="n">
        <v>95</v>
      </c>
      <c r="G108" s="152" t="inlineStr">
        <is>
          <t>Microwave Studios</t>
        </is>
      </c>
      <c r="H108" s="152" t="inlineStr">
        <is>
          <t>Roguelike Deckbuilder · Western · Free to Play · Card Game · Roguelite · Roguelike · Deckbuilding · Trading Card Game</t>
        </is>
      </c>
    </row>
    <row r="109" ht="15" customHeight="1" s="78">
      <c r="A109" s="149" t="n">
        <v>2074480</v>
      </c>
      <c r="B109" s="149" t="inlineStr">
        <is>
          <t>Sunset Routes</t>
        </is>
      </c>
      <c r="C109" s="149" t="n">
        <v>2022</v>
      </c>
      <c r="D109" s="150" t="n">
        <v>0.99</v>
      </c>
      <c r="E109" s="151" t="n">
        <v>53924</v>
      </c>
      <c r="F109" s="149" t="n">
        <v>95</v>
      </c>
      <c r="G109" s="149" t="inlineStr">
        <is>
          <t>Renka</t>
        </is>
      </c>
      <c r="H109" s="149" t="inlineStr">
        <is>
          <t>Strategy · Anime · Roguelike Deckbuilder · Roguelite · Sailing · Deckbuilding · Casual · Female Protagonist</t>
        </is>
      </c>
    </row>
    <row r="110" ht="15" customHeight="1" s="78">
      <c r="A110" s="152" t="n">
        <v>1573630</v>
      </c>
      <c r="B110" s="152" t="inlineStr">
        <is>
          <t>Choice of Life: Middle Ages 2</t>
        </is>
      </c>
      <c r="C110" s="152" t="n">
        <v>2022</v>
      </c>
      <c r="D110" s="153" t="n">
        <v>6.99</v>
      </c>
      <c r="E110" s="154" t="n">
        <v>50626</v>
      </c>
      <c r="F110" s="152" t="n">
        <v>94</v>
      </c>
      <c r="G110" s="152" t="inlineStr">
        <is>
          <t>Blazing Planet Studio</t>
        </is>
      </c>
      <c r="H110" s="152" t="inlineStr">
        <is>
          <t>Adventure · Singleplayer · RPG · Simulation · Card Game · Strategy · Choices Matter · Casual</t>
        </is>
      </c>
    </row>
    <row r="111" ht="15" customHeight="1" s="78">
      <c r="A111" s="149" t="n">
        <v>3393750</v>
      </c>
      <c r="B111" s="149" t="inlineStr">
        <is>
          <t>我的人生</t>
        </is>
      </c>
      <c r="C111" s="149" t="n">
        <v>2025</v>
      </c>
      <c r="D111" s="150" t="n">
        <v>6.99</v>
      </c>
      <c r="E111" s="151" t="n">
        <v>50391</v>
      </c>
      <c r="F111" s="149" t="n">
        <v>67</v>
      </c>
      <c r="G111" s="149" t="inlineStr">
        <is>
          <t>ZZ Games</t>
        </is>
      </c>
      <c r="H111" s="149" t="inlineStr">
        <is>
          <t>Roguelike Deckbuilder · Card Game · Life Sim · Indie · Deckbuilding · Funny · Multiple Endings · Simulation</t>
        </is>
      </c>
    </row>
    <row r="112" ht="15" customHeight="1" s="78">
      <c r="A112" s="152" t="n">
        <v>2305500</v>
      </c>
      <c r="B112" s="152" t="inlineStr">
        <is>
          <t>FAIRY TAIL: DUNGEONS</t>
        </is>
      </c>
      <c r="C112" s="152" t="n">
        <v>2024</v>
      </c>
      <c r="D112" s="153" t="n">
        <v>13.99</v>
      </c>
      <c r="E112" s="154" t="n">
        <v>48987</v>
      </c>
      <c r="F112" s="152" t="n">
        <v>93</v>
      </c>
      <c r="G112" s="152" t="inlineStr">
        <is>
          <t>ginolabo</t>
        </is>
      </c>
      <c r="H112" s="152" t="inlineStr">
        <is>
          <t>Roguelike Deckbuilder · Roguelite · Turn-Based · Replay Value · Card Game · Indie · Pixel Graphics · 2D</t>
        </is>
      </c>
    </row>
    <row r="113" ht="15" customHeight="1" s="78">
      <c r="A113" s="149" t="n">
        <v>536040</v>
      </c>
      <c r="B113" s="149" t="inlineStr">
        <is>
          <t>Cards of Cthulhu</t>
        </is>
      </c>
      <c r="C113" s="149" t="n">
        <v>2016</v>
      </c>
      <c r="D113" s="150" t="n">
        <v>0.99</v>
      </c>
      <c r="E113" s="151" t="n">
        <v>48949</v>
      </c>
      <c r="F113" s="149" t="n">
        <v>74</v>
      </c>
      <c r="G113" s="149" t="inlineStr">
        <is>
          <t>Awoker Games</t>
        </is>
      </c>
      <c r="H113" s="149" t="inlineStr">
        <is>
          <t>Action Roguelike · Roguelike Deckbuilder · Card Battler · 3D · Card Game · Deckbuilding · Roguelike · Real-Time</t>
        </is>
      </c>
    </row>
    <row r="114" ht="15" customHeight="1" s="78">
      <c r="A114" s="152" t="n">
        <v>2825880</v>
      </c>
      <c r="B114" s="152" t="inlineStr">
        <is>
          <t>Death Howl</t>
        </is>
      </c>
      <c r="C114" s="152" t="n">
        <v>2025</v>
      </c>
      <c r="D114" s="153" t="n">
        <v>19.99</v>
      </c>
      <c r="E114" s="154" t="n">
        <v>47423</v>
      </c>
      <c r="F114" s="152" t="n">
        <v>92</v>
      </c>
      <c r="G114" s="152" t="inlineStr">
        <is>
          <t>The Outer Zone</t>
        </is>
      </c>
      <c r="H114" s="152" t="inlineStr">
        <is>
          <t>Deckbuilding · Card Game · Turn-Based · Tactical · Souls-like · Surreal · Female Protagonist · Atmospheric</t>
        </is>
      </c>
    </row>
    <row r="115" ht="15" customHeight="1" s="78">
      <c r="A115" s="149" t="n">
        <v>2116060</v>
      </c>
      <c r="B115" s="149" t="inlineStr">
        <is>
          <t>Epic Auto Towers</t>
        </is>
      </c>
      <c r="C115" s="149" t="n">
        <v>2024</v>
      </c>
      <c r="D115" s="150" t="n">
        <v>14.99</v>
      </c>
      <c r="E115" s="151" t="n">
        <v>44229</v>
      </c>
      <c r="F115" s="149" t="n">
        <v>71</v>
      </c>
      <c r="G115" s="149" t="inlineStr">
        <is>
          <t>Aleksandr Golovkin</t>
        </is>
      </c>
      <c r="H115" s="149" t="inlineStr">
        <is>
          <t>Early Access · Auto Battler · Deckbuilding · Cute · Strategy · Roguelike · Colorful · Card Game</t>
        </is>
      </c>
    </row>
    <row r="116" ht="15" customHeight="1" s="78">
      <c r="A116" s="152" t="n">
        <v>3734290</v>
      </c>
      <c r="B116" s="152" t="inlineStr">
        <is>
          <t>Goblin Sushi</t>
        </is>
      </c>
      <c r="C116" s="152" t="n">
        <v>2026</v>
      </c>
      <c r="D116" s="153" t="n">
        <v>9.99</v>
      </c>
      <c r="E116" s="154" t="n">
        <v>41814</v>
      </c>
      <c r="F116" s="152" t="n">
        <v>90</v>
      </c>
      <c r="G116" s="152" t="inlineStr">
        <is>
          <t>Old Cake Factory</t>
        </is>
      </c>
      <c r="H116" s="152" t="inlineStr">
        <is>
          <t>Early Access · Retro · Action · Cooking · Dungeon Crawler · Roguelike Deckbuilder · Roguelike · Deckbuilding</t>
        </is>
      </c>
    </row>
    <row r="117" ht="15" customHeight="1" s="78">
      <c r="A117" s="149" t="n">
        <v>2311990</v>
      </c>
      <c r="B117" s="149" t="inlineStr">
        <is>
          <t>Rack and Slay</t>
        </is>
      </c>
      <c r="C117" s="149" t="n">
        <v>2024</v>
      </c>
      <c r="D117" s="150" t="n">
        <v>5.99</v>
      </c>
      <c r="E117" s="151" t="n">
        <v>41403</v>
      </c>
      <c r="F117" s="149" t="n">
        <v>91</v>
      </c>
      <c r="G117" s="149" t="inlineStr">
        <is>
          <t>Ludokultur</t>
        </is>
      </c>
      <c r="H117" s="149" t="inlineStr">
        <is>
          <t>Roguelike · Billiards · Dungeon Crawler · Roguelite · Strategy · 2D · Replay Value · Tactical</t>
        </is>
      </c>
    </row>
    <row r="118" ht="15" customHeight="1" s="78">
      <c r="A118" s="152" t="n">
        <v>3219010</v>
      </c>
      <c r="B118" s="152" t="inlineStr">
        <is>
          <t>Fogpiercer</t>
        </is>
      </c>
      <c r="C118" s="152" t="n">
        <v>2026</v>
      </c>
      <c r="D118" s="153" t="n">
        <v>19.99</v>
      </c>
      <c r="E118" s="154" t="n">
        <v>40168</v>
      </c>
      <c r="F118" s="152" t="n">
        <v>84</v>
      </c>
      <c r="G118" s="152" t="inlineStr">
        <is>
          <t>Mad Cookies Studio</t>
        </is>
      </c>
      <c r="H118" s="152" t="inlineStr">
        <is>
          <t>Strategy · Roguelike · Card Game · Deckbuilding · Roguelike Deckbuilder · Turn-Based Combat · Card Battler · Roguelite</t>
        </is>
      </c>
    </row>
    <row r="119" ht="15" customHeight="1" s="78">
      <c r="A119" s="149" t="n">
        <v>1638390</v>
      </c>
      <c r="B119" s="149" t="inlineStr">
        <is>
          <t>Indies' Lies</t>
        </is>
      </c>
      <c r="C119" s="149" t="n">
        <v>2023</v>
      </c>
      <c r="D119" s="150" t="n">
        <v>14.99</v>
      </c>
      <c r="E119" s="151" t="n">
        <v>39890</v>
      </c>
      <c r="F119" s="149" t="n">
        <v>76</v>
      </c>
      <c r="G119" s="149" t="inlineStr">
        <is>
          <t>Fun Square Games</t>
        </is>
      </c>
      <c r="H119" s="149" t="inlineStr">
        <is>
          <t>Roguelike Deckbuilder · Card Game · Card Battler · Deckbuilding · Roguelike · Turn-Based · Strategy · Singleplayer</t>
        </is>
      </c>
    </row>
    <row r="120" ht="15" customHeight="1" s="78">
      <c r="A120" s="152" t="n">
        <v>2746910</v>
      </c>
      <c r="B120" s="152" t="inlineStr">
        <is>
          <t>Three Kingdoms: The Blood Moon</t>
        </is>
      </c>
      <c r="C120" s="152" t="n">
        <v>2025</v>
      </c>
      <c r="D120" s="153" t="n">
        <v>8.99</v>
      </c>
      <c r="E120" s="154" t="n">
        <v>39853</v>
      </c>
      <c r="F120" s="152" t="n">
        <v>92</v>
      </c>
      <c r="G120" s="152" t="inlineStr">
        <is>
          <t>Kygua Tech</t>
        </is>
      </c>
      <c r="H120" s="152" t="inlineStr">
        <is>
          <t>Roguelike Deckbuilder · Deckbuilding · Card Game · Card Battler · Turn-Based Strategy · Strategy · Turn-Based · Roguelike</t>
        </is>
      </c>
    </row>
    <row r="121" ht="15" customHeight="1" s="78">
      <c r="A121" s="149" t="n">
        <v>1142080</v>
      </c>
      <c r="B121" s="149" t="inlineStr">
        <is>
          <t>Pawnbarian</t>
        </is>
      </c>
      <c r="C121" s="149" t="n">
        <v>2021</v>
      </c>
      <c r="D121" s="150" t="n">
        <v>9.99</v>
      </c>
      <c r="E121" s="151" t="n">
        <v>39079</v>
      </c>
      <c r="F121" s="149" t="n">
        <v>89</v>
      </c>
      <c r="G121" s="149" t="inlineStr">
        <is>
          <t>j4nw</t>
        </is>
      </c>
      <c r="H121" s="149" t="inlineStr">
        <is>
          <t>Roguelike · Turn-Based Combat · Chess · Card Game · Puzzle · Board Game · Roguelite · Strategy</t>
        </is>
      </c>
    </row>
    <row r="122" ht="15" customHeight="1" s="78">
      <c r="A122" s="152" t="n">
        <v>1071140</v>
      </c>
      <c r="B122" s="152" t="inlineStr">
        <is>
          <t>ORX</t>
        </is>
      </c>
      <c r="C122" s="152" t="n">
        <v>2022</v>
      </c>
      <c r="D122" s="153" t="n">
        <v>19.99</v>
      </c>
      <c r="E122" s="154" t="n">
        <v>38544</v>
      </c>
      <c r="F122" s="152" t="n">
        <v>69</v>
      </c>
      <c r="G122" s="152" t="inlineStr">
        <is>
          <t>johnbell</t>
        </is>
      </c>
      <c r="H122" s="152" t="inlineStr">
        <is>
          <t>Roguelike Deckbuilder · Tower Defense · Building · Card Game · RPG · Roguelike · Replay Value · Deckbuilding</t>
        </is>
      </c>
    </row>
    <row r="123" ht="15" customHeight="1" s="78">
      <c r="A123" s="149" t="n">
        <v>3917700</v>
      </c>
      <c r="B123" s="149" t="inlineStr">
        <is>
          <t>Dicevaders</t>
        </is>
      </c>
      <c r="C123" s="149" t="n">
        <v>2026</v>
      </c>
      <c r="D123" s="150" t="n">
        <v>14.99</v>
      </c>
      <c r="E123" s="151" t="n">
        <v>37543</v>
      </c>
      <c r="F123" s="149" t="n">
        <v>97</v>
      </c>
      <c r="G123" s="149" t="inlineStr">
        <is>
          <t>Pengonauts</t>
        </is>
      </c>
      <c r="H123" s="149" t="inlineStr">
        <is>
          <t>Roguelike Deckbuilder · Deckbuilding · Roguelike · Strategy · Casual · Singleplayer · Turn-Based Strategy · Indie</t>
        </is>
      </c>
    </row>
    <row r="124" ht="15" customHeight="1" s="78">
      <c r="A124" s="152" t="n">
        <v>3519530</v>
      </c>
      <c r="B124" s="152" t="inlineStr">
        <is>
          <t>Merge Maestro</t>
        </is>
      </c>
      <c r="C124" s="152" t="n">
        <v>2025</v>
      </c>
      <c r="D124" s="153" t="n">
        <v>3.99</v>
      </c>
      <c r="E124" s="154" t="n">
        <v>36915</v>
      </c>
      <c r="F124" s="152" t="n">
        <v>94</v>
      </c>
      <c r="G124" s="152" t="inlineStr">
        <is>
          <t>Stingless</t>
        </is>
      </c>
      <c r="H124" s="152" t="inlineStr">
        <is>
          <t>Roguelike Deckbuilder · Strategy · Roguelike · Arcade · Deckbuilding · Turn-Based Strategy · Indie · Singleplayer</t>
        </is>
      </c>
    </row>
    <row r="125" ht="15" customHeight="1" s="78">
      <c r="A125" s="149" t="n">
        <v>1682060</v>
      </c>
      <c r="B125" s="149" t="inlineStr">
        <is>
          <t>Warriors of the Nile 2</t>
        </is>
      </c>
      <c r="C125" s="149" t="n">
        <v>2022</v>
      </c>
      <c r="D125" s="150" t="n">
        <v>14.99</v>
      </c>
      <c r="E125" s="151" t="n">
        <v>36823</v>
      </c>
      <c r="F125" s="149" t="n">
        <v>89</v>
      </c>
      <c r="G125" s="149" t="inlineStr">
        <is>
          <t>Stove Studio</t>
        </is>
      </c>
      <c r="H125" s="149" t="inlineStr">
        <is>
          <t>Strategy · Card Game · Turn-Based Strategy · Roguelike · Turn-Based Tactics · Wargame · Deckbuilding · Roguelike Deckbuilder</t>
        </is>
      </c>
    </row>
    <row r="126" ht="15" customHeight="1" s="78">
      <c r="A126" s="152" t="n">
        <v>1585910</v>
      </c>
      <c r="B126" s="152" t="inlineStr">
        <is>
          <t>Roll</t>
        </is>
      </c>
      <c r="C126" s="152" t="n">
        <v>2021</v>
      </c>
      <c r="D126" s="153" t="n">
        <v>4.99</v>
      </c>
      <c r="E126" s="154" t="n">
        <v>35846</v>
      </c>
      <c r="F126" s="152" t="n">
        <v>92</v>
      </c>
      <c r="G126" s="152" t="inlineStr">
        <is>
          <t>Joseph Distler</t>
        </is>
      </c>
      <c r="H126" s="152" t="inlineStr">
        <is>
          <t>Dice · Roguelike Deckbuilder · Strategy · Replay Value · Score Attack · Relaxing · Minimalist · Gambling</t>
        </is>
      </c>
    </row>
    <row r="127" ht="15" customHeight="1" s="78">
      <c r="A127" s="149" t="n">
        <v>2652600</v>
      </c>
      <c r="B127" s="149" t="inlineStr">
        <is>
          <t>SealChain: Call of Blood</t>
        </is>
      </c>
      <c r="C127" s="149" t="n">
        <v>2026</v>
      </c>
      <c r="D127" s="150" t="n">
        <v>8.99</v>
      </c>
      <c r="E127" s="151" t="n">
        <v>35654</v>
      </c>
      <c r="F127" s="149" t="n">
        <v>57</v>
      </c>
      <c r="G127" s="149" t="inlineStr">
        <is>
          <t>AliveGameStudio</t>
        </is>
      </c>
      <c r="H127" s="149" t="inlineStr">
        <is>
          <t>Roguelike · Lovecraftian · Roguelike Deckbuilder · Bullet Hell · Inventory Management · RPG · Gun Customization · Singleplayer</t>
        </is>
      </c>
    </row>
    <row r="128" ht="15" customHeight="1" s="78">
      <c r="A128" s="152" t="n">
        <v>930780</v>
      </c>
      <c r="B128" s="152" t="inlineStr">
        <is>
          <t>Blood Card</t>
        </is>
      </c>
      <c r="C128" s="152" t="n">
        <v>2019</v>
      </c>
      <c r="D128" s="153" t="n">
        <v>14.99</v>
      </c>
      <c r="E128" s="154" t="n">
        <v>35539</v>
      </c>
      <c r="F128" s="152" t="n">
        <v>81</v>
      </c>
      <c r="G128" s="152" t="inlineStr">
        <is>
          <t>Pixel Cattle Games</t>
        </is>
      </c>
      <c r="H128" s="152" t="inlineStr">
        <is>
          <t>Card Battler · Roguelike Deckbuilder · Card Game · Deckbuilding · Roguelike · Turn-Based · Strategy · Singleplayer</t>
        </is>
      </c>
    </row>
    <row r="129" ht="15" customHeight="1" s="78">
      <c r="A129" s="149" t="n">
        <v>3573070</v>
      </c>
      <c r="B129" s="149" t="inlineStr">
        <is>
          <t>Toy Smash Kaboom!</t>
        </is>
      </c>
      <c r="C129" s="149" t="n">
        <v>2025</v>
      </c>
      <c r="D129" s="150" t="n">
        <v>13.99</v>
      </c>
      <c r="E129" s="151" t="n">
        <v>34997</v>
      </c>
      <c r="F129" s="149" t="n">
        <v>86</v>
      </c>
      <c r="G129" s="149" t="inlineStr">
        <is>
          <t>Free Particle</t>
        </is>
      </c>
      <c r="H129" s="149" t="inlineStr">
        <is>
          <t>Auto Battler · PvP · Multiplayer · Asynchronous Multiplayer · Roguelike Deckbuilder · Anime · Cartoon · Casual</t>
        </is>
      </c>
    </row>
    <row r="130" ht="15" customHeight="1" s="78">
      <c r="A130" s="152" t="n">
        <v>2348090</v>
      </c>
      <c r="B130" s="152" t="inlineStr">
        <is>
          <t>Crop Rotation</t>
        </is>
      </c>
      <c r="C130" s="152" t="n">
        <v>2023</v>
      </c>
      <c r="D130" s="153" t="n">
        <v>9.99</v>
      </c>
      <c r="E130" s="154" t="n">
        <v>34690</v>
      </c>
      <c r="F130" s="152" t="n">
        <v>94</v>
      </c>
      <c r="G130" s="152" t="inlineStr">
        <is>
          <t>Sprouting Potato</t>
        </is>
      </c>
      <c r="H130" s="152" t="inlineStr">
        <is>
          <t>Roguelike Deckbuilder · Deckbuilding · Card Game · Auto Battler · Farming · Roguelike · Strategy · 2D</t>
        </is>
      </c>
    </row>
    <row r="131" ht="15" customHeight="1" s="78">
      <c r="A131" s="149" t="n">
        <v>1016730</v>
      </c>
      <c r="B131" s="149" t="inlineStr">
        <is>
          <t>Deck of Ashes</t>
        </is>
      </c>
      <c r="C131" s="149" t="n">
        <v>2020</v>
      </c>
      <c r="D131" s="150" t="n">
        <v>19.99</v>
      </c>
      <c r="E131" s="151" t="n">
        <v>34689</v>
      </c>
      <c r="F131" s="149" t="n">
        <v>72</v>
      </c>
      <c r="G131" s="149" t="inlineStr">
        <is>
          <t>AYGames</t>
        </is>
      </c>
      <c r="H131" s="149" t="inlineStr">
        <is>
          <t>Card Battler · RPG · Indie · Deckbuilding · Roguelike Deckbuilder · Strategy · Adventure · Roguelite</t>
        </is>
      </c>
    </row>
    <row r="132" ht="15" customHeight="1" s="78">
      <c r="A132" s="152" t="n">
        <v>3282420</v>
      </c>
      <c r="B132" s="152" t="inlineStr">
        <is>
          <t>Zoominoes</t>
        </is>
      </c>
      <c r="C132" s="152" t="n">
        <v>2026</v>
      </c>
      <c r="D132" s="153" t="n">
        <v>14.99</v>
      </c>
      <c r="E132" s="154" t="n">
        <v>33431</v>
      </c>
      <c r="F132" s="152" t="n">
        <v>91</v>
      </c>
      <c r="G132" s="152" t="inlineStr">
        <is>
          <t>Starlight Games inc.</t>
        </is>
      </c>
      <c r="H132" s="152" t="inlineStr">
        <is>
          <t>Roguelike Deckbuilder · Deckbuilding · Card Game · Roguelite · Roguelike · Strategy · Singleplayer · Turn-Based Tactics</t>
        </is>
      </c>
    </row>
    <row r="133" ht="15" customHeight="1" s="78">
      <c r="A133" s="149" t="n">
        <v>3141720</v>
      </c>
      <c r="B133" s="149" t="inlineStr">
        <is>
          <t>Monster Battles</t>
        </is>
      </c>
      <c r="C133" s="149" t="n">
        <v>2025</v>
      </c>
      <c r="D133" s="150" t="n">
        <v>14.99</v>
      </c>
      <c r="E133" s="151" t="n">
        <v>32923</v>
      </c>
      <c r="F133" s="149" t="n">
        <v>75</v>
      </c>
      <c r="G133" s="149" t="inlineStr">
        <is>
          <t>Fourteen</t>
        </is>
      </c>
      <c r="H133" s="149" t="inlineStr">
        <is>
          <t>Roguelike Deckbuilder · Auto Battler · Turn-Based Tactics · Inventory Management · Strategy · Roguelike · PvP · Cute</t>
        </is>
      </c>
    </row>
    <row r="134" ht="15" customHeight="1" s="78">
      <c r="A134" s="152" t="n">
        <v>1766390</v>
      </c>
      <c r="B134" s="152" t="inlineStr">
        <is>
          <t>FORWARD: Escape the Fold - Ultimate Edition</t>
        </is>
      </c>
      <c r="C134" s="152" t="n">
        <v>2022</v>
      </c>
      <c r="D134" s="153" t="n">
        <v>9.99</v>
      </c>
      <c r="E134" s="154" t="n">
        <v>32716</v>
      </c>
      <c r="F134" s="152" t="n">
        <v>85</v>
      </c>
      <c r="G134" s="152" t="inlineStr">
        <is>
          <t>Two Tiny Dice</t>
        </is>
      </c>
      <c r="H134" s="152" t="inlineStr">
        <is>
          <t>Roguelike · Strategy · Card Game · Dungeon Crawler · Turn-Based Tactics · Turn-Based Strategy · Casual · Choices Matter</t>
        </is>
      </c>
    </row>
    <row r="135" ht="15" customHeight="1" s="78">
      <c r="A135" s="149" t="n">
        <v>2229560</v>
      </c>
      <c r="B135" s="149" t="inlineStr">
        <is>
          <t>Zet Zillions</t>
        </is>
      </c>
      <c r="C135" s="149" t="n">
        <v>2024</v>
      </c>
      <c r="D135" s="150" t="n">
        <v>9.99</v>
      </c>
      <c r="E135" s="151" t="n">
        <v>32278</v>
      </c>
      <c r="F135" s="149" t="n">
        <v>88</v>
      </c>
      <c r="G135" s="149" t="inlineStr">
        <is>
          <t>OTA IMON Studios</t>
        </is>
      </c>
      <c r="H135" s="149" t="inlineStr">
        <is>
          <t>Space · Roguelike Deckbuilder · Card Game · Card Battler · Deckbuilding · Exploration · Roguelike · Roguelite</t>
        </is>
      </c>
    </row>
    <row r="136" ht="15" customHeight="1" s="78">
      <c r="A136" s="152" t="n">
        <v>264690</v>
      </c>
      <c r="B136" s="152" t="inlineStr">
        <is>
          <t>Coin Crypt</t>
        </is>
      </c>
      <c r="C136" s="152" t="n">
        <v>2014</v>
      </c>
      <c r="D136" s="153" t="n">
        <v>9.99</v>
      </c>
      <c r="E136" s="154" t="n">
        <v>32047</v>
      </c>
      <c r="F136" s="152" t="n">
        <v>86</v>
      </c>
      <c r="G136" s="152" t="inlineStr">
        <is>
          <t>Wishes Ultd.; Greg Lobanov</t>
        </is>
      </c>
      <c r="H136" s="152" t="inlineStr">
        <is>
          <t>Roguelike Deckbuilder · Roguelike · Card Battler · Deckbuilding · Card Game · Indie · RPG · Roguelite</t>
        </is>
      </c>
    </row>
    <row r="137" ht="15" customHeight="1" s="78">
      <c r="A137" s="149" t="n">
        <v>2009860</v>
      </c>
      <c r="B137" s="149" t="inlineStr">
        <is>
          <t>Tower Escape</t>
        </is>
      </c>
      <c r="C137" s="149" t="n">
        <v>2023</v>
      </c>
      <c r="D137" s="150" t="n">
        <v>7.99</v>
      </c>
      <c r="E137" s="151" t="n">
        <v>32018</v>
      </c>
      <c r="F137" s="149" t="n">
        <v>84</v>
      </c>
      <c r="G137" s="149" t="inlineStr">
        <is>
          <t>Final Screw</t>
        </is>
      </c>
      <c r="H137" s="149" t="inlineStr">
        <is>
          <t>Roguelite · Roguelike Deckbuilder · Tower Defense · Creature Collector · Indie · Auto Battler · Retro · Perma Death</t>
        </is>
      </c>
    </row>
    <row r="138" ht="15" customHeight="1" s="78">
      <c r="A138" s="152" t="n">
        <v>1127610</v>
      </c>
      <c r="B138" s="152" t="inlineStr">
        <is>
          <t>Iris and the Giant</t>
        </is>
      </c>
      <c r="C138" s="152" t="n">
        <v>2020</v>
      </c>
      <c r="D138" s="153" t="n">
        <v>17.99</v>
      </c>
      <c r="E138" s="154" t="n">
        <v>30725</v>
      </c>
      <c r="F138" s="152" t="n">
        <v>88</v>
      </c>
      <c r="G138" s="152" t="inlineStr">
        <is>
          <t>Louis Rigaud</t>
        </is>
      </c>
      <c r="H138" s="152" t="inlineStr">
        <is>
          <t>Roguelike Deckbuilder · Card Game · Roguelike · Card Battler · Deckbuilding · Turn-Based · Dungeon Crawler · Roguelite</t>
        </is>
      </c>
    </row>
    <row r="139" ht="15" customHeight="1" s="78">
      <c r="A139" s="149" t="n">
        <v>2491360</v>
      </c>
      <c r="B139" s="149" t="inlineStr">
        <is>
          <t>召唤之王 (Supreme Summoner)</t>
        </is>
      </c>
      <c r="C139" s="149" t="n">
        <v>2023</v>
      </c>
      <c r="D139" s="150" t="n">
        <v>0</v>
      </c>
      <c r="E139" s="151" t="n">
        <v>30670</v>
      </c>
      <c r="F139" s="149" t="n">
        <v>57</v>
      </c>
      <c r="G139" s="149" t="inlineStr">
        <is>
          <t>CoolStar Games</t>
        </is>
      </c>
      <c r="H139" s="149" t="inlineStr">
        <is>
          <t>Casual · Online Co-Op · Roguelike Deckbuilder · Singleplayer · Card Battler · Strategy · Turn-Based Tactics · Roguelike</t>
        </is>
      </c>
    </row>
    <row r="140" ht="15" customHeight="1" s="78">
      <c r="A140" s="152" t="n">
        <v>3617620</v>
      </c>
      <c r="B140" s="152" t="inlineStr">
        <is>
          <t>My Card Is Better Than Your Card!</t>
        </is>
      </c>
      <c r="C140" s="152" t="n">
        <v>2025</v>
      </c>
      <c r="D140" s="153" t="n">
        <v>14.99</v>
      </c>
      <c r="E140" s="154" t="n">
        <v>30406</v>
      </c>
      <c r="F140" s="152" t="n">
        <v>95</v>
      </c>
      <c r="G140" s="152" t="inlineStr">
        <is>
          <t>Utu Studios</t>
        </is>
      </c>
      <c r="H140" s="152" t="inlineStr">
        <is>
          <t>Roguelike · Card Game · Deckbuilding · Turn-Based · Strategy · Roguelike Deckbuilder · Roguelite · Card Battler</t>
        </is>
      </c>
    </row>
    <row r="141" ht="15" customHeight="1" s="78">
      <c r="A141" s="149" t="n">
        <v>2468550</v>
      </c>
      <c r="B141" s="149" t="inlineStr">
        <is>
          <t>Vivid World</t>
        </is>
      </c>
      <c r="C141" s="149" t="n">
        <v>2025</v>
      </c>
      <c r="D141" s="150" t="n">
        <v>19.99</v>
      </c>
      <c r="E141" s="151" t="n">
        <v>29618</v>
      </c>
      <c r="F141" s="149" t="n">
        <v>89</v>
      </c>
      <c r="G141" s="149" t="inlineStr">
        <is>
          <t>Asobism.Co.,Ltd</t>
        </is>
      </c>
      <c r="H141" s="149" t="inlineStr">
        <is>
          <t>Roguelike Deckbuilder · Auto Battler · Inventory Management · Roguelike · Roguelite · Strategy · Dungeon Crawler · Tactical RPG</t>
        </is>
      </c>
    </row>
    <row r="142" ht="15" customHeight="1" s="78">
      <c r="A142" s="152" t="n">
        <v>1046300</v>
      </c>
      <c r="B142" s="152" t="inlineStr">
        <is>
          <t>Pirates Outlaws</t>
        </is>
      </c>
      <c r="C142" s="152" t="n">
        <v>2020</v>
      </c>
      <c r="D142" s="153" t="n">
        <v>19.99</v>
      </c>
      <c r="E142" s="154" t="n">
        <v>29420</v>
      </c>
      <c r="F142" s="152" t="n">
        <v>82</v>
      </c>
      <c r="G142" s="152" t="inlineStr">
        <is>
          <t>Fabled Game</t>
        </is>
      </c>
      <c r="H142" s="152" t="inlineStr">
        <is>
          <t>Roguelike Deckbuilder · Card Game · Pirates · Turn-Based Strategy · Card Battler · Roguelite · Strategy · Difficult</t>
        </is>
      </c>
    </row>
    <row r="143" ht="15" customHeight="1" s="78">
      <c r="A143" s="149" t="n">
        <v>3839300</v>
      </c>
      <c r="B143" s="149" t="inlineStr">
        <is>
          <t>Dogpile</t>
        </is>
      </c>
      <c r="C143" s="149" t="n">
        <v>2025</v>
      </c>
      <c r="D143" s="150" t="n">
        <v>9.99</v>
      </c>
      <c r="E143" s="151" t="n">
        <v>29342</v>
      </c>
      <c r="F143" s="149" t="n">
        <v>96</v>
      </c>
      <c r="G143" s="149" t="inlineStr">
        <is>
          <t>Studio Folly; Toot Games; Foot</t>
        </is>
      </c>
      <c r="H143" s="149" t="inlineStr">
        <is>
          <t>Roguelike Deckbuilder · Physics · Card Game · Hand-drawn · Casual · Relaxing · Puzzle · Arcade</t>
        </is>
      </c>
    </row>
    <row r="144" ht="15" customHeight="1" s="78">
      <c r="A144" s="152" t="n">
        <v>3064290</v>
      </c>
      <c r="B144" s="152" t="inlineStr">
        <is>
          <t>Trizon</t>
        </is>
      </c>
      <c r="C144" s="152" t="n">
        <v>2025</v>
      </c>
      <c r="D144" s="153" t="n">
        <v>8.99</v>
      </c>
      <c r="E144" s="154" t="n">
        <v>29308</v>
      </c>
      <c r="F144" s="152" t="n">
        <v>93</v>
      </c>
      <c r="G144" s="152" t="inlineStr">
        <is>
          <t>Ling</t>
        </is>
      </c>
      <c r="H144" s="152" t="inlineStr">
        <is>
          <t>Turn-Based Tactics · Deckbuilding · Strategy · Roguelite · Card Game · Turn-Based Strategy · PvE · Board Game</t>
        </is>
      </c>
    </row>
    <row r="145" ht="15" customHeight="1" s="78">
      <c r="A145" s="149" t="n">
        <v>2824310</v>
      </c>
      <c r="B145" s="149" t="inlineStr">
        <is>
          <t>Lucky Hunter</t>
        </is>
      </c>
      <c r="C145" s="149" t="n">
        <v>2024</v>
      </c>
      <c r="D145" s="150" t="n">
        <v>5.99</v>
      </c>
      <c r="E145" s="151" t="n">
        <v>29288</v>
      </c>
      <c r="F145" s="149" t="n">
        <v>90</v>
      </c>
      <c r="G145" s="149" t="inlineStr">
        <is>
          <t>159 Studio</t>
        </is>
      </c>
      <c r="H145" s="149" t="inlineStr">
        <is>
          <t>Deckbuilding · Roguelike Deckbuilder · Automation · Roguelite · Auto Battler · Match 3 · Casual · RPG</t>
        </is>
      </c>
    </row>
    <row r="146" ht="15" customHeight="1" s="78">
      <c r="A146" s="152" t="n">
        <v>3333700</v>
      </c>
      <c r="B146" s="152" t="inlineStr">
        <is>
          <t>The Royal Writ</t>
        </is>
      </c>
      <c r="C146" s="152" t="n">
        <v>2025</v>
      </c>
      <c r="D146" s="153" t="n">
        <v>14.99</v>
      </c>
      <c r="E146" s="154" t="n">
        <v>29077</v>
      </c>
      <c r="F146" s="152" t="n">
        <v>83</v>
      </c>
      <c r="G146" s="152" t="inlineStr">
        <is>
          <t>Save Sloth Studios</t>
        </is>
      </c>
      <c r="H146" s="152" t="inlineStr">
        <is>
          <t>Strategy · Roguelike Deckbuilder · Turn-Based Strategy · Card Game · Dark Humor · Turn-Based Combat · Deckbuilding · Tactical</t>
        </is>
      </c>
    </row>
    <row r="147" ht="15" customHeight="1" s="78">
      <c r="A147" s="149" t="n">
        <v>1184820</v>
      </c>
      <c r="B147" s="149" t="inlineStr">
        <is>
          <t>Poker Quest: Swords and Spades</t>
        </is>
      </c>
      <c r="C147" s="149" t="n">
        <v>2022</v>
      </c>
      <c r="D147" s="150" t="n">
        <v>14.99</v>
      </c>
      <c r="E147" s="151" t="n">
        <v>28958</v>
      </c>
      <c r="F147" s="149" t="n">
        <v>87</v>
      </c>
      <c r="G147" s="149" t="inlineStr">
        <is>
          <t>Playsaurus</t>
        </is>
      </c>
      <c r="H147" s="149" t="inlineStr">
        <is>
          <t>Card Game · Roguelike · Roguelike Deckbuilder · Deckbuilding · Difficult · Poker · Singleplayer · Strategy</t>
        </is>
      </c>
    </row>
    <row r="148" ht="15" customHeight="1" s="78">
      <c r="A148" s="152" t="n">
        <v>2050590</v>
      </c>
      <c r="B148" s="152" t="inlineStr">
        <is>
          <t>Fhtagn Simulator</t>
        </is>
      </c>
      <c r="C148" s="152" t="n">
        <v>2022</v>
      </c>
      <c r="D148" s="153" t="n">
        <v>7.99</v>
      </c>
      <c r="E148" s="154" t="n">
        <v>28500</v>
      </c>
      <c r="F148" s="152" t="n">
        <v>89</v>
      </c>
      <c r="G148" s="152" t="inlineStr">
        <is>
          <t>锁眼工作室</t>
        </is>
      </c>
      <c r="H148" s="152" t="inlineStr">
        <is>
          <t>Deckbuilding · Roguelike Deckbuilder · Lovecraftian · Roguelite · Auto Battler · Automation · Card Game · Turn-Based</t>
        </is>
      </c>
    </row>
    <row r="149" ht="15" customHeight="1" s="78">
      <c r="A149" s="149" t="n">
        <v>1619570</v>
      </c>
      <c r="B149" s="149" t="inlineStr">
        <is>
          <t>Death Roads: Tournament</t>
        </is>
      </c>
      <c r="C149" s="149" t="n">
        <v>2023</v>
      </c>
      <c r="D149" s="150" t="n">
        <v>14.99</v>
      </c>
      <c r="E149" s="151" t="n">
        <v>28353</v>
      </c>
      <c r="F149" s="149" t="n">
        <v>81</v>
      </c>
      <c r="G149" s="149" t="inlineStr">
        <is>
          <t>The Knights of Unity</t>
        </is>
      </c>
      <c r="H149" s="149" t="inlineStr">
        <is>
          <t>Strategy · Turn-Based Combat · Roguelike Deckbuilder · Card Game · Racing · Indie · Roguelite · Roguelike</t>
        </is>
      </c>
    </row>
    <row r="150" ht="15" customHeight="1" s="78">
      <c r="A150" s="152" t="n">
        <v>1709050</v>
      </c>
      <c r="B150" s="152" t="inlineStr">
        <is>
          <t>Nitro Kid</t>
        </is>
      </c>
      <c r="C150" s="152" t="n">
        <v>2022</v>
      </c>
      <c r="D150" s="153" t="n">
        <v>19.99</v>
      </c>
      <c r="E150" s="154" t="n">
        <v>28347</v>
      </c>
      <c r="F150" s="152" t="n">
        <v>88</v>
      </c>
      <c r="G150" s="152" t="inlineStr">
        <is>
          <t>Wildboy Studios</t>
        </is>
      </c>
      <c r="H150" s="152" t="inlineStr">
        <is>
          <t>Indie · Roguelike Deckbuilder · Isometric · 1980s · Martial Arts · Deckbuilding · Sci-fi · Turn-Based</t>
        </is>
      </c>
    </row>
    <row r="151" ht="15" customHeight="1" s="78">
      <c r="A151" s="149" t="n">
        <v>3330210</v>
      </c>
      <c r="B151" s="149" t="inlineStr">
        <is>
          <t>Kinny and the Cosmic Cauldron</t>
        </is>
      </c>
      <c r="C151" s="149" t="n">
        <v>2026</v>
      </c>
      <c r="D151" s="150" t="n">
        <v>12.99</v>
      </c>
      <c r="E151" s="151" t="n">
        <v>28261</v>
      </c>
      <c r="F151" s="149" t="n">
        <v>85</v>
      </c>
      <c r="G151" s="149" t="inlineStr">
        <is>
          <t>Kinnymoms</t>
        </is>
      </c>
      <c r="H151" s="149" t="inlineStr">
        <is>
          <t>Roguelike Deckbuilder · Deckbuilding · Strategy · Physics · Turn-Based Strategy · Roguelike · Cooking · Job Simulator</t>
        </is>
      </c>
    </row>
    <row r="152" ht="15" customHeight="1" s="78">
      <c r="A152" s="152" t="n">
        <v>1434540</v>
      </c>
      <c r="B152" s="152" t="inlineStr">
        <is>
          <t>Zoeti</t>
        </is>
      </c>
      <c r="C152" s="152" t="n">
        <v>2023</v>
      </c>
      <c r="D152" s="153" t="n">
        <v>19.99</v>
      </c>
      <c r="E152" s="154" t="n">
        <v>28137</v>
      </c>
      <c r="F152" s="152" t="n">
        <v>64</v>
      </c>
      <c r="G152" s="152" t="inlineStr">
        <is>
          <t>Dusklight CO., LTD.</t>
        </is>
      </c>
      <c r="H152" s="152" t="inlineStr">
        <is>
          <t>Roguelike Deckbuilder · Card Game · Singleplayer · Card Battler · Roguelike · Turn-Based · Strategy · Roguelite</t>
        </is>
      </c>
    </row>
    <row r="153" ht="15" customHeight="1" s="78">
      <c r="A153" s="149" t="n">
        <v>2752720</v>
      </c>
      <c r="B153" s="149" t="inlineStr">
        <is>
          <t>Dice Player One</t>
        </is>
      </c>
      <c r="C153" s="149" t="n">
        <v>2024</v>
      </c>
      <c r="D153" s="150" t="n">
        <v>14.99</v>
      </c>
      <c r="E153" s="151" t="n">
        <v>27787</v>
      </c>
      <c r="F153" s="149" t="n">
        <v>92</v>
      </c>
      <c r="G153" s="149" t="inlineStr">
        <is>
          <t>KDream</t>
        </is>
      </c>
      <c r="H153" s="149" t="inlineStr">
        <is>
          <t>Roguelike Deckbuilder · Replay Value · Deckbuilding · Tabletop · Roguelike · Singleplayer · Strategy · Casual</t>
        </is>
      </c>
    </row>
    <row r="154" ht="15" customHeight="1" s="78">
      <c r="A154" s="152" t="n">
        <v>1893620</v>
      </c>
      <c r="B154" s="152" t="inlineStr">
        <is>
          <t>Circadian Dice</t>
        </is>
      </c>
      <c r="C154" s="152" t="n">
        <v>2022</v>
      </c>
      <c r="D154" s="153" t="n">
        <v>5.99</v>
      </c>
      <c r="E154" s="154" t="n">
        <v>27748</v>
      </c>
      <c r="F154" s="152" t="n">
        <v>95</v>
      </c>
      <c r="G154" s="152" t="inlineStr">
        <is>
          <t>Shuffle Up Games</t>
        </is>
      </c>
      <c r="H154" s="152" t="inlineStr">
        <is>
          <t>Roguelike Deckbuilder · Deckbuilding · Turn-Based Tactics · Singleplayer · Strategy · Card Game · Card Battler · Turn-Based Combat</t>
        </is>
      </c>
    </row>
    <row r="155" ht="15" customHeight="1" s="78">
      <c r="A155" s="149" t="n">
        <v>3856460</v>
      </c>
      <c r="B155" s="149" t="inlineStr">
        <is>
          <t>Cursed Words: The Word Game That Isn't</t>
        </is>
      </c>
      <c r="C155" s="149" t="n">
        <v>2026</v>
      </c>
      <c r="D155" s="150" t="n">
        <v>14.99</v>
      </c>
      <c r="E155" s="151" t="n">
        <v>27301</v>
      </c>
      <c r="F155" s="149" t="n">
        <v>96</v>
      </c>
      <c r="G155" s="149" t="inlineStr">
        <is>
          <t>Buried Things</t>
        </is>
      </c>
      <c r="H155" s="149" t="inlineStr">
        <is>
          <t>Roguelike · Word Game · Deckbuilding · Casual · Strategy · Roguelike Deckbuilder · Roguelite · Comedy</t>
        </is>
      </c>
    </row>
    <row r="156" ht="15" customHeight="1" s="78">
      <c r="A156" s="152" t="n">
        <v>3500680</v>
      </c>
      <c r="B156" s="152" t="inlineStr">
        <is>
          <t>Cropdeck</t>
        </is>
      </c>
      <c r="C156" s="152" t="n">
        <v>2026</v>
      </c>
      <c r="D156" s="153" t="n">
        <v>12.99</v>
      </c>
      <c r="E156" s="154" t="n">
        <v>27126</v>
      </c>
      <c r="F156" s="152" t="n">
        <v>92</v>
      </c>
      <c r="G156" s="152" t="inlineStr">
        <is>
          <t>Piotrek</t>
        </is>
      </c>
      <c r="H156" s="152" t="inlineStr">
        <is>
          <t>Roguelike Deckbuilder · Farming Sim · Strategy · Roguelite · Cozy · Deckbuilding · Card Game · Roguelike</t>
        </is>
      </c>
    </row>
    <row r="157" ht="15" customHeight="1" s="78">
      <c r="A157" s="149" t="n">
        <v>3435260</v>
      </c>
      <c r="B157" s="149" t="inlineStr">
        <is>
          <t>Dice With Death</t>
        </is>
      </c>
      <c r="C157" s="149" t="n">
        <v>2026</v>
      </c>
      <c r="D157" s="150" t="n">
        <v>13.99</v>
      </c>
      <c r="E157" s="151" t="n">
        <v>26623</v>
      </c>
      <c r="F157" s="149" t="n">
        <v>92</v>
      </c>
      <c r="G157" s="149" t="inlineStr">
        <is>
          <t>Sea Glass Games</t>
        </is>
      </c>
      <c r="H157" s="149" t="inlineStr">
        <is>
          <t>Turn-Based Strategy · Relaxing · Deckbuilding · Roguelike · Difficult · Board Game · Strategy · Choices Matter</t>
        </is>
      </c>
    </row>
    <row r="158" ht="15" customHeight="1" s="78">
      <c r="A158" s="152" t="n">
        <v>1073320</v>
      </c>
      <c r="B158" s="152" t="inlineStr">
        <is>
          <t>Meteorfall: Krumit's Tale</t>
        </is>
      </c>
      <c r="C158" s="152" t="n">
        <v>2020</v>
      </c>
      <c r="D158" s="153" t="n">
        <v>14.99</v>
      </c>
      <c r="E158" s="154" t="n">
        <v>26136</v>
      </c>
      <c r="F158" s="152" t="n">
        <v>90</v>
      </c>
      <c r="G158" s="152" t="inlineStr">
        <is>
          <t>Slothwerks</t>
        </is>
      </c>
      <c r="H158" s="152" t="inlineStr">
        <is>
          <t>Card Game · Roguelite · Deckbuilding · Indie · Strategy · RPG · Roguelike Deckbuilder · Card Battler</t>
        </is>
      </c>
    </row>
    <row r="159" ht="15" customHeight="1" s="78">
      <c r="A159" s="149" t="n">
        <v>1098610</v>
      </c>
      <c r="B159" s="149" t="inlineStr">
        <is>
          <t>Crush the Industry</t>
        </is>
      </c>
      <c r="C159" s="149" t="n">
        <v>2025</v>
      </c>
      <c r="D159" s="150" t="n">
        <v>14.99</v>
      </c>
      <c r="E159" s="151" t="n">
        <v>25911</v>
      </c>
      <c r="F159" s="149" t="n">
        <v>90</v>
      </c>
      <c r="G159" s="149" t="inlineStr">
        <is>
          <t>Cognoggin Games</t>
        </is>
      </c>
      <c r="H159" s="149" t="inlineStr">
        <is>
          <t>Roguelike Deckbuilder · Replay Value · Turn-Based · Retro · Pixel Graphics · Roguelike · Strategy · Deckbuilding</t>
        </is>
      </c>
    </row>
    <row r="160" ht="15" customHeight="1" s="78">
      <c r="A160" s="152" t="n">
        <v>920680</v>
      </c>
      <c r="B160" s="152" t="inlineStr">
        <is>
          <t>Fate Hunters</t>
        </is>
      </c>
      <c r="C160" s="152" t="n">
        <v>2019</v>
      </c>
      <c r="D160" s="153" t="n">
        <v>14.99</v>
      </c>
      <c r="E160" s="154" t="n">
        <v>25856</v>
      </c>
      <c r="F160" s="152" t="n">
        <v>79</v>
      </c>
      <c r="G160" s="152" t="inlineStr">
        <is>
          <t>Tower Games</t>
        </is>
      </c>
      <c r="H160" s="152" t="inlineStr">
        <is>
          <t>Roguelike Deckbuilder · Strategy · Card Battler · Card Game · Indie · Deckbuilding · Roguelike · Roguelite</t>
        </is>
      </c>
    </row>
    <row r="161" ht="15" customHeight="1" s="78">
      <c r="A161" s="149" t="n">
        <v>1054550</v>
      </c>
      <c r="B161" s="149" t="inlineStr">
        <is>
          <t>Phantom Rose</t>
        </is>
      </c>
      <c r="C161" s="149" t="n">
        <v>2019</v>
      </c>
      <c r="D161" s="150" t="n">
        <v>14.99</v>
      </c>
      <c r="E161" s="151" t="n">
        <v>25752</v>
      </c>
      <c r="F161" s="149" t="n">
        <v>79</v>
      </c>
      <c r="G161" s="149" t="inlineStr">
        <is>
          <t>makaroll</t>
        </is>
      </c>
      <c r="H161" s="149" t="inlineStr">
        <is>
          <t>Roguelike Deckbuilder · Indie · Strategy · Anime · Female Protagonist · Roguelite · Card Game · Singleplayer</t>
        </is>
      </c>
    </row>
    <row r="162" ht="15" customHeight="1" s="78">
      <c r="A162" s="152" t="n">
        <v>4358310</v>
      </c>
      <c r="B162" s="152" t="inlineStr">
        <is>
          <t>Coin Tavern</t>
        </is>
      </c>
      <c r="C162" s="152" t="n">
        <v>2026</v>
      </c>
      <c r="D162" s="153" t="n">
        <v>9.99</v>
      </c>
      <c r="E162" s="154" t="n">
        <v>25287</v>
      </c>
      <c r="F162" s="152" t="n">
        <v>87</v>
      </c>
      <c r="G162" s="152" t="inlineStr">
        <is>
          <t>Woven Dream Isle</t>
        </is>
      </c>
      <c r="H162" s="152" t="inlineStr">
        <is>
          <t>Management · Roguelike Deckbuilder · Deckbuilding · Strategy · Roguelite · Procedural Generation · Casual · Singleplayer</t>
        </is>
      </c>
    </row>
    <row r="163" ht="15" customHeight="1" s="78">
      <c r="A163" s="149" t="n">
        <v>2082410</v>
      </c>
      <c r="B163" s="149" t="inlineStr">
        <is>
          <t>Anomaly Collapse</t>
        </is>
      </c>
      <c r="C163" s="149" t="n">
        <v>2024</v>
      </c>
      <c r="D163" s="150" t="n">
        <v>19.99</v>
      </c>
      <c r="E163" s="151" t="n">
        <v>25123</v>
      </c>
      <c r="F163" s="149" t="n">
        <v>86</v>
      </c>
      <c r="G163" s="149" t="inlineStr">
        <is>
          <t>RocketPunch Games</t>
        </is>
      </c>
      <c r="H163" s="149" t="inlineStr">
        <is>
          <t>Turn-Based Tactics · Turn-Based Strategy · Turn-Based · Turn-Based Combat · Party-Based RPG · Roguelite · Strategy · Roguelike</t>
        </is>
      </c>
    </row>
    <row r="164" ht="15" customHeight="1" s="78">
      <c r="A164" s="152" t="n">
        <v>3057670</v>
      </c>
      <c r="B164" s="152" t="inlineStr">
        <is>
          <t>Pluto</t>
        </is>
      </c>
      <c r="C164" s="152" t="n">
        <v>2026</v>
      </c>
      <c r="D164" s="153" t="n">
        <v>17.99</v>
      </c>
      <c r="E164" s="154" t="n">
        <v>25119</v>
      </c>
      <c r="F164" s="152" t="n">
        <v>93</v>
      </c>
      <c r="G164" s="152" t="inlineStr">
        <is>
          <t>Siege Wizard Interactive</t>
        </is>
      </c>
      <c r="H164" s="152" t="inlineStr">
        <is>
          <t>Strategy · Card Game · Roguelike · Deckbuilding · Dark Fantasy · Atmospheric · Magic · Singleplayer</t>
        </is>
      </c>
    </row>
    <row r="165" ht="15" customHeight="1" s="78">
      <c r="A165" s="149" t="n">
        <v>2332410</v>
      </c>
      <c r="B165" s="149" t="inlineStr">
        <is>
          <t>Hero of Fate</t>
        </is>
      </c>
      <c r="C165" s="149" t="n">
        <v>2023</v>
      </c>
      <c r="D165" s="150" t="n">
        <v>2.99</v>
      </c>
      <c r="E165" s="151" t="n">
        <v>25050</v>
      </c>
      <c r="F165" s="149" t="n">
        <v>80</v>
      </c>
      <c r="G165" s="149" t="inlineStr">
        <is>
          <t>Planescape Game Studio</t>
        </is>
      </c>
      <c r="H165" s="149" t="inlineStr">
        <is>
          <t>Real-Time with Pause · RTS · Choices Matter · Choose Your Own Adventure · Roguelite · Fantasy · Survival · Bullet Hell</t>
        </is>
      </c>
    </row>
    <row r="166" ht="15" customHeight="1" s="78">
      <c r="A166" s="152" t="n">
        <v>4914600</v>
      </c>
      <c r="B166" s="152" t="inlineStr">
        <is>
          <t>Pot's On!</t>
        </is>
      </c>
      <c r="C166" s="152" t="n">
        <v>2026</v>
      </c>
      <c r="D166" s="153" t="n">
        <v>0</v>
      </c>
      <c r="E166" s="154" t="n">
        <v>24899</v>
      </c>
      <c r="F166" s="152" t="n">
        <v>97</v>
      </c>
      <c r="G166" s="152" t="inlineStr">
        <is>
          <t>NotDailyBuildStudio</t>
        </is>
      </c>
      <c r="H166" s="152" t="inlineStr">
        <is>
          <t>Roguelite · Auto Battler · Sexual Content · Roguelike · Female Protagonist · Strategy · 2D · Deckbuilding</t>
        </is>
      </c>
    </row>
    <row r="167" ht="15" customHeight="1" s="78">
      <c r="A167" s="149" t="n">
        <v>2019680</v>
      </c>
      <c r="B167" s="149" t="inlineStr">
        <is>
          <t>Lewd Gym</t>
        </is>
      </c>
      <c r="C167" s="149" t="n">
        <v>2023</v>
      </c>
      <c r="D167" s="150" t="n">
        <v>9.99</v>
      </c>
      <c r="E167" s="151" t="n">
        <v>24861</v>
      </c>
      <c r="F167" s="149" t="n">
        <v>92</v>
      </c>
      <c r="G167" s="149" t="inlineStr">
        <is>
          <t>樹懶叫工作室; sloth gamer; Maker製造機</t>
        </is>
      </c>
      <c r="H167" s="149" t="inlineStr">
        <is>
          <t>Sexual Content · Hentai · Roguelite · Casual · Deckbuilding · Card Game · Strategy · Roguelike</t>
        </is>
      </c>
    </row>
    <row r="168" ht="15" customHeight="1" s="78">
      <c r="A168" s="152" t="n">
        <v>463980</v>
      </c>
      <c r="B168" s="152" t="inlineStr">
        <is>
          <t>Solitairica</t>
        </is>
      </c>
      <c r="C168" s="152" t="n">
        <v>2016</v>
      </c>
      <c r="D168" s="153" t="n">
        <v>9.99</v>
      </c>
      <c r="E168" s="154" t="n">
        <v>24722</v>
      </c>
      <c r="F168" s="152" t="n">
        <v>76</v>
      </c>
      <c r="G168" s="152" t="inlineStr">
        <is>
          <t>Righteous Hammer Games</t>
        </is>
      </c>
      <c r="H168" s="152" t="inlineStr">
        <is>
          <t>Roguelike Deckbuilder · Card Battler · Card Game · RPG · Strategy · Indie · Deckbuilding · Turn-Based</t>
        </is>
      </c>
    </row>
    <row r="169" ht="15" customHeight="1" s="78">
      <c r="A169" s="149" t="n">
        <v>2090810</v>
      </c>
      <c r="B169" s="149" t="inlineStr">
        <is>
          <t>X-Angels</t>
        </is>
      </c>
      <c r="C169" s="149" t="n">
        <v>2024</v>
      </c>
      <c r="D169" s="150" t="n">
        <v>10.99</v>
      </c>
      <c r="E169" s="151" t="n">
        <v>24111</v>
      </c>
      <c r="F169" s="149" t="n">
        <v>89</v>
      </c>
      <c r="G169" s="149" t="inlineStr">
        <is>
          <t>Barance Studio</t>
        </is>
      </c>
      <c r="H169" s="149" t="inlineStr">
        <is>
          <t>Sexual Content · Hentai · Roguelike Deckbuilder · Superhero · Anime · Card Game · Roguelite · Strategy</t>
        </is>
      </c>
    </row>
    <row r="170" ht="15" customHeight="1" s="78">
      <c r="A170" s="152" t="n">
        <v>2459750</v>
      </c>
      <c r="B170" s="152" t="inlineStr">
        <is>
          <t>Yohane the Parhelion - NUMAZU in the MIRAGE -</t>
        </is>
      </c>
      <c r="C170" s="152" t="n">
        <v>2024</v>
      </c>
      <c r="D170" s="153" t="n">
        <v>29.99</v>
      </c>
      <c r="E170" s="154" t="n">
        <v>23917</v>
      </c>
      <c r="F170" s="152" t="n">
        <v>91</v>
      </c>
      <c r="G170" s="152" t="inlineStr">
        <is>
          <t>BeXide Inc.</t>
        </is>
      </c>
      <c r="H170" s="152" t="inlineStr">
        <is>
          <t>Roguelike Deckbuilder · Card Game · Dungeon Crawler · Relaxing · Casual · JRPG · Anime · Female Protagonist</t>
        </is>
      </c>
    </row>
    <row r="171" ht="15" customHeight="1" s="78">
      <c r="A171" s="149" t="n">
        <v>3073990</v>
      </c>
      <c r="B171" s="149" t="inlineStr">
        <is>
          <t>Runeborn</t>
        </is>
      </c>
      <c r="C171" s="149" t="n">
        <v>2026</v>
      </c>
      <c r="D171" s="150" t="n">
        <v>13.99</v>
      </c>
      <c r="E171" s="151" t="n">
        <v>23821</v>
      </c>
      <c r="F171" s="149" t="n">
        <v>81</v>
      </c>
      <c r="G171" s="149" t="inlineStr">
        <is>
          <t>iDream Interactive</t>
        </is>
      </c>
      <c r="H171" s="149" t="inlineStr">
        <is>
          <t>Roguelike Deckbuilder · Replay Value · Deckbuilding · Roguelike · Turn-Based Strategy · Singleplayer · Arcade · Roguelite</t>
        </is>
      </c>
    </row>
    <row r="172" ht="15" customHeight="1" s="78">
      <c r="A172" s="152" t="n">
        <v>2726870</v>
      </c>
      <c r="B172" s="152" t="inlineStr">
        <is>
          <t>Loopstructor</t>
        </is>
      </c>
      <c r="C172" s="152" t="n">
        <v>2024</v>
      </c>
      <c r="D172" s="153" t="n">
        <v>6.99</v>
      </c>
      <c r="E172" s="154" t="n">
        <v>23661</v>
      </c>
      <c r="F172" s="152" t="n">
        <v>83</v>
      </c>
      <c r="G172" s="152" t="inlineStr">
        <is>
          <t>Pone Games</t>
        </is>
      </c>
      <c r="H172" s="152" t="inlineStr">
        <is>
          <t>Strategy · Tower Defense · Roguelike · Indie · Survival · RTS · Singleplayer · Auto Battler</t>
        </is>
      </c>
    </row>
    <row r="173" ht="15" customHeight="1" s="78">
      <c r="A173" s="149" t="n">
        <v>1535210</v>
      </c>
      <c r="B173" s="149" t="inlineStr">
        <is>
          <t>Nadir: A Grimdark Deck Builder - Prologue</t>
        </is>
      </c>
      <c r="C173" s="149" t="n">
        <v>2022</v>
      </c>
      <c r="D173" s="150" t="n">
        <v>0</v>
      </c>
      <c r="E173" s="151" t="n">
        <v>23404</v>
      </c>
      <c r="F173" s="149" t="n">
        <v>81</v>
      </c>
      <c r="G173" s="149" t="inlineStr">
        <is>
          <t>Team Nadir; Black Eye Games</t>
        </is>
      </c>
      <c r="H173" s="149" t="inlineStr">
        <is>
          <t>Roguelike Deckbuilder · Action · RPG · Card Battler · Strategy · Roguelike · Card Game · Singleplayer</t>
        </is>
      </c>
    </row>
    <row r="174" ht="15" customHeight="1" s="78">
      <c r="A174" s="152" t="n">
        <v>3966510</v>
      </c>
      <c r="B174" s="152" t="inlineStr">
        <is>
          <t>Feed the Scorchpot</t>
        </is>
      </c>
      <c r="C174" s="152" t="n">
        <v>2026</v>
      </c>
      <c r="D174" s="153" t="n">
        <v>14.99</v>
      </c>
      <c r="E174" s="154" t="n">
        <v>23229</v>
      </c>
      <c r="F174" s="152" t="n">
        <v>90</v>
      </c>
      <c r="G174" s="152" t="inlineStr">
        <is>
          <t>Moravian</t>
        </is>
      </c>
      <c r="H174" s="152" t="inlineStr">
        <is>
          <t>Roguelite · Casual · Turn-Based · Deckbuilding · Strategy · Dragons · Replay Value · Tabletop</t>
        </is>
      </c>
    </row>
    <row r="175" ht="15" customHeight="1" s="78">
      <c r="A175" s="149" t="n">
        <v>2468100</v>
      </c>
      <c r="B175" s="149" t="inlineStr">
        <is>
          <t>Pyrene</t>
        </is>
      </c>
      <c r="C175" s="149" t="n">
        <v>2024</v>
      </c>
      <c r="D175" s="150" t="n">
        <v>14.99</v>
      </c>
      <c r="E175" s="151" t="n">
        <v>22911</v>
      </c>
      <c r="F175" s="149" t="n">
        <v>92</v>
      </c>
      <c r="G175" s="149" t="inlineStr">
        <is>
          <t>Two Tiny Dice</t>
        </is>
      </c>
      <c r="H175" s="149" t="inlineStr">
        <is>
          <t>Turn-Based Combat · Demons · Choices Matter · Roguelike Deckbuilder · Strategy · Card Battler · Dungeon Crawler · Turn-Based Strategy</t>
        </is>
      </c>
    </row>
    <row r="176" ht="15" customHeight="1" s="78">
      <c r="A176" s="152" t="n">
        <v>3546440</v>
      </c>
      <c r="B176" s="152" t="inlineStr">
        <is>
          <t>Rentlord</t>
        </is>
      </c>
      <c r="C176" s="152" t="n">
        <v>2025</v>
      </c>
      <c r="D176" s="153" t="n">
        <v>4.99</v>
      </c>
      <c r="E176" s="154" t="n">
        <v>22865</v>
      </c>
      <c r="F176" s="152" t="n">
        <v>72</v>
      </c>
      <c r="G176" s="152" t="inlineStr">
        <is>
          <t>verty</t>
        </is>
      </c>
      <c r="H176" s="152" t="inlineStr">
        <is>
          <t>Roguelike · Management · Replay Value · Capitalism · Roguelike Deckbuilder · Deckbuilding · Job Simulator · Strategy</t>
        </is>
      </c>
    </row>
    <row r="177" ht="15" customHeight="1" s="78">
      <c r="A177" s="149" t="n">
        <v>1494560</v>
      </c>
      <c r="B177" s="149" t="inlineStr">
        <is>
          <t>Rogue Voltage</t>
        </is>
      </c>
      <c r="C177" s="149" t="n">
        <v>2026</v>
      </c>
      <c r="D177" s="150" t="n">
        <v>15.99</v>
      </c>
      <c r="E177" s="151" t="n">
        <v>22604</v>
      </c>
      <c r="F177" s="149" t="n">
        <v>93</v>
      </c>
      <c r="G177" s="149" t="inlineStr">
        <is>
          <t>Horizont Computergrafik</t>
        </is>
      </c>
      <c r="H177" s="149" t="inlineStr">
        <is>
          <t>Deckbuilding · Automation · Card Battler · Roguelike · Strategy · Programming · Replay Value · Roguelike Deckbuilder</t>
        </is>
      </c>
    </row>
    <row r="178" ht="15" customHeight="1" s="78">
      <c r="A178" s="152" t="n">
        <v>1146230</v>
      </c>
      <c r="B178" s="152" t="inlineStr">
        <is>
          <t>DungeonTop</t>
        </is>
      </c>
      <c r="C178" s="152" t="n">
        <v>2020</v>
      </c>
      <c r="D178" s="153" t="n">
        <v>15.99</v>
      </c>
      <c r="E178" s="154" t="n">
        <v>22019</v>
      </c>
      <c r="F178" s="152" t="n">
        <v>81</v>
      </c>
      <c r="G178" s="152" t="inlineStr">
        <is>
          <t>One Up Plus Entertainment</t>
        </is>
      </c>
      <c r="H178" s="152" t="inlineStr">
        <is>
          <t>Roguelike Deckbuilder · Card Battler · Card Game · Deckbuilding · Roguelike · Roguelite · Turn-Based · Tactical RPG</t>
        </is>
      </c>
    </row>
    <row r="179" ht="15" customHeight="1" s="78">
      <c r="A179" s="149" t="n">
        <v>3948580</v>
      </c>
      <c r="B179" s="149" t="inlineStr">
        <is>
          <t>Plinbo: Roguelike Plinko</t>
        </is>
      </c>
      <c r="C179" s="149" t="n">
        <v>2026</v>
      </c>
      <c r="D179" s="150" t="n">
        <v>6.99</v>
      </c>
      <c r="E179" s="151" t="n">
        <v>21957</v>
      </c>
      <c r="F179" s="149" t="n">
        <v>69</v>
      </c>
      <c r="G179" s="149" t="inlineStr">
        <is>
          <t>Raphus &amp; Co.</t>
        </is>
      </c>
      <c r="H179" s="149" t="inlineStr">
        <is>
          <t>Roguelike Deckbuilder · Strategy · Gambling · Card Game · Deckbuilding · Roguelike · Perma Death · Arcade</t>
        </is>
      </c>
    </row>
    <row r="180" ht="15" customHeight="1" s="78">
      <c r="A180" s="152" t="n">
        <v>3144340</v>
      </c>
      <c r="B180" s="152" t="inlineStr">
        <is>
          <t>Cult of PiN</t>
        </is>
      </c>
      <c r="C180" s="152" t="n">
        <v>2026</v>
      </c>
      <c r="D180" s="153" t="n">
        <v>14.99</v>
      </c>
      <c r="E180" s="154" t="n">
        <v>21205</v>
      </c>
      <c r="F180" s="152" t="n">
        <v>79</v>
      </c>
      <c r="G180" s="152" t="inlineStr">
        <is>
          <t>KennyMakesGames</t>
        </is>
      </c>
      <c r="H180" s="152" t="inlineStr">
        <is>
          <t>Pinball · Roguelike · Arcade · Roguelike Deckbuilder · Deckbuilding · Roguelite · Physics · Cult</t>
        </is>
      </c>
    </row>
    <row r="181" ht="15" customHeight="1" s="78">
      <c r="A181" s="149" t="n">
        <v>3802470</v>
      </c>
      <c r="B181" s="149" t="inlineStr">
        <is>
          <t>Turnbound</t>
        </is>
      </c>
      <c r="C181" s="149" t="n">
        <v>2026</v>
      </c>
      <c r="D181" s="150" t="n">
        <v>14.99</v>
      </c>
      <c r="E181" s="151" t="n">
        <v>20215</v>
      </c>
      <c r="F181" s="149" t="n">
        <v>78</v>
      </c>
      <c r="G181" s="149" t="inlineStr">
        <is>
          <t>1TK</t>
        </is>
      </c>
      <c r="H181" s="149" t="inlineStr">
        <is>
          <t>Roguelike Deckbuilder · Auto Battler · Inventory Management · Deckbuilding · Strategy · Multiplayer · Asynchronous Multiplayer · Roguelike</t>
        </is>
      </c>
    </row>
    <row r="182" ht="15" customHeight="1" s="78">
      <c r="A182" s="152" t="n">
        <v>1201830</v>
      </c>
      <c r="B182" s="152" t="inlineStr">
        <is>
          <t>For The Warp</t>
        </is>
      </c>
      <c r="C182" s="152" t="n">
        <v>2022</v>
      </c>
      <c r="D182" s="153" t="n">
        <v>14.99</v>
      </c>
      <c r="E182" s="154" t="n">
        <v>20209</v>
      </c>
      <c r="F182" s="152" t="n">
        <v>72</v>
      </c>
      <c r="G182" s="152" t="inlineStr">
        <is>
          <t>Massive Galaxy Studios</t>
        </is>
      </c>
      <c r="H182" s="152" t="inlineStr">
        <is>
          <t>Roguelike Deckbuilder · Roguelite · Sci-fi · Turn-Based Combat · Deckbuilding · Space · Card Battler · Procedural Generation</t>
        </is>
      </c>
    </row>
    <row r="183" ht="15" customHeight="1" s="78">
      <c r="A183" s="149" t="n">
        <v>2727210</v>
      </c>
      <c r="B183" s="149" t="inlineStr">
        <is>
          <t>Deathless. The Hero Quest</t>
        </is>
      </c>
      <c r="C183" s="149" t="n">
        <v>2024</v>
      </c>
      <c r="D183" s="150" t="n">
        <v>24.99</v>
      </c>
      <c r="E183" s="151" t="n">
        <v>20121</v>
      </c>
      <c r="F183" s="149" t="n">
        <v>88</v>
      </c>
      <c r="G183" s="149" t="inlineStr">
        <is>
          <t>FOR-GAMES CR LTD</t>
        </is>
      </c>
      <c r="H183" s="149" t="inlineStr">
        <is>
          <t>Roguelike Deckbuilder · Replay Value · Difficult · Deckbuilding · Card Game · Card Battler · Strategy · Roguelike</t>
        </is>
      </c>
    </row>
    <row r="184" ht="15" customHeight="1" s="78">
      <c r="A184" s="152" t="n">
        <v>2881800</v>
      </c>
      <c r="B184" s="152" t="inlineStr">
        <is>
          <t>SuperTaxCity</t>
        </is>
      </c>
      <c r="C184" s="152" t="n">
        <v>2025</v>
      </c>
      <c r="D184" s="153" t="n">
        <v>9.99</v>
      </c>
      <c r="E184" s="154" t="n">
        <v>19915</v>
      </c>
      <c r="F184" s="152" t="n">
        <v>88</v>
      </c>
      <c r="G184" s="152" t="inlineStr">
        <is>
          <t>soramame-koubou</t>
        </is>
      </c>
      <c r="H184" s="152" t="inlineStr">
        <is>
          <t>Roguelike Deckbuilder · Deckbuilding · Roguelite · City Builder · Roguelike · Choices Matter · Gambling · Casual</t>
        </is>
      </c>
    </row>
    <row r="185" ht="15" customHeight="1" s="78">
      <c r="A185" s="149" t="n">
        <v>3690490</v>
      </c>
      <c r="B185" s="149" t="inlineStr">
        <is>
          <t>Frostrain 2</t>
        </is>
      </c>
      <c r="C185" s="149" t="n">
        <v>2026</v>
      </c>
      <c r="D185" s="150" t="n">
        <v>10.99</v>
      </c>
      <c r="E185" s="151" t="n">
        <v>19552</v>
      </c>
      <c r="F185" s="149" t="n">
        <v>89</v>
      </c>
      <c r="G185" s="149" t="inlineStr">
        <is>
          <t>nemonan</t>
        </is>
      </c>
      <c r="H185" s="149" t="inlineStr">
        <is>
          <t>Strategy · Roguelike Deckbuilder · Trains · Deckbuilding · Simulation · Post-apocalyptic · Roguelike · Exploration</t>
        </is>
      </c>
    </row>
    <row r="186" ht="15" customHeight="1" s="78">
      <c r="A186" s="152" t="n">
        <v>2071430</v>
      </c>
      <c r="B186" s="152" t="inlineStr">
        <is>
          <t>Roots of Yggdrasil</t>
        </is>
      </c>
      <c r="C186" s="152" t="n">
        <v>2024</v>
      </c>
      <c r="D186" s="153" t="n">
        <v>19.99</v>
      </c>
      <c r="E186" s="154" t="n">
        <v>19447</v>
      </c>
      <c r="F186" s="152" t="n">
        <v>86</v>
      </c>
      <c r="G186" s="152" t="inlineStr">
        <is>
          <t>ManaVoid Entertainment</t>
        </is>
      </c>
      <c r="H186" s="152" t="inlineStr">
        <is>
          <t>Deckbuilding · Female Protagonist · City Builder · Roguelike · Turn-Based Strategy · Indie · Base Building · Puzzle</t>
        </is>
      </c>
    </row>
    <row r="187" ht="15" customHeight="1" s="78">
      <c r="A187" s="149" t="n">
        <v>3160090</v>
      </c>
      <c r="B187" s="149" t="inlineStr">
        <is>
          <t>Slot &amp; Dungeons</t>
        </is>
      </c>
      <c r="C187" s="149" t="n">
        <v>2026</v>
      </c>
      <c r="D187" s="150" t="n">
        <v>8.99</v>
      </c>
      <c r="E187" s="151" t="n">
        <v>18401</v>
      </c>
      <c r="F187" s="149" t="n">
        <v>83</v>
      </c>
      <c r="G187" s="149" t="inlineStr">
        <is>
          <t>MUC GAMES</t>
        </is>
      </c>
      <c r="H187" s="149" t="inlineStr">
        <is>
          <t>Roguelike Deckbuilder · Roguelike · Deckbuilding · Mystery Dungeon · Pixel Graphics · Roguelite · Choices Matter · Perma Death</t>
        </is>
      </c>
    </row>
    <row r="188" ht="15" customHeight="1" s="78">
      <c r="A188" s="152" t="n">
        <v>1535100</v>
      </c>
      <c r="B188" s="152" t="inlineStr">
        <is>
          <t>Nadir: A Grimdark Deckbuilder</t>
        </is>
      </c>
      <c r="C188" s="152" t="n">
        <v>2023</v>
      </c>
      <c r="D188" s="153" t="n">
        <v>19.99</v>
      </c>
      <c r="E188" s="154" t="n">
        <v>18192</v>
      </c>
      <c r="F188" s="152" t="n">
        <v>62</v>
      </c>
      <c r="G188" s="152" t="inlineStr">
        <is>
          <t>Black Eye Games</t>
        </is>
      </c>
      <c r="H188" s="152" t="inlineStr">
        <is>
          <t>Roguelike Deckbuilder · Card Game · Card Battler · Deckbuilding · Roguelike · RPG · Strategy · Singleplayer</t>
        </is>
      </c>
    </row>
    <row r="189" ht="15" customHeight="1" s="78">
      <c r="A189" s="149" t="n">
        <v>3384440</v>
      </c>
      <c r="B189" s="149" t="inlineStr">
        <is>
          <t>Call of Clans</t>
        </is>
      </c>
      <c r="C189" s="149" t="n">
        <v>2025</v>
      </c>
      <c r="D189" s="150" t="n">
        <v>0</v>
      </c>
      <c r="E189" s="151" t="n">
        <v>18186</v>
      </c>
      <c r="F189" s="149" t="n">
        <v>78</v>
      </c>
      <c r="G189" s="149" t="inlineStr">
        <is>
          <t>Call of Clans</t>
        </is>
      </c>
      <c r="H189" s="149" t="inlineStr">
        <is>
          <t>Trading Card Game · Deckbuilding · PvP · Card Game · Free to Play · Magic · Strategy · Nudity</t>
        </is>
      </c>
    </row>
    <row r="190" ht="15" customHeight="1" s="78">
      <c r="A190" s="152" t="n">
        <v>1964200</v>
      </c>
      <c r="B190" s="152" t="inlineStr">
        <is>
          <t>Phantom Rose 2 Sapphire</t>
        </is>
      </c>
      <c r="C190" s="152" t="n">
        <v>2023</v>
      </c>
      <c r="D190" s="153" t="n">
        <v>19.99</v>
      </c>
      <c r="E190" s="154" t="n">
        <v>17879</v>
      </c>
      <c r="F190" s="152" t="n">
        <v>92</v>
      </c>
      <c r="G190" s="152" t="inlineStr">
        <is>
          <t>makaroll</t>
        </is>
      </c>
      <c r="H190" s="152" t="inlineStr">
        <is>
          <t>Singleplayer · Roguelike Deckbuilder · Card Game · Roguelike · Deckbuilding · Turn-Based Strategy · Replay Value · Card Battler</t>
        </is>
      </c>
    </row>
    <row r="191" ht="15" customHeight="1" s="78">
      <c r="A191" s="149" t="n">
        <v>2960560</v>
      </c>
      <c r="B191" s="149" t="inlineStr">
        <is>
          <t>Union of Gnomes: Prologue</t>
        </is>
      </c>
      <c r="C191" s="149" t="n">
        <v>2024</v>
      </c>
      <c r="D191" s="150" t="n">
        <v>0</v>
      </c>
      <c r="E191" s="151" t="n">
        <v>17658</v>
      </c>
      <c r="F191" s="149" t="n">
        <v>82</v>
      </c>
      <c r="G191" s="149" t="inlineStr">
        <is>
          <t>Hoolignomes</t>
        </is>
      </c>
      <c r="H191" s="149" t="inlineStr">
        <is>
          <t>Roguelike Deckbuilder · Card Game · Turn-Based · Roguelike · Turn-Based Combat · Dwarves · Deckbuilding · Strategy</t>
        </is>
      </c>
    </row>
    <row r="192" ht="15" customHeight="1" s="78">
      <c r="A192" s="152" t="n">
        <v>1958340</v>
      </c>
      <c r="B192" s="152" t="inlineStr">
        <is>
          <t>Cube Chaos</t>
        </is>
      </c>
      <c r="C192" s="152" t="n">
        <v>2025</v>
      </c>
      <c r="D192" s="153" t="n">
        <v>11.99</v>
      </c>
      <c r="E192" s="154" t="n">
        <v>17594</v>
      </c>
      <c r="F192" s="152" t="n">
        <v>96</v>
      </c>
      <c r="G192" s="152" t="inlineStr">
        <is>
          <t>Wunarg</t>
        </is>
      </c>
      <c r="H192" s="152" t="inlineStr">
        <is>
          <t>RTS · Roguelike Deckbuilder · Replay Value · Moddable · Roguelite · 2D · Choices Matter · Singleplayer</t>
        </is>
      </c>
    </row>
    <row r="193" ht="15" customHeight="1" s="78">
      <c r="A193" s="149" t="n">
        <v>4559800</v>
      </c>
      <c r="B193" s="149" t="inlineStr">
        <is>
          <t>Hell is Empty, Demons are playing Apokerlypse</t>
        </is>
      </c>
      <c r="C193" s="149" t="n">
        <v>2026</v>
      </c>
      <c r="D193" s="150" t="n">
        <v>0</v>
      </c>
      <c r="E193" s="151" t="n">
        <v>17540</v>
      </c>
      <c r="F193" s="149" t="n">
        <v>82</v>
      </c>
      <c r="G193" s="149" t="inlineStr">
        <is>
          <t>Breaker Games</t>
        </is>
      </c>
      <c r="H193" s="149" t="inlineStr">
        <is>
          <t>Strategy · Roguelike · Roguelike Deckbuilder · Singleplayer · Casual · Deckbuilding · Turn-Based · Dark Humor</t>
        </is>
      </c>
    </row>
    <row r="194" ht="15" customHeight="1" s="78">
      <c r="A194" s="152" t="n">
        <v>2095290</v>
      </c>
      <c r="B194" s="152" t="inlineStr">
        <is>
          <t>Theseus Protocol</t>
        </is>
      </c>
      <c r="C194" s="152" t="n">
        <v>2023</v>
      </c>
      <c r="D194" s="153" t="n">
        <v>9.99</v>
      </c>
      <c r="E194" s="154" t="n">
        <v>17333</v>
      </c>
      <c r="F194" s="152" t="n">
        <v>70</v>
      </c>
      <c r="G194" s="152" t="n"/>
      <c r="H194" s="152" t="inlineStr">
        <is>
          <t>Roguelike Deckbuilder · Card Game · Deckbuilding · Card Battler · Roguelike · Turn-Based Combat · Tactical RPG · Anime</t>
        </is>
      </c>
    </row>
    <row r="195" ht="15" customHeight="1" s="78">
      <c r="A195" s="149" t="n">
        <v>2380320</v>
      </c>
      <c r="B195" s="149" t="inlineStr">
        <is>
          <t>Choice of Life: Wild Islands</t>
        </is>
      </c>
      <c r="C195" s="149" t="n">
        <v>2024</v>
      </c>
      <c r="D195" s="150" t="n">
        <v>6.99</v>
      </c>
      <c r="E195" s="151" t="n">
        <v>16797</v>
      </c>
      <c r="F195" s="149" t="n">
        <v>93</v>
      </c>
      <c r="G195" s="149" t="inlineStr">
        <is>
          <t>Blazing Planet Studio</t>
        </is>
      </c>
      <c r="H195" s="149" t="inlineStr">
        <is>
          <t>RPG · Choose Your Own Adventure · Card Game · 2D · Funny · Casual · Indie · Multiple Endings</t>
        </is>
      </c>
    </row>
    <row r="196" ht="15" customHeight="1" s="78">
      <c r="A196" s="152" t="n">
        <v>2536960</v>
      </c>
      <c r="B196" s="152" t="inlineStr">
        <is>
          <t>Shadowveil: Legend of The Five Rings</t>
        </is>
      </c>
      <c r="C196" s="152" t="n">
        <v>2025</v>
      </c>
      <c r="D196" s="153" t="n">
        <v>24.99</v>
      </c>
      <c r="E196" s="154" t="n">
        <v>16356</v>
      </c>
      <c r="F196" s="152" t="n">
        <v>75</v>
      </c>
      <c r="G196" s="152" t="inlineStr">
        <is>
          <t>Palindrome Interactive</t>
        </is>
      </c>
      <c r="H196" s="152" t="inlineStr">
        <is>
          <t>Adventure · Roguelite · Strategy · Roguelike Deckbuilder · Roguelike · Deckbuilding · Strategy RPG · Indie</t>
        </is>
      </c>
    </row>
    <row r="197" ht="15" customHeight="1" s="78">
      <c r="A197" s="149" t="n">
        <v>1840710</v>
      </c>
      <c r="B197" s="149" t="inlineStr">
        <is>
          <t>These Doomed Isles</t>
        </is>
      </c>
      <c r="C197" s="149" t="n">
        <v>2024</v>
      </c>
      <c r="D197" s="150" t="n">
        <v>14.99</v>
      </c>
      <c r="E197" s="151" t="n">
        <v>16319</v>
      </c>
      <c r="F197" s="149" t="n">
        <v>70</v>
      </c>
      <c r="G197" s="149" t="inlineStr">
        <is>
          <t>Triplevision Games Limited</t>
        </is>
      </c>
      <c r="H197" s="149" t="inlineStr">
        <is>
          <t>Singleplayer · Strategy · City Builder · Roguelike Deckbuilder · Tower Defense · Turn-Based Tactics · Simulation · Colony Sim</t>
        </is>
      </c>
    </row>
    <row r="198" ht="15" customHeight="1" s="78">
      <c r="A198" s="152" t="n">
        <v>2626860</v>
      </c>
      <c r="B198" s="152" t="inlineStr">
        <is>
          <t>Dragon Eclipse</t>
        </is>
      </c>
      <c r="C198" s="152" t="n">
        <v>2024</v>
      </c>
      <c r="D198" s="153" t="n">
        <v>12.99</v>
      </c>
      <c r="E198" s="154" t="n">
        <v>16131</v>
      </c>
      <c r="F198" s="152" t="n">
        <v>65</v>
      </c>
      <c r="G198" s="152" t="inlineStr">
        <is>
          <t>Fardust</t>
        </is>
      </c>
      <c r="H198" s="152" t="inlineStr">
        <is>
          <t>Roguelike Deckbuilder · Card Game · Card Battler · Roguelike · Strategy · Deckbuilding · Turn-Based · Indie</t>
        </is>
      </c>
    </row>
    <row r="199" ht="15" customHeight="1" s="78">
      <c r="A199" s="149" t="n">
        <v>2336590</v>
      </c>
      <c r="B199" s="149" t="inlineStr">
        <is>
          <t>White Night Dream</t>
        </is>
      </c>
      <c r="C199" s="149" t="n">
        <v>2023</v>
      </c>
      <c r="D199" s="150" t="n">
        <v>0.99</v>
      </c>
      <c r="E199" s="151" t="n">
        <v>16121</v>
      </c>
      <c r="F199" s="149" t="n">
        <v>89</v>
      </c>
      <c r="G199" s="149" t="inlineStr">
        <is>
          <t>Renka</t>
        </is>
      </c>
      <c r="H199" s="149" t="inlineStr">
        <is>
          <t>Anime · Strategy · Card Game · Roguelite · Pixel Graphics · Cute · Relaxing · Female Protagonist</t>
        </is>
      </c>
    </row>
    <row r="200" ht="15" customHeight="1" s="78">
      <c r="A200" s="152" t="n">
        <v>493080</v>
      </c>
      <c r="B200" s="152" t="inlineStr">
        <is>
          <t>Card Quest</t>
        </is>
      </c>
      <c r="C200" s="152" t="n">
        <v>2017</v>
      </c>
      <c r="D200" s="153" t="n">
        <v>9.99</v>
      </c>
      <c r="E200" s="154" t="n">
        <v>15821</v>
      </c>
      <c r="F200" s="152" t="n">
        <v>86</v>
      </c>
      <c r="G200" s="152" t="inlineStr">
        <is>
          <t>WinterSpring Games</t>
        </is>
      </c>
      <c r="H200" s="152" t="inlineStr">
        <is>
          <t>Roguelike Deckbuilder · Card Battler · RPG · Strategy · Indie · Deckbuilding · Card Game · Roguelike</t>
        </is>
      </c>
    </row>
    <row r="201" ht="15" customHeight="1" s="78">
      <c r="A201" s="149" t="n">
        <v>1253860</v>
      </c>
      <c r="B201" s="149" t="inlineStr">
        <is>
          <t>Neurodeck : Psychological Deckbuilder</t>
        </is>
      </c>
      <c r="C201" s="149" t="n">
        <v>2021</v>
      </c>
      <c r="D201" s="150" t="n">
        <v>13.99</v>
      </c>
      <c r="E201" s="151" t="n">
        <v>15671</v>
      </c>
      <c r="F201" s="149" t="n">
        <v>60</v>
      </c>
      <c r="G201" s="149" t="inlineStr">
        <is>
          <t>TavroxGames</t>
        </is>
      </c>
      <c r="H201" s="149" t="inlineStr">
        <is>
          <t>Roguelike Deckbuilder · Card Battler · Card Game · Deckbuilding · Roguelike · Turn-Based · Strategy · Singleplayer</t>
        </is>
      </c>
    </row>
    <row r="202" ht="15" customHeight="1" s="78">
      <c r="A202" s="152" t="n">
        <v>1156060</v>
      </c>
      <c r="B202" s="152" t="inlineStr">
        <is>
          <t>Railroads &amp; Catacombs</t>
        </is>
      </c>
      <c r="C202" s="152" t="n">
        <v>2025</v>
      </c>
      <c r="D202" s="153" t="n">
        <v>19.99</v>
      </c>
      <c r="E202" s="154" t="n">
        <v>15580</v>
      </c>
      <c r="F202" s="152" t="n">
        <v>76</v>
      </c>
      <c r="G202" s="152" t="inlineStr">
        <is>
          <t>MadRails</t>
        </is>
      </c>
      <c r="H202" s="152" t="inlineStr">
        <is>
          <t>Roguelike Deckbuilder · Turn-Based Tactics · Base Building · Dungeon Crawler · Difficult · Lovecraftian · Dark · Card Battler</t>
        </is>
      </c>
    </row>
    <row r="203" ht="15" customHeight="1" s="78">
      <c r="A203" s="149" t="n">
        <v>1866630</v>
      </c>
      <c r="B203" s="149" t="inlineStr">
        <is>
          <t>Throne of Bone</t>
        </is>
      </c>
      <c r="C203" s="149" t="n">
        <v>2025</v>
      </c>
      <c r="D203" s="150" t="n">
        <v>16.99</v>
      </c>
      <c r="E203" s="151" t="n">
        <v>15512</v>
      </c>
      <c r="F203" s="149" t="n">
        <v>86</v>
      </c>
      <c r="G203" s="149" t="inlineStr">
        <is>
          <t>Windmill Slam</t>
        </is>
      </c>
      <c r="H203" s="149" t="inlineStr">
        <is>
          <t>Strategy · Roguelike · Auto Battler · Card Battler · Fantasy · Deckbuilding · Card Game · Dark Fantasy</t>
        </is>
      </c>
    </row>
    <row r="204" ht="15" customHeight="1" s="78">
      <c r="A204" s="152" t="n">
        <v>1913420</v>
      </c>
      <c r="B204" s="152" t="inlineStr">
        <is>
          <t>Fantasy of Caocao 2</t>
        </is>
      </c>
      <c r="C204" s="152" t="n">
        <v>2023</v>
      </c>
      <c r="D204" s="153" t="n">
        <v>8.99</v>
      </c>
      <c r="E204" s="154" t="n">
        <v>15420</v>
      </c>
      <c r="F204" s="152" t="n">
        <v>82</v>
      </c>
      <c r="G204" s="152" t="inlineStr">
        <is>
          <t>桑尼游戏(Sunny Game)</t>
        </is>
      </c>
      <c r="H204" s="152" t="inlineStr">
        <is>
          <t>Turn-Based Strategy · Card Battler · Card Game · RPG · FPS · Anime · Roguelike · Cute</t>
        </is>
      </c>
    </row>
    <row r="205" ht="15" customHeight="1" s="78">
      <c r="A205" s="149" t="n">
        <v>1394130</v>
      </c>
      <c r="B205" s="149" t="inlineStr">
        <is>
          <t>Breach Wanderers</t>
        </is>
      </c>
      <c r="C205" s="149" t="n">
        <v>2023</v>
      </c>
      <c r="D205" s="150" t="n">
        <v>14.99</v>
      </c>
      <c r="E205" s="151" t="n">
        <v>15356</v>
      </c>
      <c r="F205" s="149" t="n">
        <v>88</v>
      </c>
      <c r="G205" s="149" t="inlineStr">
        <is>
          <t>Baronnerie Games</t>
        </is>
      </c>
      <c r="H205" s="149" t="inlineStr">
        <is>
          <t>Roguelike Deckbuilder · Deckbuilding · Card Battler · Roguelite · Card Game · Roguelike · Turn-Based Tactics · Character Customization</t>
        </is>
      </c>
    </row>
    <row r="206" ht="15" customHeight="1" s="78">
      <c r="A206" s="152" t="n">
        <v>1124080</v>
      </c>
      <c r="B206" s="152" t="inlineStr">
        <is>
          <t>Active DBG: Brave's Rage</t>
        </is>
      </c>
      <c r="C206" s="152" t="n">
        <v>2023</v>
      </c>
      <c r="D206" s="153" t="n">
        <v>17.99</v>
      </c>
      <c r="E206" s="154" t="n">
        <v>15287</v>
      </c>
      <c r="F206" s="152" t="n">
        <v>82</v>
      </c>
      <c r="G206" s="152" t="inlineStr">
        <is>
          <t>ISVR</t>
        </is>
      </c>
      <c r="H206" s="152" t="inlineStr">
        <is>
          <t>Roguelike Deckbuilder · Roguelike · Deckbuilding · Card Battler · Card Game · Real Time Tactics · Bullet Time · Roguelite</t>
        </is>
      </c>
    </row>
    <row r="207" ht="15" customHeight="1" s="78">
      <c r="A207" s="149" t="n">
        <v>1163740</v>
      </c>
      <c r="B207" s="149" t="inlineStr">
        <is>
          <t>Card Hog</t>
        </is>
      </c>
      <c r="C207" s="149" t="n">
        <v>2023</v>
      </c>
      <c r="D207" s="150" t="n">
        <v>5.99</v>
      </c>
      <c r="E207" s="151" t="n">
        <v>14985</v>
      </c>
      <c r="F207" s="149" t="n">
        <v>94</v>
      </c>
      <c r="G207" s="149" t="inlineStr">
        <is>
          <t>SnoutUp</t>
        </is>
      </c>
      <c r="H207" s="149" t="inlineStr">
        <is>
          <t>Card Battler · Turn-Based · Roguelike Deckbuilder · Deckbuilding · Roguelite · Turn-Based Strategy · Comedy · Funny</t>
        </is>
      </c>
    </row>
    <row r="208" ht="15" customHeight="1" s="78">
      <c r="A208" s="152" t="n">
        <v>2453610</v>
      </c>
      <c r="B208" s="152" t="inlineStr">
        <is>
          <t>Towerful Defense: A Rogue TD</t>
        </is>
      </c>
      <c r="C208" s="152" t="n">
        <v>2024</v>
      </c>
      <c r="D208" s="153" t="n">
        <v>9.99</v>
      </c>
      <c r="E208" s="154" t="n">
        <v>14905</v>
      </c>
      <c r="F208" s="152" t="n">
        <v>73</v>
      </c>
      <c r="G208" s="152" t="inlineStr">
        <is>
          <t>Mini Fun Games</t>
        </is>
      </c>
      <c r="H208" s="152" t="inlineStr">
        <is>
          <t>Action Roguelike · Auto Battler · Tower Defense · Shoot 'Em Up · Roguelite · Bullet Heaven · Bullet Hell · Survival</t>
        </is>
      </c>
    </row>
    <row r="209" ht="15" customHeight="1" s="78">
      <c r="A209" s="149" t="n">
        <v>2400960</v>
      </c>
      <c r="B209" s="149" t="inlineStr">
        <is>
          <t>SolForge Fusion</t>
        </is>
      </c>
      <c r="C209" s="149" t="n">
        <v>2024</v>
      </c>
      <c r="D209" s="150" t="n">
        <v>0</v>
      </c>
      <c r="E209" s="151" t="n">
        <v>14877</v>
      </c>
      <c r="F209" s="149" t="n">
        <v>74</v>
      </c>
      <c r="G209" s="149" t="inlineStr">
        <is>
          <t>Justin Gary; Richard Garfield</t>
        </is>
      </c>
      <c r="H209" s="149" t="inlineStr">
        <is>
          <t>Early Access · Free to Play · Card Game · Roguelike Deckbuilder · Trading Card Game · Roguelite · Card Battler · Deckbuilding</t>
        </is>
      </c>
    </row>
    <row r="210" ht="15" customHeight="1" s="78">
      <c r="A210" s="152" t="n">
        <v>1608040</v>
      </c>
      <c r="B210" s="152" t="inlineStr">
        <is>
          <t>Castle Morihisa</t>
        </is>
      </c>
      <c r="C210" s="152" t="n">
        <v>2022</v>
      </c>
      <c r="D210" s="153" t="n">
        <v>14.99</v>
      </c>
      <c r="E210" s="154" t="n">
        <v>14534</v>
      </c>
      <c r="F210" s="152" t="n">
        <v>67</v>
      </c>
      <c r="G210" s="152" t="inlineStr">
        <is>
          <t>Smokingbear Studio</t>
        </is>
      </c>
      <c r="H210" s="152" t="inlineStr">
        <is>
          <t>Roguelike Deckbuilder · Card Battler · Dungeon Crawler · Turn-Based · Replay Value · Card Game · Difficult · Turn-Based Tactics</t>
        </is>
      </c>
    </row>
    <row r="211" ht="15" customHeight="1" s="78">
      <c r="A211" s="149" t="n">
        <v>4843210</v>
      </c>
      <c r="B211" s="149" t="inlineStr">
        <is>
          <t>Hell Deck</t>
        </is>
      </c>
      <c r="C211" s="149" t="n">
        <v>2026</v>
      </c>
      <c r="D211" s="150" t="n">
        <v>1</v>
      </c>
      <c r="E211" s="151" t="n">
        <v>14482</v>
      </c>
      <c r="F211" s="149" t="n">
        <v>88</v>
      </c>
      <c r="G211" s="149" t="inlineStr">
        <is>
          <t>OFFMOON Inc.</t>
        </is>
      </c>
      <c r="H211" s="149" t="inlineStr">
        <is>
          <t>Card Battler · Roguelite · Card Game · Roguelike · Strategy · 2D · 2.5D · Horror</t>
        </is>
      </c>
    </row>
    <row r="212" ht="15" customHeight="1" s="78">
      <c r="A212" s="152" t="n">
        <v>1055990</v>
      </c>
      <c r="B212" s="152" t="inlineStr">
        <is>
          <t>Erannorth Reborn</t>
        </is>
      </c>
      <c r="C212" s="152" t="n">
        <v>2019</v>
      </c>
      <c r="D212" s="153" t="n">
        <v>17.99</v>
      </c>
      <c r="E212" s="154" t="n">
        <v>14353</v>
      </c>
      <c r="F212" s="152" t="n">
        <v>84</v>
      </c>
      <c r="G212" s="152" t="inlineStr">
        <is>
          <t>Spyridon Thalassinos</t>
        </is>
      </c>
      <c r="H212" s="152" t="inlineStr">
        <is>
          <t>Roguelike Deckbuilder · Character Customization · Deckbuilding · Fantasy · Card Game · Card Battler · RPG · Indie</t>
        </is>
      </c>
    </row>
    <row r="213" ht="15" customHeight="1" s="78">
      <c r="A213" s="149" t="n">
        <v>2114350</v>
      </c>
      <c r="B213" s="149" t="inlineStr">
        <is>
          <t>Is It Wrong to Repay the Debt in a Dungeon?</t>
        </is>
      </c>
      <c r="C213" s="149" t="n">
        <v>2023</v>
      </c>
      <c r="D213" s="150" t="n">
        <v>17.99</v>
      </c>
      <c r="E213" s="151" t="n">
        <v>14223</v>
      </c>
      <c r="F213" s="149" t="n">
        <v>82</v>
      </c>
      <c r="G213" s="149" t="inlineStr">
        <is>
          <t>Atelier Wanko</t>
        </is>
      </c>
      <c r="H213" s="149" t="inlineStr">
        <is>
          <t>Nudity · Sexual Content · Roguelike Deckbuilder · Card Game · Female Protagonist · Mystery Dungeon · Adventure · RPG</t>
        </is>
      </c>
    </row>
    <row r="214" ht="15" customHeight="1" s="78">
      <c r="A214" s="152" t="n">
        <v>2638050</v>
      </c>
      <c r="B214" s="152" t="inlineStr">
        <is>
          <t>Lost For Swords</t>
        </is>
      </c>
      <c r="C214" s="152" t="n">
        <v>2025</v>
      </c>
      <c r="D214" s="153" t="n">
        <v>9.99</v>
      </c>
      <c r="E214" s="154" t="n">
        <v>14218</v>
      </c>
      <c r="F214" s="152" t="n">
        <v>90</v>
      </c>
      <c r="G214" s="152" t="inlineStr">
        <is>
          <t>MaxBytes</t>
        </is>
      </c>
      <c r="H214" s="152" t="inlineStr">
        <is>
          <t>Roguelike · Roguelike Deckbuilder · Deckbuilding · Card Game · Dungeon Crawler · Turn-Based Tactics · Turn-Based Strategy · Roguelite</t>
        </is>
      </c>
    </row>
    <row r="215" ht="15" customHeight="1" s="78">
      <c r="A215" s="149" t="n">
        <v>3548520</v>
      </c>
      <c r="B215" s="149" t="inlineStr">
        <is>
          <t>DOG WITCH</t>
        </is>
      </c>
      <c r="C215" s="149" t="n">
        <v>2025</v>
      </c>
      <c r="D215" s="150" t="n">
        <v>9.99</v>
      </c>
      <c r="E215" s="151" t="n">
        <v>13907</v>
      </c>
      <c r="F215" s="149" t="n">
        <v>91</v>
      </c>
      <c r="G215" s="149" t="inlineStr">
        <is>
          <t>Heckmouse</t>
        </is>
      </c>
      <c r="H215" s="149" t="inlineStr">
        <is>
          <t>Roguelike Deckbuilder · Dice · Card Game · Roguelike · Colorful · Strategy · Singleplayer · Deckbuilding</t>
        </is>
      </c>
    </row>
    <row r="216" ht="15" customHeight="1" s="78">
      <c r="A216" s="152" t="n">
        <v>557410</v>
      </c>
      <c r="B216" s="152" t="inlineStr">
        <is>
          <t>Dream Quest</t>
        </is>
      </c>
      <c r="C216" s="152" t="n">
        <v>2016</v>
      </c>
      <c r="D216" s="153" t="n">
        <v>9.99</v>
      </c>
      <c r="E216" s="154" t="n">
        <v>13900</v>
      </c>
      <c r="F216" s="152" t="n">
        <v>90</v>
      </c>
      <c r="G216" s="152" t="inlineStr">
        <is>
          <t>Peter Whalen</t>
        </is>
      </c>
      <c r="H216" s="152" t="inlineStr">
        <is>
          <t>Roguelike Deckbuilder · Roguelike · Deckbuilding · RPG · Card Battler · Card Game · Singleplayer</t>
        </is>
      </c>
    </row>
    <row r="217" ht="15" customHeight="1" s="78">
      <c r="A217" s="149" t="n">
        <v>3167970</v>
      </c>
      <c r="B217" s="149" t="inlineStr">
        <is>
          <t>Starless Abyss</t>
        </is>
      </c>
      <c r="C217" s="149" t="n">
        <v>2025</v>
      </c>
      <c r="D217" s="150" t="n">
        <v>19.99</v>
      </c>
      <c r="E217" s="151" t="n">
        <v>13765</v>
      </c>
      <c r="F217" s="149" t="n">
        <v>86</v>
      </c>
      <c r="G217" s="149" t="inlineStr">
        <is>
          <t>Konafa Games</t>
        </is>
      </c>
      <c r="H217" s="149" t="inlineStr">
        <is>
          <t>Strategy · Indie · Lovecraftian · Roguelike Deckbuilder · Turn-Based Combat · 2D · Space · Singleplayer</t>
        </is>
      </c>
    </row>
    <row r="218" ht="15" customHeight="1" s="78">
      <c r="A218" s="152" t="n">
        <v>3585160</v>
      </c>
      <c r="B218" s="152" t="inlineStr">
        <is>
          <t>From The Top</t>
        </is>
      </c>
      <c r="C218" s="152" t="n">
        <v>2025</v>
      </c>
      <c r="D218" s="153" t="n">
        <v>3.99</v>
      </c>
      <c r="E218" s="154" t="n">
        <v>13610</v>
      </c>
      <c r="F218" s="152" t="n">
        <v>84</v>
      </c>
      <c r="G218" s="152" t="inlineStr">
        <is>
          <t>JUNKFALL33</t>
        </is>
      </c>
      <c r="H218" s="152" t="inlineStr">
        <is>
          <t>Action Roguelike · Roguelike Deckbuilder · Crafting · Casual · PvE · 3D · Roguelike · Tutorial</t>
        </is>
      </c>
    </row>
    <row r="219" ht="15" customHeight="1" s="78">
      <c r="A219" s="149" t="n">
        <v>5005680</v>
      </c>
      <c r="B219" s="149" t="inlineStr">
        <is>
          <t>CatPoker</t>
        </is>
      </c>
      <c r="C219" s="149" t="n">
        <v>2026</v>
      </c>
      <c r="D219" s="150" t="n">
        <v>0</v>
      </c>
      <c r="E219" s="151" t="n">
        <v>13508</v>
      </c>
      <c r="F219" s="149" t="n">
        <v>97</v>
      </c>
      <c r="G219" s="149" t="inlineStr">
        <is>
          <t>HotpotGames</t>
        </is>
      </c>
      <c r="H219" s="149" t="inlineStr">
        <is>
          <t>Party Game · Deckbuilding · Incremental · PvP · Roguelike Deckbuilder · Card Game · PvE · Roguelite</t>
        </is>
      </c>
    </row>
    <row r="220" ht="15" customHeight="1" s="78">
      <c r="A220" s="152" t="n">
        <v>3349800</v>
      </c>
      <c r="B220" s="152" t="inlineStr">
        <is>
          <t>Bone To Gather</t>
        </is>
      </c>
      <c r="C220" s="152" t="n">
        <v>2024</v>
      </c>
      <c r="D220" s="153" t="n">
        <v>0</v>
      </c>
      <c r="E220" s="154" t="n">
        <v>12744</v>
      </c>
      <c r="F220" s="152" t="n">
        <v>98</v>
      </c>
      <c r="G220" s="152" t="inlineStr">
        <is>
          <t>Anyway Games</t>
        </is>
      </c>
      <c r="H220" s="152" t="inlineStr">
        <is>
          <t>Strategy · Action Roguelike · Roguelike Deckbuilder · Creature Collector · Point &amp; Click · Cute · Action · PvE</t>
        </is>
      </c>
    </row>
    <row r="221" ht="15" customHeight="1" s="78">
      <c r="A221" s="149" t="n">
        <v>1861090</v>
      </c>
      <c r="B221" s="149" t="inlineStr">
        <is>
          <t>Dire Destiny : Time Travel</t>
        </is>
      </c>
      <c r="C221" s="149" t="n">
        <v>2023</v>
      </c>
      <c r="D221" s="150" t="n">
        <v>0</v>
      </c>
      <c r="E221" s="151" t="n">
        <v>12524</v>
      </c>
      <c r="F221" s="149" t="n">
        <v>64</v>
      </c>
      <c r="G221" s="149" t="inlineStr">
        <is>
          <t>Dire Destiny Studio</t>
        </is>
      </c>
      <c r="H221" s="149" t="inlineStr">
        <is>
          <t>Strategy · Turn-Based Strategy · Card Battler · Roguelike · 2D · Medieval · Time Travel · Magic</t>
        </is>
      </c>
    </row>
    <row r="222" ht="15" customHeight="1" s="78">
      <c r="A222" s="152" t="n">
        <v>3408020</v>
      </c>
      <c r="B222" s="152" t="inlineStr">
        <is>
          <t>Succubus Forest</t>
        </is>
      </c>
      <c r="C222" s="152" t="n">
        <v>2025</v>
      </c>
      <c r="D222" s="153" t="n">
        <v>12.99</v>
      </c>
      <c r="E222" s="154" t="n">
        <v>12508</v>
      </c>
      <c r="F222" s="152" t="n">
        <v>76</v>
      </c>
      <c r="G222" s="152" t="inlineStr">
        <is>
          <t>MKaiser</t>
        </is>
      </c>
      <c r="H222" s="152" t="inlineStr">
        <is>
          <t>Casual · Sexual Content · RPG · Hentai · Pixel Graphics · 2D · Singleplayer · Adventure</t>
        </is>
      </c>
    </row>
    <row r="223" ht="15" customHeight="1" s="78">
      <c r="A223" s="149" t="n">
        <v>2427450</v>
      </c>
      <c r="B223" s="149" t="inlineStr">
        <is>
          <t>Flick Shot Rogues</t>
        </is>
      </c>
      <c r="C223" s="149" t="n">
        <v>2025</v>
      </c>
      <c r="D223" s="150" t="n">
        <v>14.99</v>
      </c>
      <c r="E223" s="151" t="n">
        <v>12256</v>
      </c>
      <c r="F223" s="149" t="n">
        <v>88</v>
      </c>
      <c r="G223" s="149" t="inlineStr">
        <is>
          <t>Butter By The Fish</t>
        </is>
      </c>
      <c r="H223" s="149" t="inlineStr">
        <is>
          <t>Indie · Roguelite · Turn-Based Strategy · Physics · Strategy · Turn-Based Tactics · Board Game · Turn-Based Combat</t>
        </is>
      </c>
    </row>
    <row r="224" ht="15" customHeight="1" s="78">
      <c r="A224" s="152" t="n">
        <v>905490</v>
      </c>
      <c r="B224" s="152" t="inlineStr">
        <is>
          <t>Deck Hunter</t>
        </is>
      </c>
      <c r="C224" s="152" t="n">
        <v>2019</v>
      </c>
      <c r="D224" s="153" t="n">
        <v>2.99</v>
      </c>
      <c r="E224" s="154" t="n">
        <v>12084</v>
      </c>
      <c r="F224" s="152" t="n">
        <v>68</v>
      </c>
      <c r="G224" s="152" t="inlineStr">
        <is>
          <t>L_Draven</t>
        </is>
      </c>
      <c r="H224" s="152" t="inlineStr">
        <is>
          <t>Roguelike Deckbuilder · Roguelite · Deckbuilding · Card Battler · Strategy · Indie · Adventure · Card Game</t>
        </is>
      </c>
    </row>
    <row r="225" ht="15" customHeight="1" s="78">
      <c r="A225" s="149" t="n">
        <v>2902440</v>
      </c>
      <c r="B225" s="149" t="inlineStr">
        <is>
          <t>Steve's Warehouse: Physics. Roguelike. Chaos.</t>
        </is>
      </c>
      <c r="C225" s="149" t="n">
        <v>2025</v>
      </c>
      <c r="D225" s="150" t="n">
        <v>7.99</v>
      </c>
      <c r="E225" s="151" t="n">
        <v>11916</v>
      </c>
      <c r="F225" s="149" t="n">
        <v>87</v>
      </c>
      <c r="G225" s="149" t="inlineStr">
        <is>
          <t>Definitely Named Steve</t>
        </is>
      </c>
      <c r="H225" s="149" t="inlineStr">
        <is>
          <t>Physics · Roguelike Deckbuilder · Falling Blocks · Deckbuilding · Score Attack · Roguelite · Roguelike · Funny</t>
        </is>
      </c>
    </row>
    <row r="226" ht="15" customHeight="1" s="78">
      <c r="A226" s="152" t="n">
        <v>2516820</v>
      </c>
      <c r="B226" s="152" t="inlineStr">
        <is>
          <t>LuckLand</t>
        </is>
      </c>
      <c r="C226" s="152" t="n">
        <v>2023</v>
      </c>
      <c r="D226" s="153" t="n">
        <v>8.99</v>
      </c>
      <c r="E226" s="154" t="n">
        <v>11840</v>
      </c>
      <c r="F226" s="152" t="n">
        <v>95</v>
      </c>
      <c r="G226" s="152" t="inlineStr">
        <is>
          <t>e-Jade</t>
        </is>
      </c>
      <c r="H226" s="152" t="inlineStr">
        <is>
          <t>Roguelike Deckbuilder · Deckbuilding · Roguelite · Strategy · Indie · Roguelike · Card Game · Board Game</t>
        </is>
      </c>
    </row>
    <row r="227" ht="15" customHeight="1" s="78">
      <c r="A227" s="149" t="n">
        <v>1314770</v>
      </c>
      <c r="B227" s="149" t="inlineStr">
        <is>
          <t>Three Kingdom: The Journey</t>
        </is>
      </c>
      <c r="C227" s="149" t="n">
        <v>2023</v>
      </c>
      <c r="D227" s="150" t="n">
        <v>12.99</v>
      </c>
      <c r="E227" s="151" t="n">
        <v>11823</v>
      </c>
      <c r="F227" s="149" t="n">
        <v>82</v>
      </c>
      <c r="G227" s="149" t="inlineStr">
        <is>
          <t>Senmu Studio</t>
        </is>
      </c>
      <c r="H227" s="149" t="inlineStr">
        <is>
          <t>Roguelike · Deckbuilding · Card Battler · Card Game · Strategy · Historical · Roguelike Deckbuilder · Roguelite</t>
        </is>
      </c>
    </row>
    <row r="228" ht="15" customHeight="1" s="78">
      <c r="A228" s="152" t="n">
        <v>3284290</v>
      </c>
      <c r="B228" s="152" t="inlineStr">
        <is>
          <t>Moonsigil Atlas</t>
        </is>
      </c>
      <c r="C228" s="152" t="n">
        <v>2026</v>
      </c>
      <c r="D228" s="153" t="n">
        <v>19.99</v>
      </c>
      <c r="E228" s="154" t="n">
        <v>11792</v>
      </c>
      <c r="F228" s="152" t="n">
        <v>84</v>
      </c>
      <c r="G228" s="152" t="inlineStr">
        <is>
          <t>Snake Tower Games</t>
        </is>
      </c>
      <c r="H228" s="152" t="inlineStr">
        <is>
          <t>Roguelike Deckbuilder · Strategy · Replay Value · Choices Matter · Building · Card Battler · Procedural Generation · Deckbuilding</t>
        </is>
      </c>
    </row>
    <row r="229" ht="15" customHeight="1" s="78">
      <c r="A229" s="149" t="n">
        <v>2372240</v>
      </c>
      <c r="B229" s="149" t="inlineStr">
        <is>
          <t>Re:Night</t>
        </is>
      </c>
      <c r="C229" s="149" t="n">
        <v>2026</v>
      </c>
      <c r="D229" s="150" t="n">
        <v>13.99</v>
      </c>
      <c r="E229" s="151" t="n">
        <v>11711</v>
      </c>
      <c r="F229" s="149" t="n">
        <v>90</v>
      </c>
      <c r="G229" s="149" t="inlineStr">
        <is>
          <t>Seahorse Games</t>
        </is>
      </c>
      <c r="H229" s="149" t="inlineStr">
        <is>
          <t>Roguelike Deckbuilder · Deckbuilding · Card Battler · Strategy · Roguelike · Card Game · Turn-Based Tactics · Turn-Based Combat</t>
        </is>
      </c>
    </row>
    <row r="230" ht="15" customHeight="1" s="78">
      <c r="A230" s="152" t="n">
        <v>1660290</v>
      </c>
      <c r="B230" s="152" t="inlineStr">
        <is>
          <t>Monmusu Gladiator</t>
        </is>
      </c>
      <c r="C230" s="152" t="n">
        <v>2021</v>
      </c>
      <c r="D230" s="153" t="n">
        <v>4.99</v>
      </c>
      <c r="E230" s="154" t="n">
        <v>11627</v>
      </c>
      <c r="F230" s="152" t="n">
        <v>94</v>
      </c>
      <c r="G230" s="152" t="inlineStr">
        <is>
          <t>ZephyrStudio</t>
        </is>
      </c>
      <c r="H230" s="152" t="inlineStr">
        <is>
          <t>Casual · Female Protagonist · Cute · Anime · Cartoony · Roguelike Deckbuilder · RPG · Indie</t>
        </is>
      </c>
    </row>
    <row r="231" ht="15" customHeight="1" s="78">
      <c r="A231" s="149" t="n">
        <v>1380650</v>
      </c>
      <c r="B231" s="149" t="inlineStr">
        <is>
          <t>Draft of Darkness</t>
        </is>
      </c>
      <c r="C231" s="149" t="n">
        <v>2023</v>
      </c>
      <c r="D231" s="150" t="n">
        <v>14.99</v>
      </c>
      <c r="E231" s="151" t="n">
        <v>11363</v>
      </c>
      <c r="F231" s="149" t="n">
        <v>93</v>
      </c>
      <c r="G231" s="149" t="inlineStr">
        <is>
          <t>Crawly Games</t>
        </is>
      </c>
      <c r="H231" s="149" t="inlineStr">
        <is>
          <t>Roguelike Deckbuilder · Survival Horror · Dungeon Crawler · Card Battler · Perma Death · Procedural Generation · Deckbuilding · Turn-Based Strategy</t>
        </is>
      </c>
    </row>
    <row r="232" ht="15" customHeight="1" s="78">
      <c r="A232" s="152" t="n">
        <v>2870430</v>
      </c>
      <c r="B232" s="152" t="inlineStr">
        <is>
          <t>Godslayer Arena</t>
        </is>
      </c>
      <c r="C232" s="152" t="n">
        <v>2025</v>
      </c>
      <c r="D232" s="153" t="n">
        <v>14.99</v>
      </c>
      <c r="E232" s="154" t="n">
        <v>11182</v>
      </c>
      <c r="F232" s="152" t="n">
        <v>76</v>
      </c>
      <c r="G232" s="152" t="inlineStr">
        <is>
          <t>Hippo Rider Games</t>
        </is>
      </c>
      <c r="H232" s="152" t="inlineStr">
        <is>
          <t>Early Access · Roguelike · Auto Battler · Strategy · Card Game · Action RPG · Card Battler · Roguelike Deckbuilder</t>
        </is>
      </c>
    </row>
    <row r="233" ht="15" customHeight="1" s="78">
      <c r="A233" s="149" t="n">
        <v>1727520</v>
      </c>
      <c r="B233" s="149" t="inlineStr">
        <is>
          <t>Yamafuda! 2nd station</t>
        </is>
      </c>
      <c r="C233" s="149" t="n">
        <v>2021</v>
      </c>
      <c r="D233" s="150" t="n">
        <v>12.99</v>
      </c>
      <c r="E233" s="151" t="n">
        <v>11047</v>
      </c>
      <c r="F233" s="149" t="n">
        <v>97</v>
      </c>
      <c r="G233" s="149" t="inlineStr">
        <is>
          <t>KPC</t>
        </is>
      </c>
      <c r="H233" s="149" t="inlineStr">
        <is>
          <t>Roguelike Deckbuilder · Cute · Card Game · Casual · Relaxing · Roguelite · Deckbuilding · Singleplayer</t>
        </is>
      </c>
    </row>
    <row r="234" ht="15" customHeight="1" s="78">
      <c r="A234" s="152" t="n">
        <v>3966890</v>
      </c>
      <c r="B234" s="152" t="inlineStr">
        <is>
          <t>Dawncaster | The RPG Cardventure</t>
        </is>
      </c>
      <c r="C234" s="152" t="n">
        <v>2026</v>
      </c>
      <c r="D234" s="153" t="n">
        <v>19.99</v>
      </c>
      <c r="E234" s="154" t="n">
        <v>10982</v>
      </c>
      <c r="F234" s="152" t="n">
        <v>83</v>
      </c>
      <c r="G234" s="152" t="inlineStr">
        <is>
          <t>Wanderlost Interactive</t>
        </is>
      </c>
      <c r="H234" s="152" t="inlineStr">
        <is>
          <t>Strategy · RPG · Indie · Deckbuilding · Card Game · Fantasy · 2D · Roguelite</t>
        </is>
      </c>
    </row>
    <row r="235" ht="15" customHeight="1" s="78">
      <c r="A235" s="149" t="n">
        <v>3415570</v>
      </c>
      <c r="B235" s="149" t="inlineStr">
        <is>
          <t>Die For The Lich</t>
        </is>
      </c>
      <c r="C235" s="149" t="n">
        <v>2025</v>
      </c>
      <c r="D235" s="150" t="n">
        <v>11.99</v>
      </c>
      <c r="E235" s="151" t="n">
        <v>10849</v>
      </c>
      <c r="F235" s="149" t="n">
        <v>78</v>
      </c>
      <c r="G235" s="149" t="inlineStr">
        <is>
          <t>Monovoid</t>
        </is>
      </c>
      <c r="H235" s="149" t="inlineStr">
        <is>
          <t>Early Access · Dice · Deckbuilding · Roguelike · Turn-Based Strategy · Dungeon Crawler · Board Game · Roguelike Deckbuilder</t>
        </is>
      </c>
    </row>
    <row r="236" ht="15" customHeight="1" s="78">
      <c r="A236" s="152" t="n">
        <v>2008050</v>
      </c>
      <c r="B236" s="152" t="inlineStr">
        <is>
          <t>Right and Down</t>
        </is>
      </c>
      <c r="C236" s="152" t="n">
        <v>2022</v>
      </c>
      <c r="D236" s="153" t="n">
        <v>9.99</v>
      </c>
      <c r="E236" s="154" t="n">
        <v>10764</v>
      </c>
      <c r="F236" s="152" t="n">
        <v>79</v>
      </c>
      <c r="G236" s="152" t="inlineStr">
        <is>
          <t>mc2games</t>
        </is>
      </c>
      <c r="H236" s="152" t="inlineStr">
        <is>
          <t>Roguelike · Roguelike Deckbuilder · Deckbuilding · Dungeon Crawler · Card Game · Turn-Based Tactics · Strategy · Card Battler</t>
        </is>
      </c>
    </row>
    <row r="237" ht="15" customHeight="1" s="78">
      <c r="A237" s="149" t="n">
        <v>2097030</v>
      </c>
      <c r="B237" s="149" t="inlineStr">
        <is>
          <t>Union of Gnomes</t>
        </is>
      </c>
      <c r="C237" s="149" t="n">
        <v>2025</v>
      </c>
      <c r="D237" s="150" t="n">
        <v>14.99</v>
      </c>
      <c r="E237" s="151" t="n">
        <v>10694</v>
      </c>
      <c r="F237" s="149" t="n">
        <v>81</v>
      </c>
      <c r="G237" s="149" t="inlineStr">
        <is>
          <t>Hoolignomes</t>
        </is>
      </c>
      <c r="H237" s="149" t="inlineStr">
        <is>
          <t>Roguelike Deckbuilder · Card Game · Turn-Based · Roguelike · Turn-Based Combat · Dwarves · Deckbuilding · Strategy</t>
        </is>
      </c>
    </row>
    <row r="238" ht="15" customHeight="1" s="78">
      <c r="A238" s="152" t="n">
        <v>2356470</v>
      </c>
      <c r="B238" s="152" t="inlineStr">
        <is>
          <t>Lost Chapter</t>
        </is>
      </c>
      <c r="C238" s="152" t="n">
        <v>2023</v>
      </c>
      <c r="D238" s="153" t="n">
        <v>14.99</v>
      </c>
      <c r="E238" s="154" t="n">
        <v>10585</v>
      </c>
      <c r="F238" s="152" t="n">
        <v>86</v>
      </c>
      <c r="G238" s="152" t="inlineStr">
        <is>
          <t>Almichadia</t>
        </is>
      </c>
      <c r="H238" s="152" t="inlineStr">
        <is>
          <t>Sexual Content · Roguelike Deckbuilder · Deckbuilding · Nudity · Card Battler · Card Game · Roguelike · Strategy</t>
        </is>
      </c>
    </row>
    <row r="239" ht="15" customHeight="1" s="78">
      <c r="A239" s="149" t="n">
        <v>1724390</v>
      </c>
      <c r="B239" s="149" t="inlineStr">
        <is>
          <t>Power Chord</t>
        </is>
      </c>
      <c r="C239" s="149" t="n">
        <v>2023</v>
      </c>
      <c r="D239" s="150" t="n">
        <v>19.99</v>
      </c>
      <c r="E239" s="151" t="n">
        <v>10576</v>
      </c>
      <c r="F239" s="149" t="n">
        <v>71</v>
      </c>
      <c r="G239" s="149" t="inlineStr">
        <is>
          <t>Big Blue Bubble</t>
        </is>
      </c>
      <c r="H239" s="149" t="inlineStr">
        <is>
          <t>Roguelike Deckbuilder · Deckbuilding · Roguelite · Turn-Based Combat · Card Game · Dungeon Crawler · Roguelike · Turn-Based Strategy</t>
        </is>
      </c>
    </row>
    <row r="240" ht="15" customHeight="1" s="78">
      <c r="A240" s="152" t="n">
        <v>3493400</v>
      </c>
      <c r="B240" s="152" t="inlineStr">
        <is>
          <t>BLOODLETTER</t>
        </is>
      </c>
      <c r="C240" s="152" t="n">
        <v>2026</v>
      </c>
      <c r="D240" s="153" t="n">
        <v>15.49</v>
      </c>
      <c r="E240" s="154" t="n">
        <v>10554</v>
      </c>
      <c r="F240" s="152" t="n">
        <v>80</v>
      </c>
      <c r="G240" s="152" t="inlineStr">
        <is>
          <t>ALDAMAMI GAMES</t>
        </is>
      </c>
      <c r="H240" s="152" t="inlineStr">
        <is>
          <t>Lovecraftian · Roguelike Deckbuilder · Deckbuilding · Dark Fantasy · Medieval · Hand-drawn · Choices Matter · Simulation</t>
        </is>
      </c>
    </row>
    <row r="241" ht="15" customHeight="1" s="78">
      <c r="A241" s="149" t="n">
        <v>1716940</v>
      </c>
      <c r="B241" s="149" t="inlineStr">
        <is>
          <t>Ancient Gods</t>
        </is>
      </c>
      <c r="C241" s="149" t="n">
        <v>2022</v>
      </c>
      <c r="D241" s="150" t="n">
        <v>19.99</v>
      </c>
      <c r="E241" s="151" t="n">
        <v>10467</v>
      </c>
      <c r="F241" s="149" t="n">
        <v>63</v>
      </c>
      <c r="G241" s="149" t="inlineStr">
        <is>
          <t>Hexpion</t>
        </is>
      </c>
      <c r="H241" s="149" t="inlineStr">
        <is>
          <t>Card Battler · Turn-Based Tactics · Roguelite · Dungeon Crawler · PvE · Difficult · Card Game · Turn-Based</t>
        </is>
      </c>
    </row>
    <row r="242" ht="15" customHeight="1" s="78">
      <c r="A242" s="152" t="n">
        <v>3930510</v>
      </c>
      <c r="B242" s="152" t="inlineStr">
        <is>
          <t>Don't Let It Starve</t>
        </is>
      </c>
      <c r="C242" s="152" t="n">
        <v>2026</v>
      </c>
      <c r="D242" s="153" t="n">
        <v>7.99</v>
      </c>
      <c r="E242" s="154" t="n">
        <v>10374</v>
      </c>
      <c r="F242" s="152" t="n">
        <v>96</v>
      </c>
      <c r="G242" s="152" t="inlineStr">
        <is>
          <t>Eduardo Scarpato</t>
        </is>
      </c>
      <c r="H242" s="152" t="inlineStr">
        <is>
          <t>Strategy · Roguelike · Roguelite · Horror · Cooking · Simulation · 3D · First-Person</t>
        </is>
      </c>
    </row>
    <row r="243" ht="15" customHeight="1" s="78">
      <c r="A243" s="149" t="n">
        <v>2769070</v>
      </c>
      <c r="B243" s="149" t="inlineStr">
        <is>
          <t>Ultimate Hero</t>
        </is>
      </c>
      <c r="C243" s="149" t="n">
        <v>2025</v>
      </c>
      <c r="D243" s="150" t="n">
        <v>9.99</v>
      </c>
      <c r="E243" s="151" t="n">
        <v>10370</v>
      </c>
      <c r="F243" s="149" t="n">
        <v>70</v>
      </c>
      <c r="G243" s="149" t="inlineStr">
        <is>
          <t>Fishwharf</t>
        </is>
      </c>
      <c r="H243" s="149" t="inlineStr">
        <is>
          <t>Roguelike Deckbuilder · Roguelite · Turn-Based Combat · Strategy · Roguelike · Martial Arts · Swordplay · Deckbuilding</t>
        </is>
      </c>
    </row>
    <row r="244" ht="15" customHeight="1" s="78">
      <c r="A244" s="152" t="n">
        <v>4252700</v>
      </c>
      <c r="B244" s="152" t="inlineStr">
        <is>
          <t>Archon Soul</t>
        </is>
      </c>
      <c r="C244" s="152" t="n">
        <v>2026</v>
      </c>
      <c r="D244" s="153" t="n">
        <v>13.99</v>
      </c>
      <c r="E244" s="154" t="n">
        <v>10332</v>
      </c>
      <c r="F244" s="152" t="n">
        <v>89</v>
      </c>
      <c r="G244" s="152" t="inlineStr">
        <is>
          <t>PolyGryph</t>
        </is>
      </c>
      <c r="H244" s="152" t="inlineStr">
        <is>
          <t>Roguelike Deckbuilder · Dice · Card Battler · Turn-Based · Strategy · Fantasy · Magic · Deckbuilding</t>
        </is>
      </c>
    </row>
    <row r="245" ht="15" customHeight="1" s="78">
      <c r="A245" s="149" t="n">
        <v>3001330</v>
      </c>
      <c r="B245" s="149" t="inlineStr">
        <is>
          <t>Forest Heroes</t>
        </is>
      </c>
      <c r="C245" s="149" t="n">
        <v>2025</v>
      </c>
      <c r="D245" s="150" t="n">
        <v>9.99</v>
      </c>
      <c r="E245" s="151" t="n">
        <v>10332</v>
      </c>
      <c r="F245" s="149" t="n">
        <v>84</v>
      </c>
      <c r="G245" s="149" t="inlineStr">
        <is>
          <t>Hoochoo Game Studios</t>
        </is>
      </c>
      <c r="H245" s="149" t="inlineStr">
        <is>
          <t>Strategy · Tower Defense · Roguelike Deckbuilder · Singleplayer · Card Battler · Casual · Roguelite · 2D</t>
        </is>
      </c>
    </row>
    <row r="246" ht="15" customHeight="1" s="78">
      <c r="A246" s="152" t="n">
        <v>4189910</v>
      </c>
      <c r="B246" s="152" t="inlineStr">
        <is>
          <t>Dice In You</t>
        </is>
      </c>
      <c r="C246" s="152" t="n">
        <v>2025</v>
      </c>
      <c r="D246" s="153" t="n">
        <v>0</v>
      </c>
      <c r="E246" s="154" t="n">
        <v>10303</v>
      </c>
      <c r="F246" s="152" t="n">
        <v>95</v>
      </c>
      <c r="G246" s="152" t="inlineStr">
        <is>
          <t>Team DICE</t>
        </is>
      </c>
      <c r="H246" s="152" t="inlineStr">
        <is>
          <t>Roguelike Deckbuilder · Deckbuilding · Strategy · Simulation · Roguelike · Board Game · Dice · Female Protagonist</t>
        </is>
      </c>
    </row>
    <row r="247" ht="15" customHeight="1" s="78">
      <c r="A247" s="149" t="n">
        <v>1081470</v>
      </c>
      <c r="B247" s="149" t="inlineStr">
        <is>
          <t>Born of Fire</t>
        </is>
      </c>
      <c r="C247" s="149" t="n">
        <v>2019</v>
      </c>
      <c r="D247" s="150" t="n">
        <v>0</v>
      </c>
      <c r="E247" s="151" t="n">
        <v>10112</v>
      </c>
      <c r="F247" s="149" t="n">
        <v>61</v>
      </c>
      <c r="G247" s="149" t="inlineStr">
        <is>
          <t>Leaf Boat Studio</t>
        </is>
      </c>
      <c r="H247" s="149" t="inlineStr">
        <is>
          <t>Roguelike Deckbuilder · Free to Play · Strategy · Early Access · RPG · Roguelite · Card Game · PvP</t>
        </is>
      </c>
    </row>
    <row r="248" ht="15" customHeight="1" s="78">
      <c r="A248" s="152" t="n">
        <v>3446840</v>
      </c>
      <c r="B248" s="152" t="inlineStr">
        <is>
          <t>RogueJack21</t>
        </is>
      </c>
      <c r="C248" s="152" t="n">
        <v>2026</v>
      </c>
      <c r="D248" s="153" t="n">
        <v>11.99</v>
      </c>
      <c r="E248" s="154" t="n">
        <v>10000</v>
      </c>
      <c r="F248" s="152" t="n">
        <v>69</v>
      </c>
      <c r="G248" s="152" t="inlineStr">
        <is>
          <t>Zandbox Studio</t>
        </is>
      </c>
      <c r="H248" s="152" t="inlineStr">
        <is>
          <t>Roguelike Deckbuilder · Strategy · Card Game · Deckbuilding · Roguelite · Turn-Based · Gambling · Roguelike</t>
        </is>
      </c>
    </row>
    <row r="249" ht="15" customHeight="1" s="78">
      <c r="A249" s="149" t="n">
        <v>3159120</v>
      </c>
      <c r="B249" s="149" t="inlineStr">
        <is>
          <t>Hidden Realm of the Enchantress</t>
        </is>
      </c>
      <c r="C249" s="149" t="n">
        <v>2025</v>
      </c>
      <c r="D249" s="150" t="n">
        <v>6.99</v>
      </c>
      <c r="E249" s="151" t="n">
        <v>9585</v>
      </c>
      <c r="F249" s="149" t="n">
        <v>94</v>
      </c>
      <c r="G249" s="149" t="inlineStr">
        <is>
          <t>T.F.A.N.C.S.</t>
        </is>
      </c>
      <c r="H249" s="149" t="inlineStr">
        <is>
          <t>Sexual Content · Nudity · Roguelike Deckbuilder · RPG · Cute · Casual · Simulation · Turn-Based Strategy</t>
        </is>
      </c>
    </row>
    <row r="250" ht="15" customHeight="1" s="78">
      <c r="A250" s="152" t="n">
        <v>2087460</v>
      </c>
      <c r="B250" s="152" t="inlineStr">
        <is>
          <t>Ruff Ghanor</t>
        </is>
      </c>
      <c r="C250" s="152" t="n">
        <v>2024</v>
      </c>
      <c r="D250" s="153" t="n">
        <v>19.99</v>
      </c>
      <c r="E250" s="154" t="n">
        <v>9345</v>
      </c>
      <c r="F250" s="152" t="n">
        <v>89</v>
      </c>
      <c r="G250" s="152" t="inlineStr">
        <is>
          <t>DX Gameworks</t>
        </is>
      </c>
      <c r="H250" s="152" t="inlineStr">
        <is>
          <t>Strategy · Roguelike Deckbuilder · Card Battler · Trading Card Game · Roguelite · Singleplayer · Fantasy · Story Rich</t>
        </is>
      </c>
    </row>
    <row r="251" ht="15" customHeight="1" s="78">
      <c r="A251" s="149" t="n">
        <v>2797650</v>
      </c>
      <c r="B251" s="149" t="inlineStr">
        <is>
          <t>Pip My Dice</t>
        </is>
      </c>
      <c r="C251" s="149" t="n">
        <v>2025</v>
      </c>
      <c r="D251" s="150" t="n">
        <v>10.99</v>
      </c>
      <c r="E251" s="151" t="n">
        <v>9155</v>
      </c>
      <c r="F251" s="149" t="n">
        <v>83</v>
      </c>
      <c r="G251" s="149" t="inlineStr">
        <is>
          <t>Diving Swan Games</t>
        </is>
      </c>
      <c r="H251" s="149" t="inlineStr">
        <is>
          <t>Strategy · Roguelike Deckbuilder · Replay Value · Dice · Casual · Score Attack · Tabletop · Relaxing</t>
        </is>
      </c>
    </row>
    <row r="252" ht="15" customHeight="1" s="78">
      <c r="A252" s="152" t="n">
        <v>3009310</v>
      </c>
      <c r="B252" s="152" t="inlineStr">
        <is>
          <t>Master of Piece</t>
        </is>
      </c>
      <c r="C252" s="152" t="n">
        <v>2026</v>
      </c>
      <c r="D252" s="153" t="n">
        <v>14.99</v>
      </c>
      <c r="E252" s="154" t="n">
        <v>9051</v>
      </c>
      <c r="F252" s="152" t="n">
        <v>89</v>
      </c>
      <c r="G252" s="152" t="inlineStr">
        <is>
          <t>I M GAME; I M fine</t>
        </is>
      </c>
      <c r="H252" s="152" t="inlineStr">
        <is>
          <t>Early Access · Turn-Based Strategy · Roguelike Deckbuilder · Tactical · Board Game · Tabletop · Turn-Based Combat · Card Battler</t>
        </is>
      </c>
    </row>
    <row r="253" ht="15" customHeight="1" s="78">
      <c r="A253" s="149" t="n">
        <v>490950</v>
      </c>
      <c r="B253" s="149" t="inlineStr">
        <is>
          <t>Frost</t>
        </is>
      </c>
      <c r="C253" s="149" t="n">
        <v>2016</v>
      </c>
      <c r="D253" s="150" t="n">
        <v>6.99</v>
      </c>
      <c r="E253" s="151" t="n">
        <v>8958</v>
      </c>
      <c r="F253" s="149" t="n">
        <v>87</v>
      </c>
      <c r="G253" s="149" t="inlineStr">
        <is>
          <t>Jérôme Bodin</t>
        </is>
      </c>
      <c r="H253" s="149" t="inlineStr">
        <is>
          <t>Deckbuilding · Card Game · Survival · Strategy · Singleplayer · Roguelike Deckbuilder · Roguelike · Turn-Based</t>
        </is>
      </c>
    </row>
    <row r="254" ht="15" customHeight="1" s="78">
      <c r="A254" s="152" t="n">
        <v>2144220</v>
      </c>
      <c r="B254" s="152" t="inlineStr">
        <is>
          <t>DUNGEON ARTIFACT</t>
        </is>
      </c>
      <c r="C254" s="152" t="n">
        <v>2024</v>
      </c>
      <c r="D254" s="153" t="n">
        <v>9.99</v>
      </c>
      <c r="E254" s="154" t="n">
        <v>8948</v>
      </c>
      <c r="F254" s="152" t="n">
        <v>96</v>
      </c>
      <c r="G254" s="152" t="inlineStr">
        <is>
          <t>いとこん</t>
        </is>
      </c>
      <c r="H254" s="152" t="inlineStr">
        <is>
          <t>Early Access · Card Battler · Turn-Based Tactics · Card Game · Roguelike · Roguelike Deckbuilder · Female Protagonist · RPG</t>
        </is>
      </c>
    </row>
    <row r="255" ht="15" customHeight="1" s="78">
      <c r="A255" s="149" t="n">
        <v>2666230</v>
      </c>
      <c r="B255" s="149" t="inlineStr">
        <is>
          <t>Dog And Goblin</t>
        </is>
      </c>
      <c r="C255" s="149" t="n">
        <v>2024</v>
      </c>
      <c r="D255" s="150" t="n">
        <v>7.99</v>
      </c>
      <c r="E255" s="151" t="n">
        <v>8942</v>
      </c>
      <c r="F255" s="149" t="n">
        <v>78</v>
      </c>
      <c r="G255" s="149" t="inlineStr">
        <is>
          <t>Zony</t>
        </is>
      </c>
      <c r="H255" s="149" t="inlineStr">
        <is>
          <t>Roguelike Deckbuilder · Deckbuilding · Auto Battler · Strategy · Roguelike · Card Game · Minimalist · Pixel Graphics</t>
        </is>
      </c>
    </row>
    <row r="256" ht="15" customHeight="1" s="78">
      <c r="A256" s="152" t="n">
        <v>2181950</v>
      </c>
      <c r="B256" s="152" t="inlineStr">
        <is>
          <t>Zero Division</t>
        </is>
      </c>
      <c r="C256" s="152" t="n">
        <v>2024</v>
      </c>
      <c r="D256" s="153" t="n">
        <v>12.99</v>
      </c>
      <c r="E256" s="154" t="n">
        <v>8715</v>
      </c>
      <c r="F256" s="152" t="n">
        <v>87</v>
      </c>
      <c r="G256" s="152" t="inlineStr">
        <is>
          <t>Robot Cat Limited</t>
        </is>
      </c>
      <c r="H256" s="152" t="inlineStr">
        <is>
          <t>Card Battler · Card Game · Roguelike Deckbuilder · Deckbuilding · Trading Card Game · Cyberpunk · Strategy · Roguelite</t>
        </is>
      </c>
    </row>
    <row r="257" ht="15" customHeight="1" s="78">
      <c r="A257" s="149" t="n">
        <v>919220</v>
      </c>
      <c r="B257" s="149" t="inlineStr">
        <is>
          <t>Destiny or Fate</t>
        </is>
      </c>
      <c r="C257" s="149" t="n">
        <v>2019</v>
      </c>
      <c r="D257" s="150" t="n">
        <v>4.99</v>
      </c>
      <c r="E257" s="151" t="n">
        <v>8608</v>
      </c>
      <c r="F257" s="149" t="n">
        <v>55</v>
      </c>
      <c r="G257" s="149" t="inlineStr">
        <is>
          <t>Blaster</t>
        </is>
      </c>
      <c r="H257" s="149" t="inlineStr">
        <is>
          <t>Dungeon Crawler · Card Battler · Card Game · Roguelike · Deckbuilding · Turn-Based · Strategy · Singleplayer</t>
        </is>
      </c>
    </row>
    <row r="258" ht="15" customHeight="1" s="78">
      <c r="A258" s="152" t="n">
        <v>1322100</v>
      </c>
      <c r="B258" s="152" t="inlineStr">
        <is>
          <t>Battle Bands: Rock &amp; Roll Deckbuilder</t>
        </is>
      </c>
      <c r="C258" s="152" t="n">
        <v>2023</v>
      </c>
      <c r="D258" s="153" t="n">
        <v>14.99</v>
      </c>
      <c r="E258" s="154" t="n">
        <v>8606</v>
      </c>
      <c r="F258" s="152" t="n">
        <v>91</v>
      </c>
      <c r="G258" s="152" t="inlineStr">
        <is>
          <t>Aerie Digital</t>
        </is>
      </c>
      <c r="H258" s="152" t="inlineStr">
        <is>
          <t>Roguelike Deckbuilder · Card Battler · Roguelike · Deckbuilding · Character Customization · Hand-drawn · Multiplayer · 1990's</t>
        </is>
      </c>
    </row>
    <row r="259" ht="15" customHeight="1" s="78">
      <c r="A259" s="149" t="n">
        <v>2995450</v>
      </c>
      <c r="B259" s="149" t="inlineStr">
        <is>
          <t>Clutchtime™: Basketball Deckbuilder</t>
        </is>
      </c>
      <c r="C259" s="149" t="n">
        <v>2025</v>
      </c>
      <c r="D259" s="150" t="n">
        <v>19.99</v>
      </c>
      <c r="E259" s="151" t="n">
        <v>8598</v>
      </c>
      <c r="F259" s="149" t="n">
        <v>79</v>
      </c>
      <c r="G259" s="149" t="inlineStr">
        <is>
          <t>Bigosaur</t>
        </is>
      </c>
      <c r="H259" s="149" t="inlineStr">
        <is>
          <t>Roguelike Deckbuilder · Basketball · Card Game · Sports · Deckbuilding · Strategy · Roguelike · Card Battler</t>
        </is>
      </c>
    </row>
    <row r="260" ht="15" customHeight="1" s="78">
      <c r="A260" s="152" t="n">
        <v>3877790</v>
      </c>
      <c r="B260" s="152" t="inlineStr">
        <is>
          <t>Hunter's Moon: A Sovereign Syndicate Adventure</t>
        </is>
      </c>
      <c r="C260" s="152" t="n">
        <v>2025</v>
      </c>
      <c r="D260" s="153" t="n">
        <v>19.99</v>
      </c>
      <c r="E260" s="154" t="n">
        <v>8549</v>
      </c>
      <c r="F260" s="152" t="n">
        <v>84</v>
      </c>
      <c r="G260" s="152" t="inlineStr">
        <is>
          <t>Crimson Herring Studios</t>
        </is>
      </c>
      <c r="H260" s="152" t="inlineStr">
        <is>
          <t>Roguelike Deckbuilder · Deckbuilding · Roguelite · Card Game · RPG · Card Battler · Strategy · Singleplayer</t>
        </is>
      </c>
    </row>
    <row r="261" ht="15" customHeight="1" s="78">
      <c r="A261" s="149" t="n">
        <v>2888980</v>
      </c>
      <c r="B261" s="149" t="inlineStr">
        <is>
          <t>攻城与召唤 Siege and Summons 【5分钟一局 策略竞技 】</t>
        </is>
      </c>
      <c r="C261" s="149" t="n">
        <v>2024</v>
      </c>
      <c r="D261" s="150" t="n">
        <v>0</v>
      </c>
      <c r="E261" s="151" t="n">
        <v>8505</v>
      </c>
      <c r="F261" s="149" t="n">
        <v>57</v>
      </c>
      <c r="G261" s="149" t="inlineStr">
        <is>
          <t>Siege and Summons</t>
        </is>
      </c>
      <c r="H261" s="149" t="inlineStr">
        <is>
          <t>Multiplayer · Historical · Alternate History · Strategy RPG · Roguelike Deckbuilder · Auto Battler · Trading Card Game · 2D</t>
        </is>
      </c>
    </row>
    <row r="262" ht="15" customHeight="1" s="78">
      <c r="A262" s="152" t="n">
        <v>3760160</v>
      </c>
      <c r="B262" s="152" t="inlineStr">
        <is>
          <t>Dungeon Raid: Zero Floor</t>
        </is>
      </c>
      <c r="C262" s="152" t="n">
        <v>2025</v>
      </c>
      <c r="D262" s="153" t="n">
        <v>0</v>
      </c>
      <c r="E262" s="154" t="n">
        <v>8505</v>
      </c>
      <c r="F262" s="152" t="n">
        <v>92</v>
      </c>
      <c r="G262" s="152" t="inlineStr">
        <is>
          <t>4Cats</t>
        </is>
      </c>
      <c r="H262" s="152" t="inlineStr">
        <is>
          <t>Roguelike · Roguelike Deckbuilder · Deckbuilding · Singleplayer · Roguelite · Card Game · Dungeon Crawler · Strategy</t>
        </is>
      </c>
    </row>
    <row r="263" ht="15" customHeight="1" s="78">
      <c r="A263" s="149" t="n">
        <v>3123120</v>
      </c>
      <c r="B263" s="149" t="inlineStr">
        <is>
          <t>Kill the Brickman</t>
        </is>
      </c>
      <c r="C263" s="149" t="n">
        <v>2025</v>
      </c>
      <c r="D263" s="150" t="n">
        <v>4.99</v>
      </c>
      <c r="E263" s="151" t="n">
        <v>8383</v>
      </c>
      <c r="F263" s="149" t="n">
        <v>78</v>
      </c>
      <c r="G263" s="149" t="inlineStr">
        <is>
          <t>Doonutsaur</t>
        </is>
      </c>
      <c r="H263" s="149" t="inlineStr">
        <is>
          <t>Roguelite · Arcade · Roguelike · Strategy · Difficult · Relaxing · Singleplayer · Deckbuilding</t>
        </is>
      </c>
    </row>
    <row r="264" ht="15" customHeight="1" s="78">
      <c r="A264" s="152" t="n">
        <v>1588340</v>
      </c>
      <c r="B264" s="152" t="inlineStr">
        <is>
          <t>Demonlore</t>
        </is>
      </c>
      <c r="C264" s="152" t="n">
        <v>2022</v>
      </c>
      <c r="D264" s="153" t="n">
        <v>19.99</v>
      </c>
      <c r="E264" s="154" t="n">
        <v>8231</v>
      </c>
      <c r="F264" s="152" t="n">
        <v>83</v>
      </c>
      <c r="G264" s="152" t="inlineStr">
        <is>
          <t>Barrel Smash Studios</t>
        </is>
      </c>
      <c r="H264" s="152" t="inlineStr">
        <is>
          <t>Strategy · Roguelite · Tower Defense · Zombies · Singleplayer · Deckbuilding · Fantasy · Comedy</t>
        </is>
      </c>
    </row>
    <row r="265" ht="15" customHeight="1" s="78">
      <c r="A265" s="149" t="n">
        <v>4446010</v>
      </c>
      <c r="B265" s="149" t="inlineStr">
        <is>
          <t>The First Million</t>
        </is>
      </c>
      <c r="C265" s="149" t="n">
        <v>2026</v>
      </c>
      <c r="D265" s="150" t="n">
        <v>6.99</v>
      </c>
      <c r="E265" s="151" t="n">
        <v>8148</v>
      </c>
      <c r="F265" s="149" t="n">
        <v>76</v>
      </c>
      <c r="G265" s="149" t="inlineStr">
        <is>
          <t>Sonderland</t>
        </is>
      </c>
      <c r="H265" s="149" t="inlineStr">
        <is>
          <t>Roguelike Deckbuilder · Incremental · Capitalism · Management · Strategy · Deckbuilding · Idler · Resource Management</t>
        </is>
      </c>
    </row>
    <row r="266" ht="15" customHeight="1" s="78">
      <c r="A266" s="152" t="n">
        <v>1162480</v>
      </c>
      <c r="B266" s="152" t="inlineStr">
        <is>
          <t>DIMENSION REIGN - ROGUELIKE DECKBUILDER</t>
        </is>
      </c>
      <c r="C266" s="152" t="n">
        <v>2020</v>
      </c>
      <c r="D266" s="153" t="n">
        <v>17.99</v>
      </c>
      <c r="E266" s="154" t="n">
        <v>8108</v>
      </c>
      <c r="F266" s="152" t="n">
        <v>68</v>
      </c>
      <c r="G266" s="152" t="inlineStr">
        <is>
          <t>ScopeNext Inc</t>
        </is>
      </c>
      <c r="H266" s="152" t="inlineStr">
        <is>
          <t>Roguelike Deckbuilder · Card Battler · Roguelite · Card Game · Roguelike · Deckbuilding · RPG · Strategy</t>
        </is>
      </c>
    </row>
    <row r="267" ht="15" customHeight="1" s="78">
      <c r="A267" s="149" t="n">
        <v>4271680</v>
      </c>
      <c r="B267" s="149" t="inlineStr">
        <is>
          <t>outpost4</t>
        </is>
      </c>
      <c r="C267" s="149" t="n">
        <v>2026</v>
      </c>
      <c r="D267" s="150" t="n">
        <v>3.99</v>
      </c>
      <c r="E267" s="151" t="n">
        <v>8096</v>
      </c>
      <c r="F267" s="149" t="n">
        <v>76</v>
      </c>
      <c r="G267" s="149" t="inlineStr">
        <is>
          <t>BananaDogGames</t>
        </is>
      </c>
      <c r="H267" s="149" t="inlineStr">
        <is>
          <t>Strategy · Tower Defense · Roguelike · Bullet Hell · Roguelite · 2D · Mars · Casual</t>
        </is>
      </c>
    </row>
    <row r="268" ht="15" customHeight="1" s="78">
      <c r="A268" s="152" t="n">
        <v>3035330</v>
      </c>
      <c r="B268" s="152" t="inlineStr">
        <is>
          <t>Dicealot</t>
        </is>
      </c>
      <c r="C268" s="152" t="n">
        <v>2025</v>
      </c>
      <c r="D268" s="153" t="n">
        <v>14.99</v>
      </c>
      <c r="E268" s="154" t="n">
        <v>8060</v>
      </c>
      <c r="F268" s="152" t="n">
        <v>79</v>
      </c>
      <c r="G268" s="152" t="inlineStr">
        <is>
          <t>goodviewgames</t>
        </is>
      </c>
      <c r="H268" s="152" t="inlineStr">
        <is>
          <t>Roguelike Deckbuilder · Deckbuilding · Dungeon Crawler · Turn-Based · Gambling · Roguelike · Replay Value · Medieval</t>
        </is>
      </c>
    </row>
    <row r="269" ht="15" customHeight="1" s="78">
      <c r="A269" s="149" t="n">
        <v>2940990</v>
      </c>
      <c r="B269" s="149" t="inlineStr">
        <is>
          <t>Maze Keeper</t>
        </is>
      </c>
      <c r="C269" s="149" t="n">
        <v>2024</v>
      </c>
      <c r="D269" s="150" t="n">
        <v>8.99</v>
      </c>
      <c r="E269" s="151" t="n">
        <v>8054</v>
      </c>
      <c r="F269" s="149" t="n">
        <v>48</v>
      </c>
      <c r="G269" s="149" t="inlineStr">
        <is>
          <t>Spaceward Games</t>
        </is>
      </c>
      <c r="H269" s="149" t="inlineStr">
        <is>
          <t>Strategy · Tower Defense · Auto Battler · Roguelike · Roguelike Deckbuilder · Card Battler · Creature Collector · Stylized</t>
        </is>
      </c>
    </row>
    <row r="270" ht="15" customHeight="1" s="78">
      <c r="A270" s="152" t="n">
        <v>4147140</v>
      </c>
      <c r="B270" s="152" t="inlineStr">
        <is>
          <t>我独自飞升成仙</t>
        </is>
      </c>
      <c r="C270" s="152" t="n">
        <v>2025</v>
      </c>
      <c r="D270" s="153" t="n">
        <v>9.99</v>
      </c>
      <c r="E270" s="154" t="n">
        <v>8051</v>
      </c>
      <c r="F270" s="152" t="n">
        <v>77</v>
      </c>
      <c r="G270" s="152" t="inlineStr">
        <is>
          <t>langyouzi</t>
        </is>
      </c>
      <c r="H270" s="152" t="inlineStr">
        <is>
          <t>Strategy · Roguelike · Roguelike Deckbuilder · Mythology · Martial Arts · Simulation · 2D · Singleplayer</t>
        </is>
      </c>
    </row>
    <row r="271" ht="15" customHeight="1" s="78">
      <c r="A271" s="149" t="n">
        <v>2717450</v>
      </c>
      <c r="B271" s="149" t="inlineStr">
        <is>
          <t>Museum Mystery: Deckbuilding Card Game</t>
        </is>
      </c>
      <c r="C271" s="149" t="n">
        <v>2024</v>
      </c>
      <c r="D271" s="150" t="n">
        <v>0</v>
      </c>
      <c r="E271" s="151" t="n">
        <v>7923</v>
      </c>
      <c r="F271" s="149" t="n">
        <v>82</v>
      </c>
      <c r="G271" s="149" t="inlineStr">
        <is>
          <t>ST Stepanov Ivan Andreevich; Recently Played</t>
        </is>
      </c>
      <c r="H271" s="149" t="inlineStr">
        <is>
          <t>Card Battler · Roguelite · Turn-Based · Card Game · Roguelike · Strategy · RPG · 2D</t>
        </is>
      </c>
    </row>
    <row r="272" ht="15" customHeight="1" s="78">
      <c r="A272" s="152" t="n">
        <v>3825660</v>
      </c>
      <c r="B272" s="152" t="inlineStr">
        <is>
          <t>Isekai Big Dick</t>
        </is>
      </c>
      <c r="C272" s="152" t="n">
        <v>2026</v>
      </c>
      <c r="D272" s="153" t="n">
        <v>10.99</v>
      </c>
      <c r="E272" s="154" t="n">
        <v>7866</v>
      </c>
      <c r="F272" s="152" t="n">
        <v>88</v>
      </c>
      <c r="G272" s="152" t="inlineStr">
        <is>
          <t>Hippo Games</t>
        </is>
      </c>
      <c r="H272" s="152" t="inlineStr">
        <is>
          <t>Sexual Content · Hentai · Nudity · Card Game · Romance · Female Protagonist · Roguelike · Dating Sim</t>
        </is>
      </c>
    </row>
    <row r="273" ht="15" customHeight="1" s="78">
      <c r="A273" s="149" t="n">
        <v>3112170</v>
      </c>
      <c r="B273" s="149" t="inlineStr">
        <is>
          <t>Dice Legends</t>
        </is>
      </c>
      <c r="C273" s="149" t="n">
        <v>2025</v>
      </c>
      <c r="D273" s="150" t="n">
        <v>19.99</v>
      </c>
      <c r="E273" s="151" t="n">
        <v>7544</v>
      </c>
      <c r="F273" s="149" t="n">
        <v>78</v>
      </c>
      <c r="G273" s="149" t="inlineStr">
        <is>
          <t>Big Bite Games; Ad Luna</t>
        </is>
      </c>
      <c r="H273" s="149" t="inlineStr">
        <is>
          <t>Roguelike Deckbuilder · Dungeon Crawler · Card Battler · Card Game · Roguelike · Deckbuilding · Turn-Based Combat · Mouse Only</t>
        </is>
      </c>
    </row>
    <row r="274" ht="15" customHeight="1" s="78">
      <c r="A274" s="152" t="n">
        <v>2877770</v>
      </c>
      <c r="B274" s="152" t="inlineStr">
        <is>
          <t>Into the Restless Ruins</t>
        </is>
      </c>
      <c r="C274" s="152" t="n">
        <v>2025</v>
      </c>
      <c r="D274" s="153" t="n">
        <v>14.99</v>
      </c>
      <c r="E274" s="154" t="n">
        <v>7522</v>
      </c>
      <c r="F274" s="152" t="n">
        <v>86</v>
      </c>
      <c r="G274" s="152" t="inlineStr">
        <is>
          <t>Ant Workshop Ltd</t>
        </is>
      </c>
      <c r="H274" s="152" t="inlineStr">
        <is>
          <t>Action Roguelike · Roguelike Deckbuilder · Dungeon Crawler · Roguelite · Auto Battler · Mystery Dungeon · Action RPG · Strategy</t>
        </is>
      </c>
    </row>
    <row r="275" ht="15" customHeight="1" s="78">
      <c r="A275" s="149" t="n">
        <v>3179860</v>
      </c>
      <c r="B275" s="149" t="inlineStr">
        <is>
          <t>Pairs &amp; Perils</t>
        </is>
      </c>
      <c r="C275" s="149" t="n">
        <v>2025</v>
      </c>
      <c r="D275" s="150" t="n">
        <v>9.99</v>
      </c>
      <c r="E275" s="151" t="n">
        <v>7265</v>
      </c>
      <c r="F275" s="149" t="n">
        <v>75</v>
      </c>
      <c r="G275" s="149" t="inlineStr">
        <is>
          <t>Little Horror Studios</t>
        </is>
      </c>
      <c r="H275" s="149" t="inlineStr">
        <is>
          <t>Card Battler · Roguelike Deckbuilder · Dungeon Crawler · Card Game · Roguelike · Strategy · Turn-Based Strategy · Casual</t>
        </is>
      </c>
    </row>
    <row r="276" ht="15" customHeight="1" s="78">
      <c r="A276" s="152" t="n">
        <v>2954010</v>
      </c>
      <c r="B276" s="152" t="inlineStr">
        <is>
          <t>Burn With Me</t>
        </is>
      </c>
      <c r="C276" s="152" t="n">
        <v>2026</v>
      </c>
      <c r="D276" s="153" t="n">
        <v>14.99</v>
      </c>
      <c r="E276" s="154" t="n">
        <v>7249</v>
      </c>
      <c r="F276" s="152" t="n">
        <v>92</v>
      </c>
      <c r="G276" s="152" t="inlineStr">
        <is>
          <t>Nozomu Games</t>
        </is>
      </c>
      <c r="H276" s="152" t="inlineStr">
        <is>
          <t>Dark · Cozy · Story Rich · Card Game · Creature Collector · Roguelike Deckbuilder · Deckbuilding · Roguelike</t>
        </is>
      </c>
    </row>
    <row r="277" ht="15" customHeight="1" s="78">
      <c r="A277" s="149" t="n">
        <v>856990</v>
      </c>
      <c r="B277" s="149" t="inlineStr">
        <is>
          <t>A Long Way Down</t>
        </is>
      </c>
      <c r="C277" s="149" t="n">
        <v>2020</v>
      </c>
      <c r="D277" s="150" t="n">
        <v>17.99</v>
      </c>
      <c r="E277" s="151" t="n">
        <v>7243</v>
      </c>
      <c r="F277" s="149" t="n">
        <v>66</v>
      </c>
      <c r="G277" s="149" t="inlineStr">
        <is>
          <t>Seenapsis Studio</t>
        </is>
      </c>
      <c r="H277" s="149" t="inlineStr">
        <is>
          <t>Card Battler · Card Game · Difficult · Roguelike · Strategy · Roguelite · Deckbuilding · Dungeon Crawler</t>
        </is>
      </c>
    </row>
    <row r="278" ht="15" customHeight="1" s="78">
      <c r="A278" s="152" t="n">
        <v>1101420</v>
      </c>
      <c r="B278" s="152" t="inlineStr">
        <is>
          <t>Dragon Call</t>
        </is>
      </c>
      <c r="C278" s="152" t="n">
        <v>2021</v>
      </c>
      <c r="D278" s="153" t="n">
        <v>0</v>
      </c>
      <c r="E278" s="154" t="n">
        <v>7097</v>
      </c>
      <c r="F278" s="152" t="n">
        <v>69</v>
      </c>
      <c r="G278" s="152" t="inlineStr">
        <is>
          <t>organelemonhouse</t>
        </is>
      </c>
      <c r="H278" s="152" t="inlineStr">
        <is>
          <t>Roguelike Deckbuilder · Card Battler · Strategy · Indie · Casual · Deckbuilding · Massively Multiplayer · Roguelite</t>
        </is>
      </c>
    </row>
    <row r="279" ht="15" customHeight="1" s="78">
      <c r="A279" s="149" t="n">
        <v>2275940</v>
      </c>
      <c r="B279" s="149" t="inlineStr">
        <is>
          <t>Rogue Hex</t>
        </is>
      </c>
      <c r="C279" s="149" t="n">
        <v>2025</v>
      </c>
      <c r="D279" s="150" t="n">
        <v>19.99</v>
      </c>
      <c r="E279" s="151" t="n">
        <v>6939</v>
      </c>
      <c r="F279" s="149" t="n">
        <v>87</v>
      </c>
      <c r="G279" s="149" t="inlineStr">
        <is>
          <t>Topstitch Games</t>
        </is>
      </c>
      <c r="H279" s="149" t="inlineStr">
        <is>
          <t>4X · Roguelike Deckbuilder · Strategy · Roguelike · Grand Strategy · Deckbuilding · Turn-Based Strategy · Replay Value</t>
        </is>
      </c>
    </row>
    <row r="280" ht="15" customHeight="1" s="78">
      <c r="A280" s="152" t="n">
        <v>4092940</v>
      </c>
      <c r="B280" s="152" t="inlineStr">
        <is>
          <t>Lucky Shot</t>
        </is>
      </c>
      <c r="C280" s="152" t="n">
        <v>2026</v>
      </c>
      <c r="D280" s="153" t="n">
        <v>12.99</v>
      </c>
      <c r="E280" s="154" t="n">
        <v>6849</v>
      </c>
      <c r="F280" s="152" t="n">
        <v>98</v>
      </c>
      <c r="G280" s="152" t="inlineStr">
        <is>
          <t>Tomas Gonzalez; Lucas Rodas; Lucas Pirito; Ignacio Yglesias</t>
        </is>
      </c>
      <c r="H280" s="152" t="inlineStr">
        <is>
          <t>Roguelike Deckbuilder · FPS · Roguelite · Score Attack · Strategy · Deckbuilding · Shooter · Action Roguelike</t>
        </is>
      </c>
    </row>
    <row r="281" ht="15" customHeight="1" s="78">
      <c r="A281" s="149" t="n">
        <v>2812610</v>
      </c>
      <c r="B281" s="149" t="inlineStr">
        <is>
          <t>Curtain Call</t>
        </is>
      </c>
      <c r="C281" s="149" t="n">
        <v>2024</v>
      </c>
      <c r="D281" s="150" t="n">
        <v>6.99</v>
      </c>
      <c r="E281" s="151" t="n">
        <v>6848</v>
      </c>
      <c r="F281" s="149" t="n">
        <v>88</v>
      </c>
      <c r="G281" s="149" t="inlineStr">
        <is>
          <t>元气弹工作室(GD Studio)</t>
        </is>
      </c>
      <c r="H281" s="149" t="inlineStr">
        <is>
          <t>Card Battler · Strategy · Card Game · Roguelite · Roguelike · Deckbuilding · Roguelike Deckbuilder · 2D</t>
        </is>
      </c>
    </row>
    <row r="282" ht="15" customHeight="1" s="78">
      <c r="A282" s="152" t="n">
        <v>2688900</v>
      </c>
      <c r="B282" s="152" t="inlineStr">
        <is>
          <t>Super Algebrawl</t>
        </is>
      </c>
      <c r="C282" s="152" t="n">
        <v>2024</v>
      </c>
      <c r="D282" s="153" t="n">
        <v>5.99</v>
      </c>
      <c r="E282" s="154" t="n">
        <v>6684</v>
      </c>
      <c r="F282" s="152" t="n">
        <v>92</v>
      </c>
      <c r="G282" s="152" t="inlineStr">
        <is>
          <t>PUNKCAKE Délicieux</t>
        </is>
      </c>
      <c r="H282" s="152" t="inlineStr">
        <is>
          <t>Indie · Logic · Turn-Based Tactics · Party-Based RPG · Fantasy · Deckbuilding · Cartoon · Education</t>
        </is>
      </c>
    </row>
    <row r="283" ht="15" customHeight="1" s="78">
      <c r="A283" s="149" t="n">
        <v>2202010</v>
      </c>
      <c r="B283" s="149" t="inlineStr">
        <is>
          <t>Neon Ascending</t>
        </is>
      </c>
      <c r="C283" s="149" t="n">
        <v>2025</v>
      </c>
      <c r="D283" s="150" t="n">
        <v>3.99</v>
      </c>
      <c r="E283" s="151" t="n">
        <v>6637</v>
      </c>
      <c r="F283" s="149" t="n">
        <v>82</v>
      </c>
      <c r="G283" s="149" t="inlineStr">
        <is>
          <t>TheCarmineDepth</t>
        </is>
      </c>
      <c r="H283" s="149" t="inlineStr">
        <is>
          <t>Bullet Hell · Roguelite · Tower Defense · Incremental · Perma Death · Roguelike · RTS · Strategy</t>
        </is>
      </c>
    </row>
    <row r="284" ht="15" customHeight="1" s="78">
      <c r="A284" s="152" t="n">
        <v>2100140</v>
      </c>
      <c r="B284" s="152" t="inlineStr">
        <is>
          <t>Summon Masters</t>
        </is>
      </c>
      <c r="C284" s="152" t="n">
        <v>2024</v>
      </c>
      <c r="D284" s="153" t="n">
        <v>0</v>
      </c>
      <c r="E284" s="154" t="n">
        <v>6570</v>
      </c>
      <c r="F284" s="152" t="n">
        <v>39</v>
      </c>
      <c r="G284" s="152" t="inlineStr">
        <is>
          <t>Summon Masters</t>
        </is>
      </c>
      <c r="H284" s="152" t="inlineStr">
        <is>
          <t>Trading Card Game · Deckbuilding · Roguelite · Roguelike Deckbuilder · Tower Defense · Card Battler · PvP · Turn-Based Tactics</t>
        </is>
      </c>
    </row>
    <row r="285" ht="15" customHeight="1" s="78">
      <c r="A285" s="149" t="n">
        <v>2438260</v>
      </c>
      <c r="B285" s="149" t="inlineStr">
        <is>
          <t>Tiny Kingdom</t>
        </is>
      </c>
      <c r="C285" s="149" t="n">
        <v>2025</v>
      </c>
      <c r="D285" s="150" t="n">
        <v>10.99</v>
      </c>
      <c r="E285" s="151" t="n">
        <v>6551</v>
      </c>
      <c r="F285" s="149" t="n">
        <v>79</v>
      </c>
      <c r="G285" s="149" t="inlineStr">
        <is>
          <t>neltile</t>
        </is>
      </c>
      <c r="H285" s="149" t="inlineStr">
        <is>
          <t>City Builder · Roguelike Deckbuilder · Difficult · Deckbuilding · Building · Resource Management · Card Game · Sandbox</t>
        </is>
      </c>
    </row>
    <row r="286" ht="15" customHeight="1" s="78">
      <c r="A286" s="152" t="n">
        <v>3332060</v>
      </c>
      <c r="B286" s="152" t="inlineStr">
        <is>
          <t>Feng Shui Meowjong</t>
        </is>
      </c>
      <c r="C286" s="152" t="n">
        <v>2026</v>
      </c>
      <c r="D286" s="153" t="n">
        <v>4.99</v>
      </c>
      <c r="E286" s="154" t="n">
        <v>6540</v>
      </c>
      <c r="F286" s="152" t="n">
        <v>96</v>
      </c>
      <c r="G286" s="152" t="inlineStr">
        <is>
          <t>Wavebreak Studio</t>
        </is>
      </c>
      <c r="H286" s="152" t="inlineStr">
        <is>
          <t>Roguelike Deckbuilder · Mahjong · Card Game · Strategy · Cats · Deckbuilding · Roguelite · 2D</t>
        </is>
      </c>
    </row>
    <row r="287" ht="15" customHeight="1" s="78">
      <c r="A287" s="149" t="n">
        <v>2190400</v>
      </c>
      <c r="B287" s="149" t="inlineStr">
        <is>
          <t>Toads of the Bayou</t>
        </is>
      </c>
      <c r="C287" s="149" t="n">
        <v>2024</v>
      </c>
      <c r="D287" s="150" t="n">
        <v>9.99</v>
      </c>
      <c r="E287" s="151" t="n">
        <v>6458</v>
      </c>
      <c r="F287" s="149" t="n">
        <v>73</v>
      </c>
      <c r="G287" s="149" t="inlineStr">
        <is>
          <t>La Grange</t>
        </is>
      </c>
      <c r="H287" s="149" t="inlineStr">
        <is>
          <t>Roguelike Deckbuilder · Turn-Based Combat · Turn-Based Tactics · Grid-Based Movement · Resource Management · Deckbuilding · City Builder · Tactical</t>
        </is>
      </c>
    </row>
    <row r="288" ht="15" customHeight="1" s="78">
      <c r="A288" s="152" t="n">
        <v>1575810</v>
      </c>
      <c r="B288" s="152" t="inlineStr">
        <is>
          <t>Wander Stars</t>
        </is>
      </c>
      <c r="C288" s="152" t="n">
        <v>2025</v>
      </c>
      <c r="D288" s="153" t="n">
        <v>24.99</v>
      </c>
      <c r="E288" s="154" t="n">
        <v>6428</v>
      </c>
      <c r="F288" s="152" t="n">
        <v>92</v>
      </c>
      <c r="G288" s="152" t="inlineStr">
        <is>
          <t>Paper Castle Games</t>
        </is>
      </c>
      <c r="H288" s="152" t="inlineStr">
        <is>
          <t>Story Rich · Anime · RPG · Turn-Based · Roguelite · Female Protagonist · Replay Value · 2D</t>
        </is>
      </c>
    </row>
    <row r="289" ht="15" customHeight="1" s="78">
      <c r="A289" s="149" t="n">
        <v>1093320</v>
      </c>
      <c r="B289" s="149" t="inlineStr">
        <is>
          <t>Devil's Deck</t>
        </is>
      </c>
      <c r="C289" s="149" t="n">
        <v>2022</v>
      </c>
      <c r="D289" s="150" t="n">
        <v>14.99</v>
      </c>
      <c r="E289" s="151" t="n">
        <v>6342</v>
      </c>
      <c r="F289" s="149" t="n">
        <v>67</v>
      </c>
      <c r="G289" s="149" t="inlineStr">
        <is>
          <t>Touch Times Studio</t>
        </is>
      </c>
      <c r="H289" s="149" t="inlineStr">
        <is>
          <t>Roguelike Deckbuilder · Indie · RPG · Strategy · Card Battler · Deckbuilding · Adventure · Card Game</t>
        </is>
      </c>
    </row>
    <row r="290" ht="15" customHeight="1" s="78">
      <c r="A290" s="152" t="n">
        <v>2358770</v>
      </c>
      <c r="B290" s="152" t="inlineStr">
        <is>
          <t>Million Monster Militia</t>
        </is>
      </c>
      <c r="C290" s="152" t="n">
        <v>2024</v>
      </c>
      <c r="D290" s="153" t="n">
        <v>9.99</v>
      </c>
      <c r="E290" s="154" t="n">
        <v>6316</v>
      </c>
      <c r="F290" s="152" t="n">
        <v>83</v>
      </c>
      <c r="G290" s="152" t="inlineStr">
        <is>
          <t>Space Capsule Games; Dejobaan Games, LLC</t>
        </is>
      </c>
      <c r="H290" s="152" t="inlineStr">
        <is>
          <t>Roguelike Deckbuilder · Deckbuilding · Auto Battler · Strategy · Roguelite · Roguelike · Procedural Generation · Creature Collector</t>
        </is>
      </c>
    </row>
    <row r="291" ht="15" customHeight="1" s="78">
      <c r="A291" s="149" t="n">
        <v>1073490</v>
      </c>
      <c r="B291" s="149" t="inlineStr">
        <is>
          <t>Monster X Monster</t>
        </is>
      </c>
      <c r="C291" s="149" t="n">
        <v>2019</v>
      </c>
      <c r="D291" s="150" t="n">
        <v>2.99</v>
      </c>
      <c r="E291" s="151" t="n">
        <v>6270</v>
      </c>
      <c r="F291" s="149" t="n">
        <v>82</v>
      </c>
      <c r="G291" s="149" t="inlineStr">
        <is>
          <t>VanGame</t>
        </is>
      </c>
      <c r="H291" s="149" t="inlineStr">
        <is>
          <t>Roguelike Deckbuilder · Card Battler · Indie · Deckbuilding · Roguelite · Roguelike · Early Access · RPG</t>
        </is>
      </c>
    </row>
    <row r="292" ht="15" customHeight="1" s="78">
      <c r="A292" s="152" t="n">
        <v>3860590</v>
      </c>
      <c r="B292" s="152" t="inlineStr">
        <is>
          <t>Barrel Roll</t>
        </is>
      </c>
      <c r="C292" s="152" t="n">
        <v>2025</v>
      </c>
      <c r="D292" s="153" t="n">
        <v>4.99</v>
      </c>
      <c r="E292" s="154" t="n">
        <v>6183</v>
      </c>
      <c r="F292" s="152" t="n">
        <v>96</v>
      </c>
      <c r="G292" s="152" t="inlineStr">
        <is>
          <t>Barrel Roll</t>
        </is>
      </c>
      <c r="H292" s="152" t="inlineStr">
        <is>
          <t>Roguelike · Deckbuilding · Western · Roguelike Deckbuilder · Turn-Based Combat · Roguelite · 3D · Stylized</t>
        </is>
      </c>
    </row>
    <row r="293" ht="15" customHeight="1" s="78">
      <c r="A293" s="149" t="n">
        <v>3349860</v>
      </c>
      <c r="B293" s="149" t="inlineStr">
        <is>
          <t>Dr. COG</t>
        </is>
      </c>
      <c r="C293" s="149" t="n">
        <v>2024</v>
      </c>
      <c r="D293" s="150" t="n">
        <v>0</v>
      </c>
      <c r="E293" s="151" t="n">
        <v>6118</v>
      </c>
      <c r="F293" s="149" t="n">
        <v>83</v>
      </c>
      <c r="G293" s="149" t="inlineStr">
        <is>
          <t>Re:ZT1</t>
        </is>
      </c>
      <c r="H293" s="149" t="inlineStr">
        <is>
          <t>Visual Novel · Roguelike Deckbuilder · Indie · Point &amp; Click · Atmospheric · Anime · RTS · Roguelike</t>
        </is>
      </c>
    </row>
    <row r="294" ht="15" customHeight="1" s="78">
      <c r="A294" s="152" t="n">
        <v>2671010</v>
      </c>
      <c r="B294" s="152" t="inlineStr">
        <is>
          <t>Turtle Riders</t>
        </is>
      </c>
      <c r="C294" s="152" t="n">
        <v>2025</v>
      </c>
      <c r="D294" s="153" t="n">
        <v>4.99</v>
      </c>
      <c r="E294" s="154" t="n">
        <v>6064</v>
      </c>
      <c r="F294" s="152" t="n">
        <v>78</v>
      </c>
      <c r="G294" s="152" t="inlineStr">
        <is>
          <t>Solenya</t>
        </is>
      </c>
      <c r="H294" s="152" t="inlineStr">
        <is>
          <t>Action · Survival · Tower Defense · Roguelike · Pixel Graphics · Adventure · Roguelike Deckbuilder · Atmospheric</t>
        </is>
      </c>
    </row>
    <row r="295" ht="15" customHeight="1" s="78">
      <c r="A295" s="149" t="n">
        <v>2404510</v>
      </c>
      <c r="B295" s="149" t="inlineStr">
        <is>
          <t>Lucky Hero</t>
        </is>
      </c>
      <c r="C295" s="149" t="n">
        <v>2023</v>
      </c>
      <c r="D295" s="150" t="n">
        <v>10.99</v>
      </c>
      <c r="E295" s="151" t="n">
        <v>6027</v>
      </c>
      <c r="F295" s="149" t="n">
        <v>84</v>
      </c>
      <c r="G295" s="149" t="inlineStr">
        <is>
          <t>mora churrasco studio</t>
        </is>
      </c>
      <c r="H295" s="149" t="inlineStr">
        <is>
          <t>Roguelike Deckbuilder · Roguelite · Replay Value · Turn-Based Combat · Casual · Resource Management · Deckbuilding · Strategy</t>
        </is>
      </c>
    </row>
    <row r="296" ht="15" customHeight="1" s="78">
      <c r="A296" s="152" t="n">
        <v>891370</v>
      </c>
      <c r="B296" s="152" t="inlineStr">
        <is>
          <t>The Last Hex</t>
        </is>
      </c>
      <c r="C296" s="152" t="n">
        <v>2021</v>
      </c>
      <c r="D296" s="153" t="n">
        <v>10.99</v>
      </c>
      <c r="E296" s="154" t="n">
        <v>6019</v>
      </c>
      <c r="F296" s="152" t="n">
        <v>80</v>
      </c>
      <c r="G296" s="152" t="inlineStr">
        <is>
          <t>That Indie Studio</t>
        </is>
      </c>
      <c r="H296" s="152" t="inlineStr">
        <is>
          <t>Deckbuilding · Roguelike Deckbuilder · RPG · Card Game · Indie · Strategy · Fantasy · Turn-Based</t>
        </is>
      </c>
    </row>
    <row r="297" ht="15" customHeight="1" s="78">
      <c r="A297" s="149" t="n">
        <v>918430</v>
      </c>
      <c r="B297" s="149" t="inlineStr">
        <is>
          <t>Second Second</t>
        </is>
      </c>
      <c r="C297" s="149" t="n">
        <v>2019</v>
      </c>
      <c r="D297" s="150" t="n">
        <v>15.99</v>
      </c>
      <c r="E297" s="151" t="n">
        <v>5960</v>
      </c>
      <c r="F297" s="149" t="n">
        <v>71</v>
      </c>
      <c r="G297" s="149" t="inlineStr">
        <is>
          <t>Sinkhole Studio</t>
        </is>
      </c>
      <c r="H297" s="149" t="inlineStr">
        <is>
          <t>Roguelike Deckbuilder · Strategy · Roguelite · Deckbuilding · Card Battler · Card Game · Turn-Based · Difficult</t>
        </is>
      </c>
    </row>
    <row r="298" ht="15" customHeight="1" s="78">
      <c r="A298" s="152" t="n">
        <v>1373260</v>
      </c>
      <c r="B298" s="152" t="inlineStr">
        <is>
          <t>Obsidian Prince</t>
        </is>
      </c>
      <c r="C298" s="152" t="n">
        <v>2022</v>
      </c>
      <c r="D298" s="153" t="n">
        <v>14.99</v>
      </c>
      <c r="E298" s="154" t="n">
        <v>5917</v>
      </c>
      <c r="F298" s="152" t="n">
        <v>80</v>
      </c>
      <c r="G298" s="152" t="inlineStr">
        <is>
          <t>Unleash The Giraffe</t>
        </is>
      </c>
      <c r="H298" s="152" t="inlineStr">
        <is>
          <t>Roguelike Deckbuilder · Turn-Based Strategy · Tactical RPG · Dungeon Crawler · Turn-Based · Turn-Based Tactics · Deckbuilding · Turn-Based Combat</t>
        </is>
      </c>
    </row>
    <row r="299" ht="15" customHeight="1" s="78">
      <c r="A299" s="149" t="n">
        <v>2879000</v>
      </c>
      <c r="B299" s="149" t="inlineStr">
        <is>
          <t>Atman:Rebel Flame</t>
        </is>
      </c>
      <c r="C299" s="149" t="n">
        <v>2024</v>
      </c>
      <c r="D299" s="150" t="n">
        <v>0</v>
      </c>
      <c r="E299" s="151" t="n">
        <v>5886</v>
      </c>
      <c r="F299" s="149" t="n">
        <v>50</v>
      </c>
      <c r="G299" s="149" t="inlineStr">
        <is>
          <t>JUP GAME</t>
        </is>
      </c>
      <c r="H299" s="149" t="inlineStr">
        <is>
          <t>Card Battler · PvP · Roguelike · Multiplayer · Deckbuilding · Card Game · Strategy · Solitaire</t>
        </is>
      </c>
    </row>
    <row r="300" ht="15" customHeight="1" s="78">
      <c r="A300" s="152" t="n">
        <v>2576200</v>
      </c>
      <c r="B300" s="152" t="inlineStr">
        <is>
          <t>Into The Grid</t>
        </is>
      </c>
      <c r="C300" s="152" t="n">
        <v>2025</v>
      </c>
      <c r="D300" s="153" t="n">
        <v>14.99</v>
      </c>
      <c r="E300" s="154" t="n">
        <v>5801</v>
      </c>
      <c r="F300" s="152" t="n">
        <v>85</v>
      </c>
      <c r="G300" s="152" t="inlineStr">
        <is>
          <t>Flatline Studios</t>
        </is>
      </c>
      <c r="H300" s="152" t="inlineStr">
        <is>
          <t>Early Access · Roguelike Deckbuilder · Dungeon Crawler · Deckbuilding · Roguelite · Cyberpunk · Replay Value · Card Game</t>
        </is>
      </c>
    </row>
    <row r="301" ht="15" customHeight="1" s="78">
      <c r="A301" s="149" t="n">
        <v>2785570</v>
      </c>
      <c r="B301" s="149" t="inlineStr">
        <is>
          <t>Arrogue</t>
        </is>
      </c>
      <c r="C301" s="149" t="n">
        <v>2025</v>
      </c>
      <c r="D301" s="150" t="n">
        <v>11.99</v>
      </c>
      <c r="E301" s="151" t="n">
        <v>5794</v>
      </c>
      <c r="F301" s="149" t="n">
        <v>75</v>
      </c>
      <c r="G301" s="149" t="inlineStr">
        <is>
          <t>PIPAPOU</t>
        </is>
      </c>
      <c r="H301" s="149" t="inlineStr">
        <is>
          <t>Deckbuilding · Roguelike · Perma Death · Roguelite · Choices Matter · Physics · Turn-Based Combat · Roguelike Deckbuilder</t>
        </is>
      </c>
    </row>
    <row r="302" ht="15" customHeight="1" s="78">
      <c r="A302" s="152" t="n">
        <v>1932210</v>
      </c>
      <c r="B302" s="152" t="inlineStr">
        <is>
          <t>Takara Cards</t>
        </is>
      </c>
      <c r="C302" s="152" t="n">
        <v>2025</v>
      </c>
      <c r="D302" s="153" t="n">
        <v>14.99</v>
      </c>
      <c r="E302" s="154" t="n">
        <v>5778</v>
      </c>
      <c r="F302" s="152" t="n">
        <v>81</v>
      </c>
      <c r="G302" s="152" t="inlineStr">
        <is>
          <t>Post Mortem Pixels</t>
        </is>
      </c>
      <c r="H302" s="152" t="inlineStr">
        <is>
          <t>Card Battler · Choices Matter · Roguelite · Roguelike Deckbuilder · Spaceships · Sci-fi · Card Game · Multiple Endings</t>
        </is>
      </c>
    </row>
    <row r="303" ht="15" customHeight="1" s="78">
      <c r="A303" s="149" t="n">
        <v>3636060</v>
      </c>
      <c r="B303" s="149" t="inlineStr">
        <is>
          <t>RogueDiceR</t>
        </is>
      </c>
      <c r="C303" s="149" t="n">
        <v>2026</v>
      </c>
      <c r="D303" s="150" t="n">
        <v>14.99</v>
      </c>
      <c r="E303" s="151" t="n">
        <v>5758</v>
      </c>
      <c r="F303" s="149" t="n">
        <v>86</v>
      </c>
      <c r="G303" s="149" t="inlineStr">
        <is>
          <t>GAMPANY</t>
        </is>
      </c>
      <c r="H303" s="149" t="inlineStr">
        <is>
          <t>Early Access · Roguelike Deckbuilder · Dice · Deckbuilding · Roguelite · Strategy · Anime · Casual</t>
        </is>
      </c>
    </row>
    <row r="304" ht="15" customHeight="1" s="78">
      <c r="A304" s="152" t="n">
        <v>3349850</v>
      </c>
      <c r="B304" s="152" t="inlineStr">
        <is>
          <t>Balantica</t>
        </is>
      </c>
      <c r="C304" s="152" t="n">
        <v>2024</v>
      </c>
      <c r="D304" s="153" t="n">
        <v>0</v>
      </c>
      <c r="E304" s="154" t="n">
        <v>5713</v>
      </c>
      <c r="F304" s="152" t="n">
        <v>92</v>
      </c>
      <c r="G304" s="152" t="inlineStr">
        <is>
          <t>Team Hanzan</t>
        </is>
      </c>
      <c r="H304" s="152" t="inlineStr">
        <is>
          <t>Indie · Strategy · Card Game · Roguelike Deckbuilder · Solitaire · Deckbuilding · Roguelike · Procedural Generation</t>
        </is>
      </c>
    </row>
    <row r="305" ht="15" customHeight="1" s="78">
      <c r="A305" s="149" t="n">
        <v>4914570</v>
      </c>
      <c r="B305" s="149" t="inlineStr">
        <is>
          <t>ON&amp;OFF</t>
        </is>
      </c>
      <c r="C305" s="149" t="n">
        <v>2026</v>
      </c>
      <c r="D305" s="150" t="n">
        <v>0</v>
      </c>
      <c r="E305" s="151" t="n">
        <v>5679</v>
      </c>
      <c r="F305" s="149" t="n">
        <v>99</v>
      </c>
      <c r="G305" s="149" t="inlineStr">
        <is>
          <t>DopamineCrucian</t>
        </is>
      </c>
      <c r="H305" s="149" t="inlineStr">
        <is>
          <t>Roguelike Deckbuilder · Card Game · Indie · Free to Play · Strategy · Roguelike · Card Battler · Deckbuilding</t>
        </is>
      </c>
    </row>
    <row r="306" ht="15" customHeight="1" s="78">
      <c r="A306" s="152" t="n">
        <v>1830320</v>
      </c>
      <c r="B306" s="152" t="inlineStr">
        <is>
          <t>Lords of Ravage</t>
        </is>
      </c>
      <c r="C306" s="152" t="n">
        <v>2025</v>
      </c>
      <c r="D306" s="153" t="n">
        <v>9.99</v>
      </c>
      <c r="E306" s="154" t="n">
        <v>5654</v>
      </c>
      <c r="F306" s="152" t="n">
        <v>69</v>
      </c>
      <c r="G306" s="152" t="inlineStr">
        <is>
          <t>Synthetic Domain</t>
        </is>
      </c>
      <c r="H306" s="152" t="inlineStr">
        <is>
          <t>Adventure · Villain Protagonist · Tactical RPG · Roguelike Deckbuilder · Roguelike · JRPG · Story Rich · Pixel Graphics</t>
        </is>
      </c>
    </row>
    <row r="307" ht="15" customHeight="1" s="78">
      <c r="A307" s="149" t="n">
        <v>2837790</v>
      </c>
      <c r="B307" s="149" t="inlineStr">
        <is>
          <t>Spinny Dungeon</t>
        </is>
      </c>
      <c r="C307" s="149" t="n">
        <v>2026</v>
      </c>
      <c r="D307" s="150" t="n">
        <v>9.99</v>
      </c>
      <c r="E307" s="151" t="n">
        <v>5653</v>
      </c>
      <c r="F307" s="149" t="n">
        <v>91</v>
      </c>
      <c r="G307" s="149" t="inlineStr">
        <is>
          <t>Typing Monkey</t>
        </is>
      </c>
      <c r="H307" s="149" t="inlineStr">
        <is>
          <t>Roguelike Deckbuilder · Roguelike · Deckbuilding · Card Game · Strategy · Pixel Graphics · Roguelite · Turn-Based Strategy</t>
        </is>
      </c>
    </row>
    <row r="308" ht="15" customHeight="1" s="78">
      <c r="A308" s="152" t="n">
        <v>3641420</v>
      </c>
      <c r="B308" s="152" t="inlineStr">
        <is>
          <t>Magecraft: Spellbuilding</t>
        </is>
      </c>
      <c r="C308" s="152" t="n">
        <v>2025</v>
      </c>
      <c r="D308" s="153" t="n">
        <v>0</v>
      </c>
      <c r="E308" s="154" t="n">
        <v>5576</v>
      </c>
      <c r="F308" s="152" t="n">
        <v>98</v>
      </c>
      <c r="G308" s="152" t="inlineStr">
        <is>
          <t>Violet Grimoire</t>
        </is>
      </c>
      <c r="H308" s="152" t="inlineStr">
        <is>
          <t>Roguelike Deckbuilder · Card Game · Card Battler · Roguelite · Deckbuilding · Dungeon Crawler · Turn-Based Strategy · Turn-Based Combat</t>
        </is>
      </c>
    </row>
    <row r="309" ht="15" customHeight="1" s="78">
      <c r="A309" s="149" t="n">
        <v>3496890</v>
      </c>
      <c r="B309" s="149" t="inlineStr">
        <is>
          <t>Slot or Not</t>
        </is>
      </c>
      <c r="C309" s="149" t="n">
        <v>2026</v>
      </c>
      <c r="D309" s="150" t="n">
        <v>6.99</v>
      </c>
      <c r="E309" s="151" t="n">
        <v>5455</v>
      </c>
      <c r="F309" s="149" t="n">
        <v>90</v>
      </c>
      <c r="G309" s="149" t="inlineStr">
        <is>
          <t>MakoTeam</t>
        </is>
      </c>
      <c r="H309" s="149" t="inlineStr">
        <is>
          <t>Roguelike Deckbuilder · Roguelike · Deckbuilding · Replay Value · Turn-Based · Roguelite · Animals · Turn-Based Combat</t>
        </is>
      </c>
    </row>
    <row r="310" ht="15" customHeight="1" s="78">
      <c r="A310" s="152" t="n">
        <v>3048840</v>
      </c>
      <c r="B310" s="152" t="inlineStr">
        <is>
          <t>Hungry Horrors</t>
        </is>
      </c>
      <c r="C310" s="152" t="n">
        <v>2026</v>
      </c>
      <c r="D310" s="153" t="n">
        <v>14.99</v>
      </c>
      <c r="E310" s="154" t="n">
        <v>5412</v>
      </c>
      <c r="F310" s="152" t="n">
        <v>98</v>
      </c>
      <c r="G310" s="152" t="inlineStr">
        <is>
          <t>Clumsy Bear Studio</t>
        </is>
      </c>
      <c r="H310" s="152" t="inlineStr">
        <is>
          <t>Card Battler · Lore-Rich · Roguelite · Dungeon Crawler · Cooking · Roguelike Deckbuilder · Turn-Based · Card Game</t>
        </is>
      </c>
    </row>
    <row r="311" ht="15" customHeight="1" s="78">
      <c r="A311" s="149" t="n">
        <v>3509430</v>
      </c>
      <c r="B311" s="149" t="inlineStr">
        <is>
          <t>Replicat</t>
        </is>
      </c>
      <c r="C311" s="149" t="n">
        <v>2025</v>
      </c>
      <c r="D311" s="150" t="n">
        <v>9.99</v>
      </c>
      <c r="E311" s="151" t="n">
        <v>5280</v>
      </c>
      <c r="F311" s="149" t="n">
        <v>99</v>
      </c>
      <c r="G311" s="149" t="inlineStr">
        <is>
          <t>Brainoid Games</t>
        </is>
      </c>
      <c r="H311" s="149" t="inlineStr">
        <is>
          <t>Cats · Roguelike · Deckbuilding · Roguelike Deckbuilder · Family Friendly · Strategy · Singleplayer · Cozy</t>
        </is>
      </c>
    </row>
    <row r="312" ht="15" customHeight="1" s="78">
      <c r="A312" s="152" t="n">
        <v>2088770</v>
      </c>
      <c r="B312" s="152" t="inlineStr">
        <is>
          <t>Deck of Souls</t>
        </is>
      </c>
      <c r="C312" s="152" t="n">
        <v>2024</v>
      </c>
      <c r="D312" s="153" t="n">
        <v>11.99</v>
      </c>
      <c r="E312" s="154" t="n">
        <v>5261</v>
      </c>
      <c r="F312" s="152" t="n">
        <v>81</v>
      </c>
      <c r="G312" s="152" t="inlineStr">
        <is>
          <t>Bigboot Studios</t>
        </is>
      </c>
      <c r="H312" s="152" t="inlineStr">
        <is>
          <t>Turn-Based Strategy · Card Game · Turn-Based Tactics · Deckbuilding · Tactical RPG · Strategy RPG · Turn-Based Combat · Tactical</t>
        </is>
      </c>
    </row>
    <row r="313" ht="15" customHeight="1" s="78">
      <c r="A313" s="149" t="n">
        <v>3353800</v>
      </c>
      <c r="B313" s="149" t="inlineStr">
        <is>
          <t>Golden Swirl</t>
        </is>
      </c>
      <c r="C313" s="149" t="n">
        <v>2026</v>
      </c>
      <c r="D313" s="150" t="n">
        <v>19.99</v>
      </c>
      <c r="E313" s="151" t="n">
        <v>5222</v>
      </c>
      <c r="F313" s="149" t="n">
        <v>90</v>
      </c>
      <c r="G313" s="149" t="inlineStr">
        <is>
          <t>Snako Production</t>
        </is>
      </c>
      <c r="H313" s="149" t="inlineStr">
        <is>
          <t>Deckbuilding · Card Battler · Card Game · Roguelite · Strategy · Action Roguelike · Roguelike Deckbuilder · Roguelike</t>
        </is>
      </c>
    </row>
    <row r="314" ht="15" customHeight="1" s="78">
      <c r="A314" s="152" t="n">
        <v>2916670</v>
      </c>
      <c r="B314" s="152" t="inlineStr">
        <is>
          <t>Neon Village</t>
        </is>
      </c>
      <c r="C314" s="152" t="n">
        <v>2026</v>
      </c>
      <c r="D314" s="153" t="n">
        <v>9.99</v>
      </c>
      <c r="E314" s="154" t="n">
        <v>5158</v>
      </c>
      <c r="F314" s="152" t="n">
        <v>86</v>
      </c>
      <c r="G314" s="152" t="inlineStr">
        <is>
          <t>Encraft</t>
        </is>
      </c>
      <c r="H314" s="152" t="inlineStr">
        <is>
          <t>Roguelike Deckbuilder · Match 3 · Puzzle · Roguelike · Procedural Generation · Strategy · Mouse Only · Inventory Management</t>
        </is>
      </c>
    </row>
    <row r="315" ht="15" customHeight="1" s="78">
      <c r="A315" s="149" t="n">
        <v>2862890</v>
      </c>
      <c r="B315" s="149" t="inlineStr">
        <is>
          <t>Become the Moon</t>
        </is>
      </c>
      <c r="C315" s="149" t="n">
        <v>2025</v>
      </c>
      <c r="D315" s="150" t="n">
        <v>16.99</v>
      </c>
      <c r="E315" s="151" t="n">
        <v>5123</v>
      </c>
      <c r="F315" s="149" t="n">
        <v>81</v>
      </c>
      <c r="G315" s="149" t="inlineStr">
        <is>
          <t>Feldspar Games; Ben Allen; Mosman</t>
        </is>
      </c>
      <c r="H315" s="149" t="inlineStr">
        <is>
          <t>Auto Battler · Deckbuilding · Difficult · Roguelike · Card Game · PvE · Roguelike Deckbuilder · Strategy</t>
        </is>
      </c>
    </row>
    <row r="316" ht="15" customHeight="1" s="78">
      <c r="A316" s="152" t="n">
        <v>3296910</v>
      </c>
      <c r="B316" s="152" t="inlineStr">
        <is>
          <t>Stash: A Card Looter</t>
        </is>
      </c>
      <c r="C316" s="152" t="n">
        <v>2025</v>
      </c>
      <c r="D316" s="153" t="n">
        <v>9.99</v>
      </c>
      <c r="E316" s="154" t="n">
        <v>5072</v>
      </c>
      <c r="F316" s="152" t="n">
        <v>79</v>
      </c>
      <c r="G316" s="152" t="inlineStr">
        <is>
          <t>WheeGaming</t>
        </is>
      </c>
      <c r="H316" s="152" t="inlineStr">
        <is>
          <t>Strategy · Auto Battler · Roguelite · Loot · Asynchronous Multiplayer · Card Battler · Roguelike Deckbuilder · Card Game</t>
        </is>
      </c>
    </row>
    <row r="317" ht="15" customHeight="1" s="78">
      <c r="A317" s="149" t="n">
        <v>1126890</v>
      </c>
      <c r="B317" s="149" t="inlineStr">
        <is>
          <t>Urban Cards</t>
        </is>
      </c>
      <c r="C317" s="149" t="n">
        <v>2021</v>
      </c>
      <c r="D317" s="150" t="n">
        <v>14.99</v>
      </c>
      <c r="E317" s="151" t="n">
        <v>4979</v>
      </c>
      <c r="F317" s="149" t="n">
        <v>79</v>
      </c>
      <c r="G317" s="149" t="inlineStr">
        <is>
          <t>Hues Games</t>
        </is>
      </c>
      <c r="H317" s="149" t="inlineStr">
        <is>
          <t>Roguelike Deckbuilder · Strategy · Economy · Card Battler · Tabletop · PvP · Card Game · Deckbuilding</t>
        </is>
      </c>
    </row>
    <row r="318" ht="15" customHeight="1" s="78">
      <c r="A318" s="152" t="n">
        <v>3449690</v>
      </c>
      <c r="B318" s="152" t="inlineStr">
        <is>
          <t>Malys</t>
        </is>
      </c>
      <c r="C318" s="152" t="n">
        <v>2025</v>
      </c>
      <c r="D318" s="153" t="n">
        <v>14.99</v>
      </c>
      <c r="E318" s="154" t="n">
        <v>4970</v>
      </c>
      <c r="F318" s="152" t="n">
        <v>78</v>
      </c>
      <c r="G318" s="152" t="inlineStr">
        <is>
          <t>Summerfall Studios</t>
        </is>
      </c>
      <c r="H318" s="152" t="inlineStr">
        <is>
          <t>Strategy · Roguelike Deckbuilder · Hand-drawn · Demons · Roguelite · Story Rich · Card Game · Narrative</t>
        </is>
      </c>
    </row>
    <row r="319" ht="15" customHeight="1" s="78">
      <c r="A319" s="149" t="n">
        <v>3101770</v>
      </c>
      <c r="B319" s="149" t="inlineStr">
        <is>
          <t>Wander Hero</t>
        </is>
      </c>
      <c r="C319" s="149" t="n">
        <v>2024</v>
      </c>
      <c r="D319" s="150" t="n">
        <v>11.99</v>
      </c>
      <c r="E319" s="151" t="n">
        <v>4941</v>
      </c>
      <c r="F319" s="149" t="n">
        <v>77</v>
      </c>
      <c r="G319" s="149" t="inlineStr">
        <is>
          <t>Dimension Travler</t>
        </is>
      </c>
      <c r="H319" s="149" t="inlineStr">
        <is>
          <t>Strategy · RPG · Roguelike Deckbuilder · Cartoony · Turn-Based Combat · Card Game · Indie · Anime</t>
        </is>
      </c>
    </row>
    <row r="320" ht="15" customHeight="1" s="78">
      <c r="A320" s="152" t="n">
        <v>979800</v>
      </c>
      <c r="B320" s="152" t="inlineStr">
        <is>
          <t>Haxity</t>
        </is>
      </c>
      <c r="C320" s="152" t="n">
        <v>2020</v>
      </c>
      <c r="D320" s="153" t="n">
        <v>0</v>
      </c>
      <c r="E320" s="154" t="n">
        <v>4928</v>
      </c>
      <c r="F320" s="152" t="n">
        <v>77</v>
      </c>
      <c r="G320" s="152" t="inlineStr">
        <is>
          <t>Megapop</t>
        </is>
      </c>
      <c r="H320" s="152" t="inlineStr">
        <is>
          <t>Card Battler · Roguelike Deckbuilder · Indie · Early Access · Strategy · Card Game · Cyberpunk · Multiplayer</t>
        </is>
      </c>
    </row>
    <row r="321" ht="15" customHeight="1" s="78">
      <c r="A321" s="149" t="n">
        <v>2500460</v>
      </c>
      <c r="B321" s="149" t="inlineStr">
        <is>
          <t>Inventorix</t>
        </is>
      </c>
      <c r="C321" s="149" t="n">
        <v>2025</v>
      </c>
      <c r="D321" s="150" t="n">
        <v>4.99</v>
      </c>
      <c r="E321" s="151" t="n">
        <v>4926</v>
      </c>
      <c r="F321" s="149" t="n">
        <v>100</v>
      </c>
      <c r="G321" s="149" t="inlineStr">
        <is>
          <t>Arcaludi</t>
        </is>
      </c>
      <c r="H321" s="149" t="inlineStr">
        <is>
          <t>Inventory Management · Roguelike Deckbuilder · Turn-Based · Replay Value · Capitalism · Singleplayer · Strategy · Auto Battler</t>
        </is>
      </c>
    </row>
    <row r="322" ht="15" customHeight="1" s="78">
      <c r="A322" s="152" t="n">
        <v>3141630</v>
      </c>
      <c r="B322" s="152" t="inlineStr">
        <is>
          <t>Montabi</t>
        </is>
      </c>
      <c r="C322" s="152" t="n">
        <v>2026</v>
      </c>
      <c r="D322" s="153" t="n">
        <v>19.99</v>
      </c>
      <c r="E322" s="154" t="n">
        <v>4879</v>
      </c>
      <c r="F322" s="152" t="n">
        <v>95</v>
      </c>
      <c r="G322" s="152" t="inlineStr">
        <is>
          <t>Mankibo</t>
        </is>
      </c>
      <c r="H322" s="152" t="inlineStr">
        <is>
          <t>Roguelike Deckbuilder · Strategy · Deckbuilding · Team-Based · Creature Collector · Turn-Based Combat · Card Battler · Grid-Based Movement</t>
        </is>
      </c>
    </row>
    <row r="323" ht="15" customHeight="1" s="78">
      <c r="A323" s="149" t="n">
        <v>826740</v>
      </c>
      <c r="B323" s="149" t="inlineStr">
        <is>
          <t>Rise of the Slime</t>
        </is>
      </c>
      <c r="C323" s="149" t="n">
        <v>2021</v>
      </c>
      <c r="D323" s="150" t="n">
        <v>14.99</v>
      </c>
      <c r="E323" s="151" t="n">
        <v>4810</v>
      </c>
      <c r="F323" s="149" t="n">
        <v>61</v>
      </c>
      <c r="G323" s="149" t="inlineStr">
        <is>
          <t>Bunkovsky Games</t>
        </is>
      </c>
      <c r="H323" s="149" t="inlineStr">
        <is>
          <t>Cute · Roguelike Deckbuilder · Replay Value · Adventure · Card Battler · Card Game · Roguelike · Deckbuilding</t>
        </is>
      </c>
    </row>
    <row r="324" ht="15" customHeight="1" s="78">
      <c r="A324" s="152" t="n">
        <v>2967670</v>
      </c>
      <c r="B324" s="152" t="inlineStr">
        <is>
          <t>Cupiclaw</t>
        </is>
      </c>
      <c r="C324" s="152" t="n">
        <v>2026</v>
      </c>
      <c r="D324" s="153" t="n">
        <v>9.99</v>
      </c>
      <c r="E324" s="154" t="n">
        <v>4767</v>
      </c>
      <c r="F324" s="152" t="n">
        <v>90</v>
      </c>
      <c r="G324" s="152" t="inlineStr">
        <is>
          <t>Typin</t>
        </is>
      </c>
      <c r="H324" s="152" t="inlineStr">
        <is>
          <t>Roguelike Deckbuilder · Deckbuilding · Strategy · Gambling · Roguelike · Pixel Graphics · Physics · Resource Management</t>
        </is>
      </c>
    </row>
    <row r="325" ht="15" customHeight="1" s="78">
      <c r="A325" s="149" t="n">
        <v>2449450</v>
      </c>
      <c r="B325" s="149" t="inlineStr">
        <is>
          <t>Clonizer</t>
        </is>
      </c>
      <c r="C325" s="149" t="n">
        <v>2025</v>
      </c>
      <c r="D325" s="150" t="n">
        <v>14.99</v>
      </c>
      <c r="E325" s="151" t="n">
        <v>4734</v>
      </c>
      <c r="F325" s="149" t="n">
        <v>85</v>
      </c>
      <c r="G325" s="149" t="inlineStr">
        <is>
          <t>Juicy Plume</t>
        </is>
      </c>
      <c r="H325" s="149" t="inlineStr">
        <is>
          <t>Space · Roguelite · Turn-Based Combat · Hex Grid · Deckbuilding · Roguelike Deckbuilder · Strategy · Card Battler</t>
        </is>
      </c>
    </row>
    <row r="326" ht="15" customHeight="1" s="78">
      <c r="A326" s="152" t="n">
        <v>2294160</v>
      </c>
      <c r="B326" s="152" t="inlineStr">
        <is>
          <t>Isle of Swaps</t>
        </is>
      </c>
      <c r="C326" s="152" t="n">
        <v>2024</v>
      </c>
      <c r="D326" s="153" t="n">
        <v>14.99</v>
      </c>
      <c r="E326" s="154" t="n">
        <v>4703</v>
      </c>
      <c r="F326" s="152" t="n">
        <v>91</v>
      </c>
      <c r="G326" s="152" t="inlineStr">
        <is>
          <t>Fuzz Force</t>
        </is>
      </c>
      <c r="H326" s="152" t="inlineStr">
        <is>
          <t>Creature Collector · Roguelike Deckbuilder · Deckbuilding · Trading Card Game · Card Battler · Turn-Based Strategy · Roguelite · Turn-Based Tactics</t>
        </is>
      </c>
    </row>
    <row r="327" ht="15" customHeight="1" s="78">
      <c r="A327" s="149" t="n">
        <v>3822990</v>
      </c>
      <c r="B327" s="149" t="inlineStr">
        <is>
          <t>Stellar Witch</t>
        </is>
      </c>
      <c r="C327" s="149" t="n">
        <v>2025</v>
      </c>
      <c r="D327" s="150" t="n">
        <v>0</v>
      </c>
      <c r="E327" s="151" t="n">
        <v>4681</v>
      </c>
      <c r="F327" s="149" t="n">
        <v>97</v>
      </c>
      <c r="G327" s="149" t="inlineStr">
        <is>
          <t>배머루@결속</t>
        </is>
      </c>
      <c r="H327" s="149" t="inlineStr">
        <is>
          <t>Inventory Management · Strategy · Female Protagonist · Roguelike Deckbuilder · Action · Pixel Graphics · Action Roguelike · Free to Play</t>
        </is>
      </c>
    </row>
    <row r="328" ht="15" customHeight="1" s="78">
      <c r="A328" s="152" t="n">
        <v>2656490</v>
      </c>
      <c r="B328" s="152" t="inlineStr">
        <is>
          <t>ANTHEM#9</t>
        </is>
      </c>
      <c r="C328" s="152" t="n">
        <v>2026</v>
      </c>
      <c r="D328" s="153" t="n">
        <v>14.99</v>
      </c>
      <c r="E328" s="154" t="n">
        <v>4655</v>
      </c>
      <c r="F328" s="152" t="n">
        <v>89</v>
      </c>
      <c r="G328" s="152" t="inlineStr">
        <is>
          <t>koeda</t>
        </is>
      </c>
      <c r="H328" s="152" t="inlineStr">
        <is>
          <t>Roguelite · Puzzle · Deckbuilding · Roguelike Deckbuilder · Match 3 · Roguelike · PvE · Turn-Based Tactics</t>
        </is>
      </c>
    </row>
    <row r="329" ht="15" customHeight="1" s="78">
      <c r="A329" s="149" t="n">
        <v>3183220</v>
      </c>
      <c r="B329" s="149" t="inlineStr">
        <is>
          <t>Aurora Defense</t>
        </is>
      </c>
      <c r="C329" s="149" t="n">
        <v>2025</v>
      </c>
      <c r="D329" s="150" t="n">
        <v>12.99</v>
      </c>
      <c r="E329" s="151" t="n">
        <v>4647</v>
      </c>
      <c r="F329" s="149" t="n">
        <v>61</v>
      </c>
      <c r="G329" s="149" t="inlineStr">
        <is>
          <t>Moka Games</t>
        </is>
      </c>
      <c r="H329" s="149" t="inlineStr">
        <is>
          <t>Roguelike · Strategy · Tower Defense · Base Building · Roguelike Deckbuilder · Auto Battler · Roguelite · Card Game</t>
        </is>
      </c>
    </row>
    <row r="330" ht="15" customHeight="1" s="78">
      <c r="A330" s="152" t="n">
        <v>2996280</v>
      </c>
      <c r="B330" s="152" t="inlineStr">
        <is>
          <t>デュエホロ (DUEHOLO)</t>
        </is>
      </c>
      <c r="C330" s="152" t="n">
        <v>2024</v>
      </c>
      <c r="D330" s="153" t="n">
        <v>3.99</v>
      </c>
      <c r="E330" s="154" t="n">
        <v>4634</v>
      </c>
      <c r="F330" s="152" t="n">
        <v>95</v>
      </c>
      <c r="G330" s="152" t="inlineStr">
        <is>
          <t>テイク</t>
        </is>
      </c>
      <c r="H330" s="152" t="inlineStr">
        <is>
          <t>Roguelike Deckbuilder · Cute · Card Game · Strategy · Female Protagonist · RPG · Deckbuilding · Card Battler</t>
        </is>
      </c>
    </row>
    <row r="331" ht="15" customHeight="1" s="78">
      <c r="A331" s="149" t="n">
        <v>2286790</v>
      </c>
      <c r="B331" s="149" t="inlineStr">
        <is>
          <t>Helmetman</t>
        </is>
      </c>
      <c r="C331" s="149" t="n">
        <v>2023</v>
      </c>
      <c r="D331" s="150" t="n">
        <v>19.99</v>
      </c>
      <c r="E331" s="151" t="n">
        <v>4631</v>
      </c>
      <c r="F331" s="149" t="n">
        <v>78</v>
      </c>
      <c r="G331" s="149" t="inlineStr">
        <is>
          <t>GoniNmimi Games</t>
        </is>
      </c>
      <c r="H331" s="149" t="inlineStr">
        <is>
          <t>Early Access · Roguelike Deckbuilder · Roguelike · Card Game · Dating Sim · Visual Novel · Card Battler · Strategy</t>
        </is>
      </c>
    </row>
    <row r="332" ht="15" customHeight="1" s="78">
      <c r="A332" s="152" t="n">
        <v>3885520</v>
      </c>
      <c r="B332" s="152" t="inlineStr">
        <is>
          <t>Dice of Kalma</t>
        </is>
      </c>
      <c r="C332" s="152" t="n">
        <v>2025</v>
      </c>
      <c r="D332" s="153" t="n">
        <v>4.99</v>
      </c>
      <c r="E332" s="154" t="n">
        <v>4577</v>
      </c>
      <c r="F332" s="152" t="n">
        <v>91</v>
      </c>
      <c r="G332" s="152" t="inlineStr">
        <is>
          <t>Pepperbox Studios</t>
        </is>
      </c>
      <c r="H332" s="152" t="inlineStr">
        <is>
          <t>Poker · Roguelike Deckbuilder · Deckbuilding · Card Game · Gambling · Dice · Pixel Graphics · Roguelike</t>
        </is>
      </c>
    </row>
    <row r="333" ht="15" customHeight="1" s="78">
      <c r="A333" s="149" t="n">
        <v>3025160</v>
      </c>
      <c r="B333" s="149" t="inlineStr">
        <is>
          <t>Pirates Outlaws 2: Heritage</t>
        </is>
      </c>
      <c r="C333" s="149" t="n">
        <v>2025</v>
      </c>
      <c r="D333" s="150" t="n">
        <v>14.99</v>
      </c>
      <c r="E333" s="151" t="n">
        <v>4558</v>
      </c>
      <c r="F333" s="149" t="n">
        <v>69</v>
      </c>
      <c r="G333" s="149" t="inlineStr">
        <is>
          <t>Fabled Game</t>
        </is>
      </c>
      <c r="H333" s="149" t="inlineStr">
        <is>
          <t>Early Access · Roguelike Deckbuilder · Card Game · Pirates · Card Battler · Turn-Based Strategy · Strategy · Steampunk</t>
        </is>
      </c>
    </row>
    <row r="334" ht="15" customHeight="1" s="78">
      <c r="A334" s="152" t="n">
        <v>4093240</v>
      </c>
      <c r="B334" s="152" t="inlineStr">
        <is>
          <t>Tokyo Valkyries</t>
        </is>
      </c>
      <c r="C334" s="152" t="n">
        <v>2026</v>
      </c>
      <c r="D334" s="153" t="n">
        <v>22.99</v>
      </c>
      <c r="E334" s="154" t="n">
        <v>4540</v>
      </c>
      <c r="F334" s="152" t="n">
        <v>82</v>
      </c>
      <c r="G334" s="152" t="inlineStr">
        <is>
          <t>qureate</t>
        </is>
      </c>
      <c r="H334" s="152" t="inlineStr">
        <is>
          <t>Sexual Content · Roguelike Deckbuilder · Cute · Card Game · RPG · Anime · Strategy · Roguelike</t>
        </is>
      </c>
    </row>
    <row r="335" ht="15" customHeight="1" s="78">
      <c r="A335" s="149" t="n">
        <v>432380</v>
      </c>
      <c r="B335" s="149" t="inlineStr">
        <is>
          <t>Hydra Slayer</t>
        </is>
      </c>
      <c r="C335" s="149" t="n">
        <v>2016</v>
      </c>
      <c r="D335" s="150" t="n">
        <v>5.99</v>
      </c>
      <c r="E335" s="151" t="n">
        <v>4475</v>
      </c>
      <c r="F335" s="149" t="n">
        <v>92</v>
      </c>
      <c r="G335" s="149" t="inlineStr">
        <is>
          <t>Zeno Rogue</t>
        </is>
      </c>
      <c r="H335" s="149" t="inlineStr">
        <is>
          <t>Traditional Roguelike · Puzzle · Education · Inventory Management · Mythology · Turn-Based · Science · Procedural Generation</t>
        </is>
      </c>
    </row>
    <row r="336" ht="15" customHeight="1" s="78">
      <c r="A336" s="152" t="n">
        <v>2228010</v>
      </c>
      <c r="B336" s="152" t="inlineStr">
        <is>
          <t>Right and Down and Dice</t>
        </is>
      </c>
      <c r="C336" s="152" t="n">
        <v>2024</v>
      </c>
      <c r="D336" s="153" t="n">
        <v>11.99</v>
      </c>
      <c r="E336" s="154" t="n">
        <v>4438</v>
      </c>
      <c r="F336" s="152" t="n">
        <v>83</v>
      </c>
      <c r="G336" s="152" t="inlineStr">
        <is>
          <t>mc2games</t>
        </is>
      </c>
      <c r="H336" s="152" t="inlineStr">
        <is>
          <t>Roguelike Deckbuilder · Card Battler · Roguelite · Deckbuilding · Card Game · Strategy · Turn-Based · Indie</t>
        </is>
      </c>
    </row>
    <row r="337" ht="15" customHeight="1" s="78">
      <c r="A337" s="149" t="n">
        <v>2605600</v>
      </c>
      <c r="B337" s="149" t="inlineStr">
        <is>
          <t>Facehand</t>
        </is>
      </c>
      <c r="C337" s="149" t="n">
        <v>2024</v>
      </c>
      <c r="D337" s="150" t="n">
        <v>6.99</v>
      </c>
      <c r="E337" s="151" t="n">
        <v>4369</v>
      </c>
      <c r="F337" s="149" t="n">
        <v>88</v>
      </c>
      <c r="G337" s="149" t="inlineStr">
        <is>
          <t>foolsroom</t>
        </is>
      </c>
      <c r="H337" s="149" t="inlineStr">
        <is>
          <t>Roguelike Deckbuilder · Deckbuilding · Auto Battler · Strategy · Roguelite · Card Battler · Card Game · Roguelike</t>
        </is>
      </c>
    </row>
    <row r="338" ht="15" customHeight="1" s="78">
      <c r="A338" s="152" t="n">
        <v>3085620</v>
      </c>
      <c r="B338" s="152" t="inlineStr">
        <is>
          <t>Sky's The Limit MAH-JONG</t>
        </is>
      </c>
      <c r="C338" s="152" t="n">
        <v>2024</v>
      </c>
      <c r="D338" s="153" t="n">
        <v>8.99</v>
      </c>
      <c r="E338" s="154" t="n">
        <v>4232</v>
      </c>
      <c r="F338" s="152" t="n">
        <v>69</v>
      </c>
      <c r="G338" s="152" t="inlineStr">
        <is>
          <t>MediaLabGames</t>
        </is>
      </c>
      <c r="H338" s="152" t="inlineStr">
        <is>
          <t>Strategy · Mahjong · Casual · Roguelike Deckbuilder · Deckbuilding · Roguelike · Singleplayer · Indie</t>
        </is>
      </c>
    </row>
    <row r="339" ht="15" customHeight="1" s="78">
      <c r="A339" s="149" t="n">
        <v>1775360</v>
      </c>
      <c r="B339" s="149" t="inlineStr">
        <is>
          <t>Witch and Council : The Card</t>
        </is>
      </c>
      <c r="C339" s="149" t="n">
        <v>2024</v>
      </c>
      <c r="D339" s="150" t="n">
        <v>14.99</v>
      </c>
      <c r="E339" s="151" t="n">
        <v>4216</v>
      </c>
      <c r="F339" s="149" t="n">
        <v>50</v>
      </c>
      <c r="G339" s="149" t="inlineStr">
        <is>
          <t>G1 Playground</t>
        </is>
      </c>
      <c r="H339" s="149" t="inlineStr">
        <is>
          <t>Roguelike Deckbuilder · Roguelite · Cartoony · Anime · Female Protagonist · Fantasy · Magic · 2D</t>
        </is>
      </c>
    </row>
    <row r="340" ht="15" customHeight="1" s="78">
      <c r="A340" s="152" t="n">
        <v>3843360</v>
      </c>
      <c r="B340" s="152" t="inlineStr">
        <is>
          <t>Heroes of Magic &amp; Cards</t>
        </is>
      </c>
      <c r="C340" s="152" t="n">
        <v>2026</v>
      </c>
      <c r="D340" s="153" t="n">
        <v>12.99</v>
      </c>
      <c r="E340" s="154" t="n">
        <v>4206</v>
      </c>
      <c r="F340" s="152" t="n">
        <v>87</v>
      </c>
      <c r="G340" s="152" t="inlineStr">
        <is>
          <t>First Day Games</t>
        </is>
      </c>
      <c r="H340" s="152" t="inlineStr">
        <is>
          <t>Strategy · Roguelike Deckbuilder · Roguelike · Card Game · Poker · Indie · RPG · Pixel Graphics</t>
        </is>
      </c>
    </row>
    <row r="341" ht="15" customHeight="1" s="78">
      <c r="A341" s="149" t="n">
        <v>3820810</v>
      </c>
      <c r="B341" s="149" t="inlineStr">
        <is>
          <t>Dice Dice Baby</t>
        </is>
      </c>
      <c r="C341" s="149" t="n">
        <v>2025</v>
      </c>
      <c r="D341" s="150" t="n">
        <v>4.99</v>
      </c>
      <c r="E341" s="151" t="n">
        <v>4182</v>
      </c>
      <c r="F341" s="149" t="n">
        <v>89</v>
      </c>
      <c r="G341" s="149" t="inlineStr">
        <is>
          <t>Nugget Games Studio</t>
        </is>
      </c>
      <c r="H341" s="149" t="inlineStr">
        <is>
          <t>Strategy · Roguelike · Dice · Procedural Generation · Casual · Deckbuilding · Score Attack · Tactical</t>
        </is>
      </c>
    </row>
    <row r="342" ht="15" customHeight="1" s="78">
      <c r="A342" s="152" t="n">
        <v>3828280</v>
      </c>
      <c r="B342" s="152" t="inlineStr">
        <is>
          <t>Deckstination</t>
        </is>
      </c>
      <c r="C342" s="152" t="n">
        <v>2025</v>
      </c>
      <c r="D342" s="153" t="n">
        <v>0</v>
      </c>
      <c r="E342" s="154" t="n">
        <v>4158</v>
      </c>
      <c r="F342" s="152" t="n">
        <v>94</v>
      </c>
      <c r="G342" s="152" t="inlineStr">
        <is>
          <t>GoldKids</t>
        </is>
      </c>
      <c r="H342" s="152" t="inlineStr">
        <is>
          <t>Action · Strategy · Indie · Deckbuilding · Roguelike · Cyberpunk · Real Time Tactics · 2D</t>
        </is>
      </c>
    </row>
    <row r="343" ht="15" customHeight="1" s="78">
      <c r="A343" s="149" t="n">
        <v>3937040</v>
      </c>
      <c r="B343" s="149" t="inlineStr">
        <is>
          <t>HoloSeeker</t>
        </is>
      </c>
      <c r="C343" s="149" t="n">
        <v>2025</v>
      </c>
      <c r="D343" s="150" t="n">
        <v>3.99</v>
      </c>
      <c r="E343" s="151" t="n">
        <v>4149</v>
      </c>
      <c r="F343" s="149" t="n">
        <v>90</v>
      </c>
      <c r="G343" s="149" t="inlineStr">
        <is>
          <t>Imoyokan</t>
        </is>
      </c>
      <c r="H343" s="149" t="inlineStr">
        <is>
          <t>Simulation · Strategy · Deckbuilding · Roguelite · Card Game · Roguelike · 2D · Card Battler</t>
        </is>
      </c>
    </row>
    <row r="344" ht="15" customHeight="1" s="78">
      <c r="A344" s="152" t="n">
        <v>3668640</v>
      </c>
      <c r="B344" s="152" t="inlineStr">
        <is>
          <t>Deck of Harvest</t>
        </is>
      </c>
      <c r="C344" s="152" t="n">
        <v>2026</v>
      </c>
      <c r="D344" s="153" t="n">
        <v>11.99</v>
      </c>
      <c r="E344" s="154" t="n">
        <v>4130</v>
      </c>
      <c r="F344" s="152" t="n">
        <v>71</v>
      </c>
      <c r="G344" s="152" t="inlineStr">
        <is>
          <t>GameFarmer; Pone Games</t>
        </is>
      </c>
      <c r="H344" s="152" t="inlineStr">
        <is>
          <t>Early Access · Cartoon · Indie · Procedural Generation · Casual · Farming Sim · Turn-Based · Strategy</t>
        </is>
      </c>
    </row>
    <row r="345" ht="15" customHeight="1" s="78">
      <c r="A345" s="149" t="n">
        <v>1571960</v>
      </c>
      <c r="B345" s="149" t="inlineStr">
        <is>
          <t>The Corpsmen</t>
        </is>
      </c>
      <c r="C345" s="149" t="n">
        <v>2024</v>
      </c>
      <c r="D345" s="150" t="n">
        <v>19.99</v>
      </c>
      <c r="E345" s="151" t="n">
        <v>4104</v>
      </c>
      <c r="F345" s="149" t="n">
        <v>60</v>
      </c>
      <c r="G345" s="149" t="inlineStr">
        <is>
          <t>Multicell Games</t>
        </is>
      </c>
      <c r="H345" s="149" t="inlineStr">
        <is>
          <t>Roguelike Deckbuilder · Creature Collector · Deckbuilding · Card Battler · Strategy · Card Game · Indie · Roguelite</t>
        </is>
      </c>
    </row>
    <row r="346" ht="15" customHeight="1" s="78">
      <c r="A346" s="152" t="n">
        <v>1860600</v>
      </c>
      <c r="B346" s="152" t="inlineStr">
        <is>
          <t>the World According to Girl</t>
        </is>
      </c>
      <c r="C346" s="152" t="n">
        <v>2022</v>
      </c>
      <c r="D346" s="153" t="n">
        <v>9.99</v>
      </c>
      <c r="E346" s="154" t="n">
        <v>4083</v>
      </c>
      <c r="F346" s="152" t="n">
        <v>72</v>
      </c>
      <c r="G346" s="152" t="inlineStr">
        <is>
          <t>yondray</t>
        </is>
      </c>
      <c r="H346" s="152" t="inlineStr">
        <is>
          <t>Cute · Roguelike Deckbuilder · Post-apocalyptic · Deckbuilding · Roguelike · Adventure · Card Game · Simulation</t>
        </is>
      </c>
    </row>
    <row r="347" ht="15" customHeight="1" s="78">
      <c r="A347" s="149" t="n">
        <v>3799470</v>
      </c>
      <c r="B347" s="149" t="inlineStr">
        <is>
          <t>Archon Soul: Prologue</t>
        </is>
      </c>
      <c r="C347" s="149" t="n">
        <v>2026</v>
      </c>
      <c r="D347" s="150" t="n">
        <v>0</v>
      </c>
      <c r="E347" s="151" t="n">
        <v>4055</v>
      </c>
      <c r="F347" s="149" t="n">
        <v>92</v>
      </c>
      <c r="G347" s="149" t="inlineStr">
        <is>
          <t>PolyGryph</t>
        </is>
      </c>
      <c r="H347" s="149" t="inlineStr">
        <is>
          <t>Roguelike Deckbuilder · Dice · Card Battler · Turn-Based · Strategy · Deckbuilding · Roguelike · Dark Fantasy</t>
        </is>
      </c>
    </row>
    <row r="348" ht="15" customHeight="1" s="78">
      <c r="A348" s="152" t="n">
        <v>3656680</v>
      </c>
      <c r="B348" s="152" t="inlineStr">
        <is>
          <t>Gold and Graves</t>
        </is>
      </c>
      <c r="C348" s="152" t="n">
        <v>2025</v>
      </c>
      <c r="D348" s="153" t="n">
        <v>5.99</v>
      </c>
      <c r="E348" s="154" t="n">
        <v>4028</v>
      </c>
      <c r="F348" s="152" t="n">
        <v>86</v>
      </c>
      <c r="G348" s="152" t="inlineStr">
        <is>
          <t>Yoon</t>
        </is>
      </c>
      <c r="H348" s="152" t="inlineStr">
        <is>
          <t>Roguelike Deckbuilder · Creature Collector · Card Game · Auto Battler · Turn-Based Strategy · Collectathon · Dungeon Crawler · Strategy</t>
        </is>
      </c>
    </row>
    <row r="349" ht="15" customHeight="1" s="78">
      <c r="A349" s="149" t="n">
        <v>3700250</v>
      </c>
      <c r="B349" s="149" t="inlineStr">
        <is>
          <t>Master of Piece: Prologue</t>
        </is>
      </c>
      <c r="C349" s="149" t="n">
        <v>2025</v>
      </c>
      <c r="D349" s="150" t="n">
        <v>0</v>
      </c>
      <c r="E349" s="151" t="n">
        <v>4009</v>
      </c>
      <c r="F349" s="149" t="n">
        <v>94</v>
      </c>
      <c r="G349" s="149" t="inlineStr">
        <is>
          <t>I M GAME</t>
        </is>
      </c>
      <c r="H349" s="149" t="inlineStr">
        <is>
          <t>Roguelike Deckbuilder · Free to Play · Turn-Based Strategy · Strategy · Medieval · Roguelite · Auto Battler · Roguelike</t>
        </is>
      </c>
    </row>
    <row r="350" ht="15" customHeight="1" s="78">
      <c r="A350" s="152" t="n">
        <v>2886470</v>
      </c>
      <c r="B350" s="152" t="inlineStr">
        <is>
          <t>Valefor</t>
        </is>
      </c>
      <c r="C350" s="152" t="n">
        <v>2024</v>
      </c>
      <c r="D350" s="153" t="n">
        <v>14.99</v>
      </c>
      <c r="E350" s="154" t="n">
        <v>3966</v>
      </c>
      <c r="F350" s="152" t="n">
        <v>68</v>
      </c>
      <c r="G350" s="152" t="inlineStr">
        <is>
          <t>Valefor Ltd</t>
        </is>
      </c>
      <c r="H350" s="152" t="inlineStr">
        <is>
          <t>Auto Battler · Inventory Management · Indie · Strategy · PvP · Multiplayer · Roguelike Deckbuilder · Asynchronous Multiplayer</t>
        </is>
      </c>
    </row>
    <row r="351" ht="15" customHeight="1" s="78">
      <c r="A351" s="149" t="n">
        <v>1069050</v>
      </c>
      <c r="B351" s="149" t="inlineStr">
        <is>
          <t>Little Dungeon Stories</t>
        </is>
      </c>
      <c r="C351" s="149" t="n">
        <v>2019</v>
      </c>
      <c r="D351" s="150" t="n">
        <v>7.99</v>
      </c>
      <c r="E351" s="151" t="n">
        <v>3958</v>
      </c>
      <c r="F351" s="149" t="n">
        <v>74</v>
      </c>
      <c r="G351" s="149" t="inlineStr">
        <is>
          <t>David Moralejo Sánchez</t>
        </is>
      </c>
      <c r="H351" s="149" t="inlineStr">
        <is>
          <t>Roguelike Deckbuilder · Roguelite · RPG · Card Game · Card Battler · Pixel Graphics · Adventure · Choices Matter</t>
        </is>
      </c>
    </row>
    <row r="352" ht="15" customHeight="1" s="78">
      <c r="A352" s="152" t="n">
        <v>3308960</v>
      </c>
      <c r="B352" s="152" t="inlineStr">
        <is>
          <t>Conquest Tactics : Realm of Sin</t>
        </is>
      </c>
      <c r="C352" s="152" t="n">
        <v>2026</v>
      </c>
      <c r="D352" s="153" t="n">
        <v>14.99</v>
      </c>
      <c r="E352" s="154" t="n">
        <v>3925</v>
      </c>
      <c r="F352" s="152" t="n">
        <v>76</v>
      </c>
      <c r="G352" s="152" t="inlineStr">
        <is>
          <t>Singular Sunshine Studios</t>
        </is>
      </c>
      <c r="H352" s="152" t="inlineStr">
        <is>
          <t>Turn-Based Tactics · Roguelite · Dark Fantasy · Hex Grid · Board Game · Turn-Based Strategy · Tabletop · Strategy</t>
        </is>
      </c>
    </row>
    <row r="353" ht="15" customHeight="1" s="78">
      <c r="A353" s="149" t="n">
        <v>3823370</v>
      </c>
      <c r="B353" s="149" t="inlineStr">
        <is>
          <t>Beyond Words</t>
        </is>
      </c>
      <c r="C353" s="149" t="n">
        <v>2026</v>
      </c>
      <c r="D353" s="150" t="n">
        <v>14.99</v>
      </c>
      <c r="E353" s="151" t="n">
        <v>3901</v>
      </c>
      <c r="F353" s="149" t="n">
        <v>85</v>
      </c>
      <c r="G353" s="149" t="inlineStr">
        <is>
          <t>MindFuel Games</t>
        </is>
      </c>
      <c r="H353" s="149" t="inlineStr">
        <is>
          <t>Roguelike Deckbuilder · Card Game · Deckbuilding · Roguelike · Word Game · Strategy · Casual · Roguelite</t>
        </is>
      </c>
    </row>
    <row r="354" ht="15" customHeight="1" s="78">
      <c r="A354" s="152" t="n">
        <v>4311010</v>
      </c>
      <c r="B354" s="152" t="inlineStr">
        <is>
          <t>EXE.CUTOR</t>
        </is>
      </c>
      <c r="C354" s="152" t="n">
        <v>2026</v>
      </c>
      <c r="D354" s="153" t="n">
        <v>0</v>
      </c>
      <c r="E354" s="154" t="n">
        <v>3882</v>
      </c>
      <c r="F354" s="152" t="n">
        <v>94</v>
      </c>
      <c r="G354" s="152" t="inlineStr">
        <is>
          <t>A.S.K.S.</t>
        </is>
      </c>
      <c r="H354" s="152" t="inlineStr">
        <is>
          <t>Strategy · Free to Play · Indie · Card Game · Turn-Based Strategy · Puzzle · Dungeon Crawler · Turn-Based Tactics</t>
        </is>
      </c>
    </row>
    <row r="355" ht="15" customHeight="1" s="78">
      <c r="A355" s="149" t="n">
        <v>1291220</v>
      </c>
      <c r="B355" s="149" t="inlineStr">
        <is>
          <t>Crash The Core</t>
        </is>
      </c>
      <c r="C355" s="149" t="n">
        <v>2021</v>
      </c>
      <c r="D355" s="150" t="n">
        <v>4.99</v>
      </c>
      <c r="E355" s="151" t="n">
        <v>3803</v>
      </c>
      <c r="F355" s="149" t="n">
        <v>70</v>
      </c>
      <c r="G355" s="149" t="inlineStr">
        <is>
          <t>Jerome Labelle</t>
        </is>
      </c>
      <c r="H355" s="149" t="inlineStr">
        <is>
          <t>Roguelike Deckbuilder · Choices Matter · Roguelite · Turn-Based Strategy · Card Game · Roguelike · RPG · Card Battler</t>
        </is>
      </c>
    </row>
    <row r="356" ht="15" customHeight="1" s="78">
      <c r="A356" s="152" t="n">
        <v>1231940</v>
      </c>
      <c r="B356" s="152" t="inlineStr">
        <is>
          <t>Cardnarok: Raid with Gods</t>
        </is>
      </c>
      <c r="C356" s="152" t="n">
        <v>2021</v>
      </c>
      <c r="D356" s="153" t="n">
        <v>19.99</v>
      </c>
      <c r="E356" s="154" t="n">
        <v>3771</v>
      </c>
      <c r="F356" s="152" t="n">
        <v>78</v>
      </c>
      <c r="G356" s="152" t="inlineStr">
        <is>
          <t>Greedy Wolf Studio</t>
        </is>
      </c>
      <c r="H356" s="152" t="inlineStr">
        <is>
          <t>Roguelike Deckbuilder · Card Battler · Roguelite · Difficult · Party-Based RPG · Mythology · Fantasy · Procedural Generation</t>
        </is>
      </c>
    </row>
    <row r="357" ht="15" customHeight="1" s="78">
      <c r="A357" s="149" t="n">
        <v>1708950</v>
      </c>
      <c r="B357" s="149" t="inlineStr">
        <is>
          <t>Battle Train</t>
        </is>
      </c>
      <c r="C357" s="149" t="n">
        <v>2025</v>
      </c>
      <c r="D357" s="150" t="n">
        <v>19.99</v>
      </c>
      <c r="E357" s="151" t="n">
        <v>3736</v>
      </c>
      <c r="F357" s="149" t="n">
        <v>87</v>
      </c>
      <c r="G357" s="149" t="inlineStr">
        <is>
          <t>Terrible Posture Games; Nerd Ninjas</t>
        </is>
      </c>
      <c r="H357" s="149" t="inlineStr">
        <is>
          <t>Roguelike Deckbuilder · Card Battler · Deckbuilding · Card Game · Strategy · Trains · Roguelite · Tactical</t>
        </is>
      </c>
    </row>
    <row r="358" ht="15" customHeight="1" s="78">
      <c r="A358" s="152" t="n">
        <v>1070190</v>
      </c>
      <c r="B358" s="152" t="inlineStr">
        <is>
          <t>Spellsword Cards: Origins</t>
        </is>
      </c>
      <c r="C358" s="152" t="n">
        <v>2019</v>
      </c>
      <c r="D358" s="153" t="n">
        <v>9.99</v>
      </c>
      <c r="E358" s="154" t="n">
        <v>3729</v>
      </c>
      <c r="F358" s="152" t="n">
        <v>65</v>
      </c>
      <c r="G358" s="152" t="inlineStr">
        <is>
          <t>One Up Plus Entertainment</t>
        </is>
      </c>
      <c r="H358" s="152" t="inlineStr">
        <is>
          <t>Roguelike Deckbuilder · Roguelite · Deckbuilding · Card Battler · Strategy · Indie · Card Game · Adventure</t>
        </is>
      </c>
    </row>
    <row r="359" ht="15" customHeight="1" s="78">
      <c r="A359" s="149" t="n">
        <v>1772050</v>
      </c>
      <c r="B359" s="149" t="inlineStr">
        <is>
          <t>Souls of White Star</t>
        </is>
      </c>
      <c r="C359" s="149" t="n">
        <v>2023</v>
      </c>
      <c r="D359" s="150" t="n">
        <v>14.99</v>
      </c>
      <c r="E359" s="151" t="n">
        <v>3707</v>
      </c>
      <c r="F359" s="149" t="n">
        <v>84</v>
      </c>
      <c r="G359" s="149" t="inlineStr">
        <is>
          <t>Souls of Star Game Lab.</t>
        </is>
      </c>
      <c r="H359" s="149" t="inlineStr">
        <is>
          <t>Early Access · Roguelike Deckbuilder · Turn-Based Tactics · Roguelike · Hex Grid · Sci-fi · Card Battler · Deckbuilding</t>
        </is>
      </c>
    </row>
    <row r="360" ht="15" customHeight="1" s="78">
      <c r="A360" s="152" t="n">
        <v>2632890</v>
      </c>
      <c r="B360" s="152" t="inlineStr">
        <is>
          <t>WildFront</t>
        </is>
      </c>
      <c r="C360" s="152" t="n">
        <v>2024</v>
      </c>
      <c r="D360" s="153" t="n">
        <v>0</v>
      </c>
      <c r="E360" s="154" t="n">
        <v>3705</v>
      </c>
      <c r="F360" s="152" t="n">
        <v>86</v>
      </c>
      <c r="G360" s="152" t="inlineStr">
        <is>
          <t>Etheral Games</t>
        </is>
      </c>
      <c r="H360" s="152" t="inlineStr">
        <is>
          <t>2D · Colorful · Strategy · Roguelike Deckbuilder · Dungeon Crawler · Card Game · Deckbuilding · Turn-Based Combat</t>
        </is>
      </c>
    </row>
    <row r="361" ht="15" customHeight="1" s="78">
      <c r="A361" s="149" t="n">
        <v>3537690</v>
      </c>
      <c r="B361" s="149" t="inlineStr">
        <is>
          <t xml:space="preserve"> STICKER/BALL</t>
        </is>
      </c>
      <c r="C361" s="149" t="n">
        <v>2026</v>
      </c>
      <c r="D361" s="150" t="n">
        <v>7.99</v>
      </c>
      <c r="E361" s="151" t="n">
        <v>3696</v>
      </c>
      <c r="F361" s="149" t="n">
        <v>92</v>
      </c>
      <c r="G361" s="149" t="inlineStr">
        <is>
          <t>bilge</t>
        </is>
      </c>
      <c r="H361" s="149" t="inlineStr">
        <is>
          <t>Roguelike · Deckbuilding · Physics · Funny · Arcade · Strategy · Pixel Graphics · Roguelite</t>
        </is>
      </c>
    </row>
    <row r="362" ht="15" customHeight="1" s="78">
      <c r="A362" s="152" t="n">
        <v>3929330</v>
      </c>
      <c r="B362" s="152" t="inlineStr">
        <is>
          <t>Relief</t>
        </is>
      </c>
      <c r="C362" s="152" t="n">
        <v>2026</v>
      </c>
      <c r="D362" s="153" t="n">
        <v>9.99</v>
      </c>
      <c r="E362" s="154" t="n">
        <v>3563</v>
      </c>
      <c r="F362" s="152" t="n">
        <v>79</v>
      </c>
      <c r="G362" s="152" t="inlineStr">
        <is>
          <t>Billiontail</t>
        </is>
      </c>
      <c r="H362" s="152" t="inlineStr">
        <is>
          <t>Roguelite · Roguelike Deckbuilder · Card Battler · Turn-Based Combat · Strategy · Card Game · Story Rich · Turn-Based Tactics</t>
        </is>
      </c>
    </row>
    <row r="363" ht="15" customHeight="1" s="78">
      <c r="A363" s="149" t="n">
        <v>1732090</v>
      </c>
      <c r="B363" s="149" t="inlineStr">
        <is>
          <t>Words Can Kill</t>
        </is>
      </c>
      <c r="C363" s="149" t="n">
        <v>2022</v>
      </c>
      <c r="D363" s="150" t="n">
        <v>7.99</v>
      </c>
      <c r="E363" s="151" t="n">
        <v>3555</v>
      </c>
      <c r="F363" s="149" t="n">
        <v>72</v>
      </c>
      <c r="G363" s="149" t="inlineStr">
        <is>
          <t>Typing Monkey</t>
        </is>
      </c>
      <c r="H363" s="149" t="inlineStr">
        <is>
          <t>Roguelike Deckbuilder · Card Battler · Deckbuilding · Roguelike · Card Game · Word Game · Turn-Based · Roguelite</t>
        </is>
      </c>
    </row>
    <row r="364" ht="15" customHeight="1" s="78">
      <c r="A364" s="152" t="n">
        <v>801210</v>
      </c>
      <c r="B364" s="152" t="inlineStr">
        <is>
          <t>Spellsword Cards: Demontide</t>
        </is>
      </c>
      <c r="C364" s="152" t="n">
        <v>2019</v>
      </c>
      <c r="D364" s="153" t="n">
        <v>5.99</v>
      </c>
      <c r="E364" s="154" t="n">
        <v>3542</v>
      </c>
      <c r="F364" s="152" t="n">
        <v>63</v>
      </c>
      <c r="G364" s="152" t="inlineStr">
        <is>
          <t>One Up Plus Entertainment</t>
        </is>
      </c>
      <c r="H364" s="152" t="inlineStr">
        <is>
          <t>Roguelike Deckbuilder · Indie · Card Game · Strategy · Adventure · 2D · Roguelite · Dragons</t>
        </is>
      </c>
    </row>
    <row r="365" ht="15" customHeight="1" s="78">
      <c r="A365" s="149" t="n">
        <v>1332090</v>
      </c>
      <c r="B365" s="149" t="inlineStr">
        <is>
          <t>Void Tyrant</t>
        </is>
      </c>
      <c r="C365" s="149" t="n">
        <v>2021</v>
      </c>
      <c r="D365" s="150" t="n">
        <v>9.99</v>
      </c>
      <c r="E365" s="151" t="n">
        <v>3542</v>
      </c>
      <c r="F365" s="149" t="n">
        <v>70</v>
      </c>
      <c r="G365" s="149" t="inlineStr">
        <is>
          <t>Quite Fresh Games</t>
        </is>
      </c>
      <c r="H365" s="149" t="inlineStr">
        <is>
          <t>Roguelike Deckbuilder · Strategy · Card Battler · Card Game · Roguelike · Roguelite · Difficult · Deckbuilding</t>
        </is>
      </c>
    </row>
    <row r="366" ht="15" customHeight="1" s="78">
      <c r="A366" s="152" t="n">
        <v>2054770</v>
      </c>
      <c r="B366" s="152" t="inlineStr">
        <is>
          <t>Combo Card Clashers</t>
        </is>
      </c>
      <c r="C366" s="152" t="n">
        <v>2024</v>
      </c>
      <c r="D366" s="153" t="n">
        <v>5.99</v>
      </c>
      <c r="E366" s="154" t="n">
        <v>3510</v>
      </c>
      <c r="F366" s="152" t="n">
        <v>80</v>
      </c>
      <c r="G366" s="152" t="inlineStr">
        <is>
          <t>Burnt Games LLC</t>
        </is>
      </c>
      <c r="H366" s="152" t="inlineStr">
        <is>
          <t>Tactical · Roguelike Deckbuilder · Card Battler · Strategy · Auto Battler · Singleplayer · Roguelike · Indie</t>
        </is>
      </c>
    </row>
    <row r="367" ht="15" customHeight="1" s="78">
      <c r="A367" s="149" t="n">
        <v>4204940</v>
      </c>
      <c r="B367" s="149" t="inlineStr">
        <is>
          <t>Karigurashi Ren'ai: Living on Borrowed Love</t>
        </is>
      </c>
      <c r="C367" s="149" t="n">
        <v>2026</v>
      </c>
      <c r="D367" s="150" t="n">
        <v>29.99</v>
      </c>
      <c r="E367" s="151" t="n">
        <v>3435</v>
      </c>
      <c r="F367" s="149" t="n">
        <v>96</v>
      </c>
      <c r="G367" s="149" t="inlineStr">
        <is>
          <t>ASa Project</t>
        </is>
      </c>
      <c r="H367" s="149" t="inlineStr">
        <is>
          <t>Visual Novel · Adventure · Anime · Casual · Comedy · Choose Your Own Adventure · Cute · Story Rich</t>
        </is>
      </c>
    </row>
    <row r="368" ht="15" customHeight="1" s="78">
      <c r="A368" s="152" t="n">
        <v>2006990</v>
      </c>
      <c r="B368" s="152" t="inlineStr">
        <is>
          <t>Railroads &amp; Catacombs: Prologue</t>
        </is>
      </c>
      <c r="C368" s="152" t="n">
        <v>2023</v>
      </c>
      <c r="D368" s="153" t="n">
        <v>0</v>
      </c>
      <c r="E368" s="154" t="n">
        <v>3405</v>
      </c>
      <c r="F368" s="152" t="n">
        <v>90</v>
      </c>
      <c r="G368" s="152" t="inlineStr">
        <is>
          <t>MadRails</t>
        </is>
      </c>
      <c r="H368" s="152" t="inlineStr">
        <is>
          <t>Roguelike Deckbuilder · Dungeon Crawler · Turn-Based Tactics · Dark · Tactical · Card Battler · Strategy · Deckbuilding</t>
        </is>
      </c>
    </row>
    <row r="369" ht="15" customHeight="1" s="78">
      <c r="A369" s="149" t="n">
        <v>2180350</v>
      </c>
      <c r="B369" s="149" t="inlineStr">
        <is>
          <t>幻斋阴阳录 Genzai:Serialization</t>
        </is>
      </c>
      <c r="C369" s="149" t="n">
        <v>2023</v>
      </c>
      <c r="D369" s="150" t="n">
        <v>3.99</v>
      </c>
      <c r="E369" s="151" t="n">
        <v>3301</v>
      </c>
      <c r="F369" s="149" t="n">
        <v>84</v>
      </c>
      <c r="G369" s="149" t="inlineStr">
        <is>
          <t>Genzai Studio</t>
        </is>
      </c>
      <c r="H369" s="149" t="inlineStr">
        <is>
          <t>Casual · Strategy · Card Game · JRPG · Roguelike · 2D Platformer · Card Battler · Trading Card Game</t>
        </is>
      </c>
    </row>
    <row r="370" ht="15" customHeight="1" s="78">
      <c r="A370" s="152" t="n">
        <v>1844130</v>
      </c>
      <c r="B370" s="152" t="inlineStr">
        <is>
          <t>Stellar Orphans</t>
        </is>
      </c>
      <c r="C370" s="152" t="n">
        <v>2024</v>
      </c>
      <c r="D370" s="153" t="n">
        <v>16.99</v>
      </c>
      <c r="E370" s="154" t="n">
        <v>3269</v>
      </c>
      <c r="F370" s="152" t="n">
        <v>70</v>
      </c>
      <c r="G370" s="152" t="inlineStr">
        <is>
          <t>Artifex Parvus</t>
        </is>
      </c>
      <c r="H370" s="152" t="inlineStr">
        <is>
          <t>Roguelike Deckbuilder · Deckbuilding · Card Game · Replay Value · Strategy · Turn-Based Strategy · Roguelite · Roguelike</t>
        </is>
      </c>
    </row>
    <row r="371" ht="15" customHeight="1" s="78">
      <c r="A371" s="149" t="n">
        <v>2878030</v>
      </c>
      <c r="B371" s="149" t="inlineStr">
        <is>
          <t>Moon Watch</t>
        </is>
      </c>
      <c r="C371" s="149" t="n">
        <v>2024</v>
      </c>
      <c r="D371" s="150" t="n">
        <v>9.99</v>
      </c>
      <c r="E371" s="151" t="n">
        <v>3245</v>
      </c>
      <c r="F371" s="149" t="n">
        <v>64</v>
      </c>
      <c r="G371" s="149" t="inlineStr">
        <is>
          <t>Jaspel</t>
        </is>
      </c>
      <c r="H371" s="149" t="inlineStr">
        <is>
          <t>Early Access · Strategy · Roguelike · Deckbuilding · Action Roguelike · Roguelike Deckbuilder · Card Battler · Bullet Hell</t>
        </is>
      </c>
    </row>
    <row r="372" ht="15" customHeight="1" s="78">
      <c r="A372" s="152" t="n">
        <v>2340510</v>
      </c>
      <c r="B372" s="152" t="inlineStr">
        <is>
          <t>Moon's Creed</t>
        </is>
      </c>
      <c r="C372" s="152" t="n">
        <v>2025</v>
      </c>
      <c r="D372" s="153" t="n">
        <v>11.99</v>
      </c>
      <c r="E372" s="154" t="n">
        <v>3207</v>
      </c>
      <c r="F372" s="152" t="n">
        <v>75</v>
      </c>
      <c r="G372" s="152" t="inlineStr">
        <is>
          <t>Creedon Games</t>
        </is>
      </c>
      <c r="H372" s="152" t="inlineStr">
        <is>
          <t>Roguelike Deckbuilder · Deckbuilding · Card Game · Card Battler · Roguelike · Turn-Based Tactics · Dungeon Crawler · Roguelite</t>
        </is>
      </c>
    </row>
    <row r="373" ht="15" customHeight="1" s="78">
      <c r="A373" s="149" t="n">
        <v>1622400</v>
      </c>
      <c r="B373" s="149" t="inlineStr">
        <is>
          <t>Wyldernook</t>
        </is>
      </c>
      <c r="C373" s="149" t="n">
        <v>2026</v>
      </c>
      <c r="D373" s="150" t="n">
        <v>0</v>
      </c>
      <c r="E373" s="151" t="n">
        <v>3181</v>
      </c>
      <c r="F373" s="149" t="n">
        <v>92</v>
      </c>
      <c r="G373" s="149" t="inlineStr">
        <is>
          <t>Studio Kejami</t>
        </is>
      </c>
      <c r="H373" s="149" t="inlineStr">
        <is>
          <t>Early Access · Trading Card Game · Card Game · Strategy · Multiplayer · Roguelike Deckbuilder · PvP · Card Battler</t>
        </is>
      </c>
    </row>
    <row r="374" ht="15" customHeight="1" s="78">
      <c r="A374" s="152" t="n">
        <v>3442280</v>
      </c>
      <c r="B374" s="152" t="inlineStr">
        <is>
          <t>Phantomancer</t>
        </is>
      </c>
      <c r="C374" s="152" t="n">
        <v>2025</v>
      </c>
      <c r="D374" s="153" t="n">
        <v>11.99</v>
      </c>
      <c r="E374" s="154" t="n">
        <v>3152</v>
      </c>
      <c r="F374" s="152" t="n">
        <v>92</v>
      </c>
      <c r="G374" s="152" t="inlineStr">
        <is>
          <t>Cloudgear Games</t>
        </is>
      </c>
      <c r="H374" s="152" t="inlineStr">
        <is>
          <t>Strategy · Deckbuilding · Card Battler · Roguelike · Anime · Fantasy · Singleplayer · Card Game</t>
        </is>
      </c>
    </row>
    <row r="375" ht="15" customHeight="1" s="78">
      <c r="A375" s="149" t="n">
        <v>1419510</v>
      </c>
      <c r="B375" s="149" t="inlineStr">
        <is>
          <t>ULTRA LMAD</t>
        </is>
      </c>
      <c r="C375" s="149" t="n">
        <v>2023</v>
      </c>
      <c r="D375" s="150" t="n">
        <v>0</v>
      </c>
      <c r="E375" s="151" t="n">
        <v>3150</v>
      </c>
      <c r="F375" s="149" t="n">
        <v>80</v>
      </c>
      <c r="G375" s="149" t="inlineStr">
        <is>
          <t>Headless</t>
        </is>
      </c>
      <c r="H375" s="149" t="inlineStr">
        <is>
          <t>Roguelike Deckbuilder · Card Battler · Turn-Based Combat · Difficult · RPG · Card Game · Roguelike · Turn-Based</t>
        </is>
      </c>
    </row>
    <row r="376" ht="15" customHeight="1" s="78">
      <c r="A376" s="152" t="n">
        <v>1924010</v>
      </c>
      <c r="B376" s="152" t="inlineStr">
        <is>
          <t>Shapebreaker - Tower Defense Deckbuilder</t>
        </is>
      </c>
      <c r="C376" s="152" t="n">
        <v>2023</v>
      </c>
      <c r="D376" s="153" t="n">
        <v>4.99</v>
      </c>
      <c r="E376" s="154" t="n">
        <v>3131</v>
      </c>
      <c r="F376" s="152" t="n">
        <v>80</v>
      </c>
      <c r="G376" s="152" t="inlineStr">
        <is>
          <t>Alexander Van den Bulck</t>
        </is>
      </c>
      <c r="H376" s="152" t="inlineStr">
        <is>
          <t>Tower Defense · Strategy · Singleplayer · Roguelike Deckbuilder · 2D · Tactical · Roguelike · Roguelite</t>
        </is>
      </c>
    </row>
    <row r="377" ht="15" customHeight="1" s="78">
      <c r="A377" s="149" t="n">
        <v>1566090</v>
      </c>
      <c r="B377" s="149" t="inlineStr">
        <is>
          <t>Malice &amp; Greed</t>
        </is>
      </c>
      <c r="C377" s="149" t="n">
        <v>2021</v>
      </c>
      <c r="D377" s="150" t="n">
        <v>14.99</v>
      </c>
      <c r="E377" s="151" t="n">
        <v>3110</v>
      </c>
      <c r="F377" s="149" t="n">
        <v>77</v>
      </c>
      <c r="G377" s="149" t="inlineStr">
        <is>
          <t>Xendra</t>
        </is>
      </c>
      <c r="H377" s="149" t="inlineStr">
        <is>
          <t>Early Access · Roguelike Deckbuilder · RPG · Strategy · Roguelite · Creature Collector · Deckbuilding · Card Battler</t>
        </is>
      </c>
    </row>
    <row r="378" ht="15" customHeight="1" s="78">
      <c r="A378" s="152" t="n">
        <v>1274210</v>
      </c>
      <c r="B378" s="152" t="inlineStr">
        <is>
          <t>WizardChess</t>
        </is>
      </c>
      <c r="C378" s="152" t="n">
        <v>2024</v>
      </c>
      <c r="D378" s="153" t="n">
        <v>14.99</v>
      </c>
      <c r="E378" s="154" t="n">
        <v>3100</v>
      </c>
      <c r="F378" s="152" t="n">
        <v>76</v>
      </c>
      <c r="G378" s="152" t="inlineStr">
        <is>
          <t>TwoPM Studios</t>
        </is>
      </c>
      <c r="H378" s="152" t="inlineStr">
        <is>
          <t>Chess · Roguelike Deckbuilder · Grid-Based Movement · Turn-Based Tactics · Board Game · RPG · Card Game · Strategy</t>
        </is>
      </c>
    </row>
    <row r="379" ht="15" customHeight="1" s="78">
      <c r="A379" s="149" t="n">
        <v>2089500</v>
      </c>
      <c r="B379" s="149" t="inlineStr">
        <is>
          <t>Arcana of Paradise —The Tower—</t>
        </is>
      </c>
      <c r="C379" s="149" t="n">
        <v>2023</v>
      </c>
      <c r="D379" s="150" t="n">
        <v>19.99</v>
      </c>
      <c r="E379" s="151" t="n">
        <v>3087</v>
      </c>
      <c r="F379" s="149" t="n">
        <v>75</v>
      </c>
      <c r="G379" s="149" t="inlineStr">
        <is>
          <t>株式会社タストα</t>
        </is>
      </c>
      <c r="H379" s="149" t="inlineStr">
        <is>
          <t>Roguelike Deckbuilder · Card Battler · Roguelike · Roguelite · Action Roguelike · Card Game · Fantasy · Deckbuilding</t>
        </is>
      </c>
    </row>
    <row r="380" ht="15" customHeight="1" s="78">
      <c r="A380" s="152" t="n">
        <v>3490280</v>
      </c>
      <c r="B380" s="152" t="inlineStr">
        <is>
          <t>Bearly Brave</t>
        </is>
      </c>
      <c r="C380" s="152" t="n">
        <v>2025</v>
      </c>
      <c r="D380" s="153" t="n">
        <v>9.99</v>
      </c>
      <c r="E380" s="154" t="n">
        <v>3046</v>
      </c>
      <c r="F380" s="152" t="n">
        <v>87</v>
      </c>
      <c r="G380" s="152" t="inlineStr">
        <is>
          <t>Barbaric Games</t>
        </is>
      </c>
      <c r="H380" s="152" t="inlineStr">
        <is>
          <t>Roguelike Deckbuilder · Card Game · Roguelike · Deckbuilding · Strategy · Singleplayer · Replay Value · Turn-Based</t>
        </is>
      </c>
    </row>
    <row r="381" ht="15" customHeight="1" s="78">
      <c r="A381" s="149" t="n">
        <v>1384550</v>
      </c>
      <c r="B381" s="149" t="inlineStr">
        <is>
          <t>School of Magic: Deck and Slash Prologue</t>
        </is>
      </c>
      <c r="C381" s="149" t="n">
        <v>2020</v>
      </c>
      <c r="D381" s="150" t="n">
        <v>0</v>
      </c>
      <c r="E381" s="151" t="n">
        <v>3044</v>
      </c>
      <c r="F381" s="149" t="n">
        <v>90</v>
      </c>
      <c r="G381" s="149" t="inlineStr">
        <is>
          <t>PartTimeIndie</t>
        </is>
      </c>
      <c r="H381" s="149" t="inlineStr">
        <is>
          <t>Roguelike Deckbuilder · Hack and Slash · Roguelike · RPG · Strategy · Dungeon Crawler · Card Game · Board Game</t>
        </is>
      </c>
    </row>
    <row r="382" ht="15" customHeight="1" s="78">
      <c r="A382" s="152" t="n">
        <v>1727590</v>
      </c>
      <c r="B382" s="152" t="inlineStr">
        <is>
          <t>THE SPIRIT LIFT</t>
        </is>
      </c>
      <c r="C382" s="152" t="n">
        <v>2026</v>
      </c>
      <c r="D382" s="153" t="n">
        <v>19.99</v>
      </c>
      <c r="E382" s="154" t="n">
        <v>3027</v>
      </c>
      <c r="F382" s="152" t="n">
        <v>88</v>
      </c>
      <c r="G382" s="152" t="inlineStr">
        <is>
          <t>prettysmart games</t>
        </is>
      </c>
      <c r="H382" s="152" t="inlineStr">
        <is>
          <t>Roguelike Deckbuilder · Card Game · Roguelike · Roguelite · Card Battler · Strategy · Horror · Deckbuilding</t>
        </is>
      </c>
    </row>
    <row r="383" ht="15" customHeight="1" s="78">
      <c r="A383" s="149" t="n">
        <v>2288880</v>
      </c>
      <c r="B383" s="149" t="inlineStr">
        <is>
          <t>Acolyte of the Altar</t>
        </is>
      </c>
      <c r="C383" s="149" t="n">
        <v>2024</v>
      </c>
      <c r="D383" s="150" t="n">
        <v>9.99</v>
      </c>
      <c r="E383" s="151" t="n">
        <v>3007</v>
      </c>
      <c r="F383" s="149" t="n">
        <v>74</v>
      </c>
      <c r="G383" s="149" t="inlineStr">
        <is>
          <t>Black Kite Games</t>
        </is>
      </c>
      <c r="H383" s="149" t="inlineStr">
        <is>
          <t>Roguelike Deckbuilder · Card Game · Card Battler · Strategy · Roguelike · Deckbuilding · Roguelite · Replay Value</t>
        </is>
      </c>
    </row>
    <row r="384" ht="15" customHeight="1" s="78">
      <c r="A384" s="152" t="n">
        <v>3749130</v>
      </c>
      <c r="B384" s="152" t="inlineStr">
        <is>
          <t>Tower Tactics II</t>
        </is>
      </c>
      <c r="C384" s="152" t="n">
        <v>2026</v>
      </c>
      <c r="D384" s="153" t="n">
        <v>14.99</v>
      </c>
      <c r="E384" s="154" t="n">
        <v>2983</v>
      </c>
      <c r="F384" s="152" t="n">
        <v>93</v>
      </c>
      <c r="G384" s="152" t="inlineStr">
        <is>
          <t>asraworks</t>
        </is>
      </c>
      <c r="H384" s="152" t="inlineStr">
        <is>
          <t>Tower Defense · Roguelike Deckbuilder · Strategy · Space · Roguelike · Deckbuilding · Roguelite · 2D</t>
        </is>
      </c>
    </row>
    <row r="385" ht="15" customHeight="1" s="78">
      <c r="A385" s="149" t="n">
        <v>2223420</v>
      </c>
      <c r="B385" s="149" t="inlineStr">
        <is>
          <t>Voice of Belldona</t>
        </is>
      </c>
      <c r="C385" s="149" t="n">
        <v>2026</v>
      </c>
      <c r="D385" s="150" t="n">
        <v>11.99</v>
      </c>
      <c r="E385" s="151" t="n">
        <v>2963</v>
      </c>
      <c r="F385" s="149" t="n">
        <v>76</v>
      </c>
      <c r="G385" s="149" t="inlineStr">
        <is>
          <t>StoryCropStudio</t>
        </is>
      </c>
      <c r="H385" s="149" t="inlineStr">
        <is>
          <t>Early Access · Roguelike Deckbuilder · Turn-Based Combat · Multiple Endings · Turn-Based Tactics · Anime · Card Battler · Tactical RPG</t>
        </is>
      </c>
    </row>
    <row r="386" ht="15" customHeight="1" s="78">
      <c r="A386" s="152" t="n">
        <v>2473260</v>
      </c>
      <c r="B386" s="152" t="inlineStr">
        <is>
          <t>Claymores of the Lost Kingdom</t>
        </is>
      </c>
      <c r="C386" s="152" t="n">
        <v>2024</v>
      </c>
      <c r="D386" s="153" t="n">
        <v>9.99</v>
      </c>
      <c r="E386" s="154" t="n">
        <v>2904</v>
      </c>
      <c r="F386" s="152" t="n">
        <v>71</v>
      </c>
      <c r="G386" s="152" t="inlineStr">
        <is>
          <t>Ultaan Games</t>
        </is>
      </c>
      <c r="H386" s="152" t="inlineStr">
        <is>
          <t>Deckbuilding · Roguelike Deckbuilder · PvE · Character Customization · Card Game · Card Battler · Sandbox · Difficult</t>
        </is>
      </c>
    </row>
    <row r="387" ht="15" customHeight="1" s="78">
      <c r="A387" s="149" t="n">
        <v>3576520</v>
      </c>
      <c r="B387" s="149" t="inlineStr">
        <is>
          <t>Spinera</t>
        </is>
      </c>
      <c r="C387" s="149" t="n">
        <v>2026</v>
      </c>
      <c r="D387" s="150" t="n">
        <v>6.99</v>
      </c>
      <c r="E387" s="151" t="n">
        <v>2901</v>
      </c>
      <c r="F387" s="149" t="n">
        <v>76</v>
      </c>
      <c r="G387" s="149" t="inlineStr">
        <is>
          <t>Arvis Games</t>
        </is>
      </c>
      <c r="H387" s="149" t="inlineStr">
        <is>
          <t>Strategy · Roguelike Deckbuilder · Indie · Roguelike · Roguelite · Resource Management · 2D · Cute</t>
        </is>
      </c>
    </row>
    <row r="388" ht="15" customHeight="1" s="78">
      <c r="A388" s="152" t="n">
        <v>1591220</v>
      </c>
      <c r="B388" s="152" t="inlineStr">
        <is>
          <t>Tamarak Trail</t>
        </is>
      </c>
      <c r="C388" s="152" t="n">
        <v>2024</v>
      </c>
      <c r="D388" s="153" t="n">
        <v>14.99</v>
      </c>
      <c r="E388" s="154" t="n">
        <v>2886</v>
      </c>
      <c r="F388" s="152" t="n">
        <v>73</v>
      </c>
      <c r="G388" s="152" t="inlineStr">
        <is>
          <t>Yarrow Games</t>
        </is>
      </c>
      <c r="H388" s="152" t="inlineStr">
        <is>
          <t>Procedural Generation · Deckbuilding · Strategy · Roguelike Deckbuilder · Roguelike · Casual · Card Game · Card Battler</t>
        </is>
      </c>
    </row>
    <row r="389" ht="15" customHeight="1" s="78">
      <c r="A389" s="149" t="n">
        <v>1632330</v>
      </c>
      <c r="B389" s="149" t="inlineStr">
        <is>
          <t>Calamity Eliminator</t>
        </is>
      </c>
      <c r="C389" s="149" t="n">
        <v>2021</v>
      </c>
      <c r="D389" s="150" t="n">
        <v>7.99</v>
      </c>
      <c r="E389" s="151" t="n">
        <v>2877</v>
      </c>
      <c r="F389" s="149" t="n">
        <v>74</v>
      </c>
      <c r="G389" s="149" t="inlineStr">
        <is>
          <t>White Knight</t>
        </is>
      </c>
      <c r="H389" s="149" t="inlineStr">
        <is>
          <t>Early Access · Roguelike · Anime · Roguelite · Roguelike Deckbuilder · Deckbuilding · Turn-Based Tactics · JRPG</t>
        </is>
      </c>
    </row>
    <row r="390" ht="15" customHeight="1" s="78">
      <c r="A390" s="152" t="n">
        <v>1543960</v>
      </c>
      <c r="B390" s="152" t="inlineStr">
        <is>
          <t>Squiggle Football</t>
        </is>
      </c>
      <c r="C390" s="152" t="n">
        <v>2025</v>
      </c>
      <c r="D390" s="153" t="n">
        <v>16.99</v>
      </c>
      <c r="E390" s="154" t="n">
        <v>2854</v>
      </c>
      <c r="F390" s="152" t="n">
        <v>94</v>
      </c>
      <c r="G390" s="152" t="inlineStr">
        <is>
          <t>Max Barry</t>
        </is>
      </c>
      <c r="H390" s="152" t="inlineStr">
        <is>
          <t>Sports · Simulation · Auto Battler · Management · Card Game · Roguelike Deckbuilder · Deckbuilding · Roguelike</t>
        </is>
      </c>
    </row>
    <row r="391" ht="15" customHeight="1" s="78">
      <c r="A391" s="149" t="n">
        <v>4437370</v>
      </c>
      <c r="B391" s="149" t="inlineStr">
        <is>
          <t>Pop! Pachinko</t>
        </is>
      </c>
      <c r="C391" s="149" t="n">
        <v>2026</v>
      </c>
      <c r="D391" s="150" t="n">
        <v>12.99</v>
      </c>
      <c r="E391" s="151" t="n">
        <v>2845</v>
      </c>
      <c r="F391" s="149" t="n">
        <v>95</v>
      </c>
      <c r="G391" s="149" t="inlineStr">
        <is>
          <t>Pangolin Interactive; Robot Lion Games</t>
        </is>
      </c>
      <c r="H391" s="149" t="inlineStr">
        <is>
          <t>Roguelike Deckbuilder · Roguelite · Deckbuilding · Strategy · Physics · Indie · Arcade · Score Attack</t>
        </is>
      </c>
    </row>
    <row r="392" ht="15" customHeight="1" s="78">
      <c r="A392" s="152" t="n">
        <v>3634010</v>
      </c>
      <c r="B392" s="152" t="inlineStr">
        <is>
          <t>Islantiles</t>
        </is>
      </c>
      <c r="C392" s="152" t="n">
        <v>2026</v>
      </c>
      <c r="D392" s="153" t="n">
        <v>14.99</v>
      </c>
      <c r="E392" s="154" t="n">
        <v>2832</v>
      </c>
      <c r="F392" s="152" t="n">
        <v>91</v>
      </c>
      <c r="G392" s="152" t="inlineStr">
        <is>
          <t>Thunderrock Innovations</t>
        </is>
      </c>
      <c r="H392" s="152" t="inlineStr">
        <is>
          <t>Roguelike Deckbuilder · Relaxing · Puzzle · Casual · Strategy · Turn-Based Strategy · City Builder · Simulation</t>
        </is>
      </c>
    </row>
    <row r="393" ht="15" customHeight="1" s="78">
      <c r="A393" s="149" t="n">
        <v>2952070</v>
      </c>
      <c r="B393" s="149" t="inlineStr">
        <is>
          <t>Nanika Game Online</t>
        </is>
      </c>
      <c r="C393" s="149" t="n">
        <v>2025</v>
      </c>
      <c r="D393" s="150" t="n">
        <v>0</v>
      </c>
      <c r="E393" s="151" t="n">
        <v>2803</v>
      </c>
      <c r="F393" s="149" t="n">
        <v>92</v>
      </c>
      <c r="G393" s="149" t="inlineStr">
        <is>
          <t>Marble Works</t>
        </is>
      </c>
      <c r="H393" s="149" t="inlineStr">
        <is>
          <t>Puzzle · 2D Platformer · 2D · Pixel Graphics · Free to Play · Early Access · Casual · Indie</t>
        </is>
      </c>
    </row>
    <row r="394" ht="15" customHeight="1" s="78">
      <c r="A394" s="152" t="n">
        <v>3649160</v>
      </c>
      <c r="B394" s="152" t="inlineStr">
        <is>
          <t>Dishventory</t>
        </is>
      </c>
      <c r="C394" s="152" t="n">
        <v>2025</v>
      </c>
      <c r="D394" s="153" t="n">
        <v>0</v>
      </c>
      <c r="E394" s="154" t="n">
        <v>2779</v>
      </c>
      <c r="F394" s="152" t="n">
        <v>91</v>
      </c>
      <c r="G394" s="152" t="inlineStr">
        <is>
          <t>Final Offer</t>
        </is>
      </c>
      <c r="H394" s="152" t="inlineStr">
        <is>
          <t>Card Game · Roguelike Deckbuilder · Roguelike · Strategy · Deckbuilding · Singleplayer · Pixel Graphics · Replay Value</t>
        </is>
      </c>
    </row>
    <row r="395" ht="15" customHeight="1" s="78">
      <c r="A395" s="149" t="n">
        <v>3531630</v>
      </c>
      <c r="B395" s="149" t="inlineStr">
        <is>
          <t>Tomb of the Bloodletter</t>
        </is>
      </c>
      <c r="C395" s="149" t="n">
        <v>2026</v>
      </c>
      <c r="D395" s="150" t="n">
        <v>7.99</v>
      </c>
      <c r="E395" s="151" t="n">
        <v>2774</v>
      </c>
      <c r="F395" s="149" t="n">
        <v>89</v>
      </c>
      <c r="G395" s="149" t="inlineStr">
        <is>
          <t>Ethan's Secretions</t>
        </is>
      </c>
      <c r="H395" s="149" t="inlineStr">
        <is>
          <t>Roguelike Deckbuilder · Word Game · Strategy · Roguelike · Deckbuilding · Puzzle · Typing · Dungeon Crawler</t>
        </is>
      </c>
    </row>
    <row r="396" ht="15" customHeight="1" s="78">
      <c r="A396" s="152" t="n">
        <v>1291540</v>
      </c>
      <c r="B396" s="152" t="inlineStr">
        <is>
          <t>Cartridge Defense</t>
        </is>
      </c>
      <c r="C396" s="152" t="n">
        <v>2022</v>
      </c>
      <c r="D396" s="153" t="n">
        <v>11.99</v>
      </c>
      <c r="E396" s="154" t="n">
        <v>2753</v>
      </c>
      <c r="F396" s="152" t="n">
        <v>92</v>
      </c>
      <c r="G396" s="152" t="inlineStr">
        <is>
          <t>Out Gaming</t>
        </is>
      </c>
      <c r="H396" s="152" t="inlineStr">
        <is>
          <t>Tower Defense · Card Game · Deckbuilding · Roguelike Deckbuilder · Roguelite · Card Battler · Cyberpunk · Sci-fi</t>
        </is>
      </c>
    </row>
    <row r="397" ht="15" customHeight="1" s="78">
      <c r="A397" s="149" t="n">
        <v>2452820</v>
      </c>
      <c r="B397" s="149" t="inlineStr">
        <is>
          <t>Skogdal</t>
        </is>
      </c>
      <c r="C397" s="149" t="n">
        <v>2025</v>
      </c>
      <c r="D397" s="150" t="n">
        <v>19.99</v>
      </c>
      <c r="E397" s="151" t="n">
        <v>2745</v>
      </c>
      <c r="F397" s="149" t="n">
        <v>99</v>
      </c>
      <c r="G397" s="149" t="inlineStr">
        <is>
          <t>Erlend Kirkeboe; Kay Arne Kirkeboe</t>
        </is>
      </c>
      <c r="H397" s="149" t="inlineStr">
        <is>
          <t>Card Game · Roguelike Deckbuilder · Adventure · Card Battler · Deckbuilding · Roguelite · Strategy · Roguelike</t>
        </is>
      </c>
    </row>
    <row r="398" ht="15" customHeight="1" s="78">
      <c r="A398" s="152" t="n">
        <v>1582900</v>
      </c>
      <c r="B398" s="152" t="inlineStr">
        <is>
          <t>Rise of the Slime: Prologue</t>
        </is>
      </c>
      <c r="C398" s="152" t="n">
        <v>2021</v>
      </c>
      <c r="D398" s="153" t="n">
        <v>0</v>
      </c>
      <c r="E398" s="154" t="n">
        <v>2651</v>
      </c>
      <c r="F398" s="152" t="n">
        <v>81</v>
      </c>
      <c r="G398" s="152" t="inlineStr">
        <is>
          <t>Bunkovsky Games</t>
        </is>
      </c>
      <c r="H398" s="152" t="inlineStr">
        <is>
          <t>Free to Play · Roguelike Deckbuilder · Cute · Replay Value · Early Access · Card Battler · Card Game · Roguelike</t>
        </is>
      </c>
    </row>
    <row r="399" ht="15" customHeight="1" s="78">
      <c r="A399" s="149" t="n">
        <v>3211750</v>
      </c>
      <c r="B399" s="149" t="inlineStr">
        <is>
          <t>Neongarten</t>
        </is>
      </c>
      <c r="C399" s="149" t="n">
        <v>2025</v>
      </c>
      <c r="D399" s="150" t="n">
        <v>9.99</v>
      </c>
      <c r="E399" s="151" t="n">
        <v>2643</v>
      </c>
      <c r="F399" s="149" t="n">
        <v>87</v>
      </c>
      <c r="G399" s="149" t="inlineStr">
        <is>
          <t>Moonroof Studios</t>
        </is>
      </c>
      <c r="H399" s="149" t="inlineStr">
        <is>
          <t>Strategy · Simulation · City Builder · Cyberpunk · Roguelite · Building · Minimalist · Capitalism</t>
        </is>
      </c>
    </row>
    <row r="400" ht="15" customHeight="1" s="78">
      <c r="A400" s="152" t="n">
        <v>1915780</v>
      </c>
      <c r="B400" s="152" t="inlineStr">
        <is>
          <t>Tendryll</t>
        </is>
      </c>
      <c r="C400" s="152" t="n">
        <v>2024</v>
      </c>
      <c r="D400" s="153" t="n">
        <v>12.99</v>
      </c>
      <c r="E400" s="154" t="n">
        <v>2616</v>
      </c>
      <c r="F400" s="152" t="n">
        <v>74</v>
      </c>
      <c r="G400" s="152" t="inlineStr">
        <is>
          <t>Brute Farce</t>
        </is>
      </c>
      <c r="H400" s="152" t="inlineStr">
        <is>
          <t>Early Access · Roguelike Deckbuilder · Card Game · Card Battler · Deckbuilding · Tactical · Roguelike · Turn-Based</t>
        </is>
      </c>
    </row>
    <row r="401" ht="15" customHeight="1" s="78">
      <c r="A401" s="149" t="n">
        <v>3833300</v>
      </c>
      <c r="B401" s="149" t="inlineStr">
        <is>
          <t>Infinite Cards</t>
        </is>
      </c>
      <c r="C401" s="149" t="n">
        <v>2026</v>
      </c>
      <c r="D401" s="150" t="n">
        <v>15.99</v>
      </c>
      <c r="E401" s="151" t="n">
        <v>2589</v>
      </c>
      <c r="F401" s="149" t="n">
        <v>94</v>
      </c>
      <c r="G401" s="149" t="inlineStr">
        <is>
          <t>Tubby Turtle Studios</t>
        </is>
      </c>
      <c r="H401" s="149" t="inlineStr">
        <is>
          <t>Strategy · Roguelike Deckbuilder · Card Game · Procedural Generation · Deckbuilding · Card Battler · Singleplayer · Roguelike</t>
        </is>
      </c>
    </row>
    <row r="402" ht="15" customHeight="1" s="78">
      <c r="A402" s="152" t="n">
        <v>3538860</v>
      </c>
      <c r="B402" s="152" t="inlineStr">
        <is>
          <t>Tabulo</t>
        </is>
      </c>
      <c r="C402" s="152" t="n">
        <v>2026</v>
      </c>
      <c r="D402" s="153" t="n">
        <v>9.99</v>
      </c>
      <c r="E402" s="154" t="n">
        <v>2561</v>
      </c>
      <c r="F402" s="152" t="n">
        <v>91</v>
      </c>
      <c r="G402" s="152" t="inlineStr">
        <is>
          <t>Noah Games</t>
        </is>
      </c>
      <c r="H402" s="152" t="inlineStr">
        <is>
          <t>Strategy · Roguelike Deckbuilder · Roguelike · Card Game · Turn-Based Strategy · Card Battler · Deckbuilding · Casual</t>
        </is>
      </c>
    </row>
    <row r="403" ht="15" customHeight="1" s="78">
      <c r="A403" s="149" t="n">
        <v>3264170</v>
      </c>
      <c r="B403" s="149" t="inlineStr">
        <is>
          <t>Birdigo - bird word game</t>
        </is>
      </c>
      <c r="C403" s="149" t="n">
        <v>2025</v>
      </c>
      <c r="D403" s="150" t="n">
        <v>9.99</v>
      </c>
      <c r="E403" s="151" t="n">
        <v>2535</v>
      </c>
      <c r="F403" s="149" t="n">
        <v>85</v>
      </c>
      <c r="G403" s="149" t="inlineStr">
        <is>
          <t>John August; Corey Martin</t>
        </is>
      </c>
      <c r="H403" s="149" t="inlineStr">
        <is>
          <t>Word Game · Roguelike · Deckbuilding · Card Game · Relaxing · Cartoon · Cartoony · Cute</t>
        </is>
      </c>
    </row>
    <row r="404" ht="15" customHeight="1" s="78">
      <c r="A404" s="152" t="n">
        <v>3929350</v>
      </c>
      <c r="B404" s="152" t="inlineStr">
        <is>
          <t>ploink</t>
        </is>
      </c>
      <c r="C404" s="152" t="n">
        <v>2026</v>
      </c>
      <c r="D404" s="153" t="n">
        <v>12.99</v>
      </c>
      <c r="E404" s="154" t="n">
        <v>2504</v>
      </c>
      <c r="F404" s="152" t="n">
        <v>96</v>
      </c>
      <c r="G404" s="152" t="inlineStr">
        <is>
          <t>Pyrocreep</t>
        </is>
      </c>
      <c r="H404" s="152" t="inlineStr">
        <is>
          <t>Pinball · Roguelike · Roguelite · Deckbuilding · Turn-Based · Auto Battler · Score Attack · Turn-Based Tactics</t>
        </is>
      </c>
    </row>
    <row r="405" ht="15" customHeight="1" s="78">
      <c r="A405" s="149" t="n">
        <v>1431950</v>
      </c>
      <c r="B405" s="149" t="inlineStr">
        <is>
          <t>Decks &amp; Daggers</t>
        </is>
      </c>
      <c r="C405" s="149" t="n">
        <v>2021</v>
      </c>
      <c r="D405" s="150" t="n">
        <v>12.99</v>
      </c>
      <c r="E405" s="151" t="n">
        <v>2498</v>
      </c>
      <c r="F405" s="149" t="n">
        <v>76</v>
      </c>
      <c r="G405" s="149" t="inlineStr">
        <is>
          <t>Osarion</t>
        </is>
      </c>
      <c r="H405" s="149" t="inlineStr">
        <is>
          <t>RPG · Strategy · Card Game · Adventure · Roguelike Deckbuilder · Dungeon Crawler · Tabletop · Singleplayer</t>
        </is>
      </c>
    </row>
    <row r="406" ht="15" customHeight="1" s="78">
      <c r="A406" s="152" t="n">
        <v>2423290</v>
      </c>
      <c r="B406" s="152" t="inlineStr">
        <is>
          <t>Handmancers</t>
        </is>
      </c>
      <c r="C406" s="152" t="n">
        <v>2026</v>
      </c>
      <c r="D406" s="153" t="n">
        <v>19.99</v>
      </c>
      <c r="E406" s="154" t="n">
        <v>2486</v>
      </c>
      <c r="F406" s="152" t="n">
        <v>90</v>
      </c>
      <c r="G406" s="152" t="inlineStr">
        <is>
          <t>58BLADES</t>
        </is>
      </c>
      <c r="H406" s="152" t="inlineStr">
        <is>
          <t>Early Access · Roguelike Deckbuilder · Strategy · Deckbuilding · Replay Value · Card Game · Card Battler · Difficult</t>
        </is>
      </c>
    </row>
    <row r="407" ht="15" customHeight="1" s="78">
      <c r="A407" s="149" t="n">
        <v>2281870</v>
      </c>
      <c r="B407" s="149" t="inlineStr">
        <is>
          <t>Digs TD</t>
        </is>
      </c>
      <c r="C407" s="149" t="n">
        <v>2023</v>
      </c>
      <c r="D407" s="150" t="n">
        <v>19.99</v>
      </c>
      <c r="E407" s="151" t="n">
        <v>2420</v>
      </c>
      <c r="F407" s="149" t="n">
        <v>69</v>
      </c>
      <c r="G407" s="149" t="inlineStr">
        <is>
          <t>Digs Team</t>
        </is>
      </c>
      <c r="H407" s="149" t="inlineStr">
        <is>
          <t>Tower Defense · Strategy · Dwarves · Difficult · Roguelite · Mining · Old School · Turn-Based Tactics</t>
        </is>
      </c>
    </row>
    <row r="408" ht="15" customHeight="1" s="78">
      <c r="A408" s="152" t="n">
        <v>924020</v>
      </c>
      <c r="B408" s="152" t="inlineStr">
        <is>
          <t>Spellrune: Realm of Portals</t>
        </is>
      </c>
      <c r="C408" s="152" t="n">
        <v>2018</v>
      </c>
      <c r="D408" s="153" t="n">
        <v>9.99</v>
      </c>
      <c r="E408" s="154" t="n">
        <v>2417</v>
      </c>
      <c r="F408" s="152" t="n">
        <v>28</v>
      </c>
      <c r="G408" s="152" t="inlineStr">
        <is>
          <t>Microlith Games</t>
        </is>
      </c>
      <c r="H408" s="152" t="inlineStr">
        <is>
          <t>Roguelike Deckbuilder · Card Battler · Strategy · RPG · Early Access · Indie · Card Game · Singleplayer</t>
        </is>
      </c>
    </row>
    <row r="409" ht="15" customHeight="1" s="78">
      <c r="A409" s="149" t="n">
        <v>2105840</v>
      </c>
      <c r="B409" s="149" t="inlineStr">
        <is>
          <t>Order Automatica</t>
        </is>
      </c>
      <c r="C409" s="149" t="n">
        <v>2026</v>
      </c>
      <c r="D409" s="150" t="n">
        <v>5.99</v>
      </c>
      <c r="E409" s="151" t="n">
        <v>2370</v>
      </c>
      <c r="F409" s="149" t="n">
        <v>90</v>
      </c>
      <c r="G409" s="149" t="inlineStr">
        <is>
          <t>New Beings</t>
        </is>
      </c>
      <c r="H409" s="149" t="inlineStr">
        <is>
          <t>Auto Battler · Roguelike Deckbuilder · Card Game · Roguelite · Board Game · Deckbuilding · Pixel Graphics · Singleplayer</t>
        </is>
      </c>
    </row>
    <row r="410" ht="15" customHeight="1" s="78">
      <c r="A410" s="152" t="n">
        <v>3449630</v>
      </c>
      <c r="B410" s="152" t="inlineStr">
        <is>
          <t>Touhou Rinrinki ~ Crafts of the Lucky Beast</t>
        </is>
      </c>
      <c r="C410" s="152" t="n">
        <v>2026</v>
      </c>
      <c r="D410" s="153" t="n">
        <v>9.99</v>
      </c>
      <c r="E410" s="154" t="n">
        <v>2358</v>
      </c>
      <c r="F410" s="152" t="n">
        <v>93</v>
      </c>
      <c r="G410" s="152" t="inlineStr">
        <is>
          <t>Starcrow Dev</t>
        </is>
      </c>
      <c r="H410" s="152" t="inlineStr">
        <is>
          <t>Card Battler · Turn-Based Tactics · Roguelike Deckbuilder · Card Game · Roguelike · Faith · Board Game · Turn-Based Strategy</t>
        </is>
      </c>
    </row>
    <row r="411" ht="15" customHeight="1" s="78">
      <c r="A411" s="149" t="n">
        <v>3165590</v>
      </c>
      <c r="B411" s="149" t="inlineStr">
        <is>
          <t>Gemblades</t>
        </is>
      </c>
      <c r="C411" s="149" t="n">
        <v>2026</v>
      </c>
      <c r="D411" s="150" t="n">
        <v>7.99</v>
      </c>
      <c r="E411" s="151" t="n">
        <v>2303</v>
      </c>
      <c r="F411" s="149" t="n">
        <v>94</v>
      </c>
      <c r="G411" s="149" t="inlineStr">
        <is>
          <t>Ace Benoff</t>
        </is>
      </c>
      <c r="H411" s="149" t="inlineStr">
        <is>
          <t>Strategy · Card Game · Deckbuilding · Roguelite · Roguelike Deckbuilder · Singleplayer · Board Game · Fantasy</t>
        </is>
      </c>
    </row>
    <row r="412" ht="15" customHeight="1" s="78">
      <c r="A412" s="152" t="n">
        <v>2416050</v>
      </c>
      <c r="B412" s="152" t="inlineStr">
        <is>
          <t>Cento</t>
        </is>
      </c>
      <c r="C412" s="152" t="n">
        <v>2024</v>
      </c>
      <c r="D412" s="153" t="n">
        <v>9.99</v>
      </c>
      <c r="E412" s="154" t="n">
        <v>2289</v>
      </c>
      <c r="F412" s="152" t="n">
        <v>97</v>
      </c>
      <c r="G412" s="152" t="inlineStr">
        <is>
          <t>Hoshimadara Lab.</t>
        </is>
      </c>
      <c r="H412" s="152" t="inlineStr">
        <is>
          <t>Rhythm · Casual · Pixel Graphics · Roguelike Deckbuilder · Turn-Based Tactics · Deckbuilding · Roguelite · Indie</t>
        </is>
      </c>
    </row>
    <row r="413" ht="15" customHeight="1" s="78">
      <c r="A413" s="149" t="n">
        <v>1937110</v>
      </c>
      <c r="B413" s="149" t="inlineStr">
        <is>
          <t>Tetra Tactics</t>
        </is>
      </c>
      <c r="C413" s="149" t="n">
        <v>2024</v>
      </c>
      <c r="D413" s="150" t="n">
        <v>14.99</v>
      </c>
      <c r="E413" s="151" t="n">
        <v>2258</v>
      </c>
      <c r="F413" s="149" t="n">
        <v>79</v>
      </c>
      <c r="G413" s="149" t="inlineStr">
        <is>
          <t>Jabari Alii; Adrian Marple; manadream</t>
        </is>
      </c>
      <c r="H413" s="149" t="inlineStr">
        <is>
          <t>Roguelike Deckbuilder · Card Battler · Roguelike · Turn-Based Tactics · Deckbuilding · Tactical · Grid-Based Movement · Card Game</t>
        </is>
      </c>
    </row>
    <row r="414" ht="15" customHeight="1" s="78">
      <c r="A414" s="152" t="n">
        <v>3573920</v>
      </c>
      <c r="B414" s="152" t="inlineStr">
        <is>
          <t>Clutchtime™: Tournament Edition</t>
        </is>
      </c>
      <c r="C414" s="152" t="n">
        <v>2025</v>
      </c>
      <c r="D414" s="153" t="n">
        <v>0</v>
      </c>
      <c r="E414" s="154" t="n">
        <v>2249</v>
      </c>
      <c r="F414" s="152" t="n">
        <v>69</v>
      </c>
      <c r="G414" s="152" t="inlineStr">
        <is>
          <t>Bigosaur</t>
        </is>
      </c>
      <c r="H414" s="152" t="inlineStr">
        <is>
          <t>Roguelike Deckbuilder · Basketball · Time Management · Sports · Minimalist · Turn-Based Tactics · PvP · PvE</t>
        </is>
      </c>
    </row>
    <row r="415" ht="15" customHeight="1" s="78">
      <c r="A415" s="149" t="n">
        <v>4403010</v>
      </c>
      <c r="B415" s="149" t="inlineStr">
        <is>
          <t>Pegs X Stickers</t>
        </is>
      </c>
      <c r="C415" s="149" t="n">
        <v>2026</v>
      </c>
      <c r="D415" s="150" t="n">
        <v>5.99</v>
      </c>
      <c r="E415" s="151" t="n">
        <v>2178</v>
      </c>
      <c r="F415" s="149" t="n">
        <v>86</v>
      </c>
      <c r="G415" s="149" t="inlineStr">
        <is>
          <t>Mister Morris Games; Tyler Ray Games</t>
        </is>
      </c>
      <c r="H415" s="149" t="inlineStr">
        <is>
          <t>Strategy · Roguelite · Physics · Roguelike Deckbuilder · Deckbuilding · Turn-Based Tactics · Arcade · Indie</t>
        </is>
      </c>
    </row>
    <row r="416" ht="15" customHeight="1" s="78">
      <c r="A416" s="152" t="n">
        <v>2118580</v>
      </c>
      <c r="B416" s="152" t="inlineStr">
        <is>
          <t>SuperTotalCarnage!</t>
        </is>
      </c>
      <c r="C416" s="152" t="n">
        <v>2022</v>
      </c>
      <c r="D416" s="153" t="n">
        <v>2.99</v>
      </c>
      <c r="E416" s="154" t="n">
        <v>2157</v>
      </c>
      <c r="F416" s="152" t="n">
        <v>57</v>
      </c>
      <c r="G416" s="152" t="inlineStr">
        <is>
          <t>IndieGala</t>
        </is>
      </c>
      <c r="H416" s="152" t="inlineStr">
        <is>
          <t>Action Roguelike · Action · Bullet Hell · Roguelite · Action RPG · 2D · Horror · Pixel Graphics</t>
        </is>
      </c>
    </row>
    <row r="417" ht="15" customHeight="1" s="78">
      <c r="A417" s="149" t="n">
        <v>1476400</v>
      </c>
      <c r="B417" s="149" t="inlineStr">
        <is>
          <t>Northwind</t>
        </is>
      </c>
      <c r="C417" s="149" t="n">
        <v>2025</v>
      </c>
      <c r="D417" s="150" t="n">
        <v>19.99</v>
      </c>
      <c r="E417" s="151" t="n">
        <v>2122</v>
      </c>
      <c r="F417" s="149" t="n">
        <v>86</v>
      </c>
      <c r="G417" s="149" t="inlineStr">
        <is>
          <t>Barking Kitten Interactive</t>
        </is>
      </c>
      <c r="H417" s="149" t="inlineStr">
        <is>
          <t>Roguelike Deckbuilder · Card Game · Card Battler · Deckbuilding · Roguelike · Roguelite · Strategy · Turn-Based Strategy</t>
        </is>
      </c>
    </row>
    <row r="418" ht="15" customHeight="1" s="78">
      <c r="A418" s="152" t="n">
        <v>2924580</v>
      </c>
      <c r="B418" s="152" t="inlineStr">
        <is>
          <t>Inkborn</t>
        </is>
      </c>
      <c r="C418" s="152" t="n">
        <v>2025</v>
      </c>
      <c r="D418" s="153" t="n">
        <v>19.99</v>
      </c>
      <c r="E418" s="154" t="n">
        <v>2112</v>
      </c>
      <c r="F418" s="152" t="n">
        <v>81</v>
      </c>
      <c r="G418" s="152" t="inlineStr">
        <is>
          <t>Acram Digital</t>
        </is>
      </c>
      <c r="H418" s="152" t="inlineStr">
        <is>
          <t>Early Access · Roguelike Deckbuilder · Card Game · Roguelike · Strategy · Deckbuilding · Card Battler · Turn-Based</t>
        </is>
      </c>
    </row>
    <row r="419" ht="15" customHeight="1" s="78">
      <c r="A419" s="149" t="n">
        <v>1964330</v>
      </c>
      <c r="B419" s="149" t="inlineStr">
        <is>
          <t>Madcap Mosaic</t>
        </is>
      </c>
      <c r="C419" s="149" t="n">
        <v>2022</v>
      </c>
      <c r="D419" s="150" t="n">
        <v>6.99</v>
      </c>
      <c r="E419" s="151" t="n">
        <v>2097</v>
      </c>
      <c r="F419" s="149" t="n">
        <v>95</v>
      </c>
      <c r="G419" s="149" t="inlineStr">
        <is>
          <t>1classydude</t>
        </is>
      </c>
      <c r="H419" s="149" t="inlineStr">
        <is>
          <t>Strategy · Roguelite · Deckbuilding · Card Game · Roguelike · Singleplayer · Perma Death · Card Battler</t>
        </is>
      </c>
    </row>
    <row r="420" ht="15" customHeight="1" s="78">
      <c r="A420" s="152" t="n">
        <v>2436870</v>
      </c>
      <c r="B420" s="152" t="inlineStr">
        <is>
          <t>Sigilfarer: A Dice-Rolling Roguelite</t>
        </is>
      </c>
      <c r="C420" s="152" t="n">
        <v>2026</v>
      </c>
      <c r="D420" s="153" t="n">
        <v>11.99</v>
      </c>
      <c r="E420" s="154" t="n">
        <v>2085</v>
      </c>
      <c r="F420" s="152" t="n">
        <v>81</v>
      </c>
      <c r="G420" s="152" t="inlineStr">
        <is>
          <t>Viabo Games</t>
        </is>
      </c>
      <c r="H420" s="152" t="inlineStr">
        <is>
          <t>Dice · Roguelike Deckbuilder · Roguelite · Singleplayer · Party-Based RPG · Turn-Based Combat · Hex Grid · Procedural Generation</t>
        </is>
      </c>
    </row>
    <row r="421" ht="15" customHeight="1" s="78">
      <c r="A421" s="149" t="n">
        <v>3419450</v>
      </c>
      <c r="B421" s="149" t="inlineStr">
        <is>
          <t>Who Trained the Hero? -Spin of Fate-</t>
        </is>
      </c>
      <c r="C421" s="149" t="n">
        <v>2025</v>
      </c>
      <c r="D421" s="150" t="n">
        <v>8.99</v>
      </c>
      <c r="E421" s="151" t="n">
        <v>2064</v>
      </c>
      <c r="F421" s="149" t="n">
        <v>68</v>
      </c>
      <c r="G421" s="149" t="inlineStr">
        <is>
          <t>Game Studio Inc.; KADOKAWA</t>
        </is>
      </c>
      <c r="H421" s="149" t="inlineStr">
        <is>
          <t>Indie · Roguelike Deckbuilder · Roguelite · Auto Battler · Deckbuilding · Roguelike · Gambling · Pixel Graphics</t>
        </is>
      </c>
    </row>
    <row r="422" ht="15" customHeight="1" s="78">
      <c r="A422" s="152" t="n">
        <v>1492150</v>
      </c>
      <c r="B422" s="152" t="inlineStr">
        <is>
          <t>Primal Survivors</t>
        </is>
      </c>
      <c r="C422" s="152" t="n">
        <v>2023</v>
      </c>
      <c r="D422" s="153" t="n">
        <v>4.99</v>
      </c>
      <c r="E422" s="154" t="n">
        <v>2058</v>
      </c>
      <c r="F422" s="152" t="n">
        <v>80</v>
      </c>
      <c r="G422" s="152" t="inlineStr">
        <is>
          <t>Old School Vibes; Gray Boss</t>
        </is>
      </c>
      <c r="H422" s="152" t="inlineStr">
        <is>
          <t>Adventure · Action Roguelike · Action RPG · Bullet Hell · Early Access · Pixel Graphics · Roguelike · Roguelike Deckbuilder</t>
        </is>
      </c>
    </row>
    <row r="423" ht="15" customHeight="1" s="78">
      <c r="A423" s="149" t="n">
        <v>4148600</v>
      </c>
      <c r="B423" s="149" t="inlineStr">
        <is>
          <t>Once Upon A Card</t>
        </is>
      </c>
      <c r="C423" s="149" t="n">
        <v>2026</v>
      </c>
      <c r="D423" s="150" t="n">
        <v>0</v>
      </c>
      <c r="E423" s="151" t="n">
        <v>1978</v>
      </c>
      <c r="F423" s="149" t="n">
        <v>96</v>
      </c>
      <c r="G423" s="149" t="inlineStr">
        <is>
          <t>Dreamborne Studio</t>
        </is>
      </c>
      <c r="H423" s="149" t="inlineStr">
        <is>
          <t>Strategy · Card Game · Indie · Roguelike · Puzzle · Card Battler · Deckbuilding · Roguelike Deckbuilder</t>
        </is>
      </c>
    </row>
    <row r="424" ht="15" customHeight="1" s="78">
      <c r="A424" s="152" t="n">
        <v>5041740</v>
      </c>
      <c r="B424" s="152" t="inlineStr">
        <is>
          <t>Grave New World</t>
        </is>
      </c>
      <c r="C424" s="152" t="n">
        <v>2026</v>
      </c>
      <c r="D424" s="153" t="n">
        <v>4.99</v>
      </c>
      <c r="E424" s="154" t="n">
        <v>1926</v>
      </c>
      <c r="F424" s="152" t="n">
        <v>89</v>
      </c>
      <c r="G424" s="152" t="inlineStr">
        <is>
          <t>grishkogameplay; Dwang</t>
        </is>
      </c>
      <c r="H424" s="152" t="inlineStr">
        <is>
          <t>Turn-Based Strategy · Falling Blocks · Resource Management · Logic · Strategy · Singleplayer · Tactical · Puzzle</t>
        </is>
      </c>
    </row>
    <row r="425" ht="15" customHeight="1" s="78">
      <c r="A425" s="149" t="n">
        <v>4219340</v>
      </c>
      <c r="B425" s="149" t="inlineStr">
        <is>
          <t>Fruit Fusion!</t>
        </is>
      </c>
      <c r="C425" s="149" t="n">
        <v>2025</v>
      </c>
      <c r="D425" s="150" t="n">
        <v>0</v>
      </c>
      <c r="E425" s="151" t="n">
        <v>1902</v>
      </c>
      <c r="F425" s="149" t="n">
        <v>98</v>
      </c>
      <c r="G425" s="149" t="inlineStr">
        <is>
          <t>Mangobits Studios</t>
        </is>
      </c>
      <c r="H425" s="149" t="inlineStr">
        <is>
          <t>Singleplayer · Casual · Deckbuilding · Female Protagonist · Cute · Colorful · Roguelike Deckbuilder · Roguelike</t>
        </is>
      </c>
    </row>
    <row r="426" ht="15" customHeight="1" s="78">
      <c r="A426" s="152" t="n">
        <v>3177210</v>
      </c>
      <c r="B426" s="152" t="inlineStr">
        <is>
          <t>酒馆战争</t>
        </is>
      </c>
      <c r="C426" s="152" t="n">
        <v>2025</v>
      </c>
      <c r="D426" s="153" t="n">
        <v>0</v>
      </c>
      <c r="E426" s="154" t="n">
        <v>1898</v>
      </c>
      <c r="F426" s="152" t="n">
        <v>85</v>
      </c>
      <c r="G426" s="152" t="inlineStr">
        <is>
          <t>战魂工作室</t>
        </is>
      </c>
      <c r="H426" s="152" t="inlineStr">
        <is>
          <t>Roguelike Deckbuilder · Roguelike · Turn-Based Tactics · Replay Value · Deckbuilding · Strategy · Auto Battler · Card Game</t>
        </is>
      </c>
    </row>
    <row r="427" ht="15" customHeight="1" s="78">
      <c r="A427" s="149" t="n">
        <v>1422190</v>
      </c>
      <c r="B427" s="149" t="inlineStr">
        <is>
          <t>Fuzz Force: Spook Squad</t>
        </is>
      </c>
      <c r="C427" s="149" t="n">
        <v>2021</v>
      </c>
      <c r="D427" s="150" t="n">
        <v>14.99</v>
      </c>
      <c r="E427" s="151" t="n">
        <v>1890</v>
      </c>
      <c r="F427" s="149" t="n">
        <v>88</v>
      </c>
      <c r="G427" s="149" t="inlineStr">
        <is>
          <t>Fuzz Force</t>
        </is>
      </c>
      <c r="H427" s="149" t="inlineStr">
        <is>
          <t>Roguelike Deckbuilder · Deckbuilding · Supernatural · Turn-Based · Roguelike · Board Game · RPG · Roguelite</t>
        </is>
      </c>
    </row>
    <row r="428" ht="15" customHeight="1" s="78">
      <c r="A428" s="152" t="n">
        <v>2686020</v>
      </c>
      <c r="B428" s="152" t="inlineStr">
        <is>
          <t>Faith in Despair</t>
        </is>
      </c>
      <c r="C428" s="152" t="n">
        <v>2025</v>
      </c>
      <c r="D428" s="153" t="n">
        <v>11.99</v>
      </c>
      <c r="E428" s="154" t="n">
        <v>1829</v>
      </c>
      <c r="F428" s="152" t="n">
        <v>96</v>
      </c>
      <c r="G428" s="152" t="inlineStr">
        <is>
          <t>Philipp Lehner</t>
        </is>
      </c>
      <c r="H428" s="152" t="inlineStr">
        <is>
          <t>Roguelike Deckbuilder · Card Battler · Difficult · Card Game · Strategy · Roguelike · Deckbuilding · 3D</t>
        </is>
      </c>
    </row>
    <row r="429" ht="15" customHeight="1" s="78">
      <c r="A429" s="149" t="n">
        <v>3128280</v>
      </c>
      <c r="B429" s="149" t="inlineStr">
        <is>
          <t>Cats &amp; Dice</t>
        </is>
      </c>
      <c r="C429" s="149" t="n">
        <v>2025</v>
      </c>
      <c r="D429" s="150" t="n">
        <v>7.99</v>
      </c>
      <c r="E429" s="151" t="n">
        <v>1828</v>
      </c>
      <c r="F429" s="149" t="n">
        <v>81</v>
      </c>
      <c r="G429" s="149" t="inlineStr">
        <is>
          <t>Yongjustyong</t>
        </is>
      </c>
      <c r="H429" s="149" t="inlineStr">
        <is>
          <t>Card Battler · Roguelike · Deckbuilding · Card Game · Turn-Based Strategy · Strategy · Roguelite · Roguelike Deckbuilder</t>
        </is>
      </c>
    </row>
    <row r="430" ht="15" customHeight="1" s="78">
      <c r="A430" s="152" t="n">
        <v>1842510</v>
      </c>
      <c r="B430" s="152" t="inlineStr">
        <is>
          <t>Mechanibot</t>
        </is>
      </c>
      <c r="C430" s="152" t="n">
        <v>2022</v>
      </c>
      <c r="D430" s="153" t="n">
        <v>2.99</v>
      </c>
      <c r="E430" s="154" t="n">
        <v>1816</v>
      </c>
      <c r="F430" s="152" t="n">
        <v>92</v>
      </c>
      <c r="G430" s="152" t="inlineStr">
        <is>
          <t>Jon Nielsen</t>
        </is>
      </c>
      <c r="H430" s="152" t="inlineStr">
        <is>
          <t>Tactical · Strategy · Replay Value · Auto Battler · Action Roguelike · Roguelite · Roguelike · Deckbuilding</t>
        </is>
      </c>
    </row>
    <row r="431" ht="15" customHeight="1" s="78">
      <c r="A431" s="149" t="n">
        <v>2436970</v>
      </c>
      <c r="B431" s="149" t="inlineStr">
        <is>
          <t>Wild City</t>
        </is>
      </c>
      <c r="C431" s="149" t="n">
        <v>2026</v>
      </c>
      <c r="D431" s="150" t="n">
        <v>9.99</v>
      </c>
      <c r="E431" s="151" t="n">
        <v>1784</v>
      </c>
      <c r="F431" s="149" t="n">
        <v>87</v>
      </c>
      <c r="G431" s="149" t="inlineStr">
        <is>
          <t>Monka Studios</t>
        </is>
      </c>
      <c r="H431" s="149" t="inlineStr">
        <is>
          <t>Roguelike Deckbuilder · Strategy · Roguelite · Deckbuilding · Roguelike · Card Game · Replay Value · Dark Humor</t>
        </is>
      </c>
    </row>
    <row r="432" ht="15" customHeight="1" s="78">
      <c r="A432" s="152" t="n">
        <v>2573470</v>
      </c>
      <c r="B432" s="152" t="inlineStr">
        <is>
          <t>Dice Assassin</t>
        </is>
      </c>
      <c r="C432" s="152" t="n">
        <v>2024</v>
      </c>
      <c r="D432" s="153" t="n">
        <v>2.99</v>
      </c>
      <c r="E432" s="154" t="n">
        <v>1776</v>
      </c>
      <c r="F432" s="152" t="n">
        <v>74</v>
      </c>
      <c r="G432" s="152" t="inlineStr">
        <is>
          <t>Afil Games</t>
        </is>
      </c>
      <c r="H432" s="152" t="inlineStr">
        <is>
          <t>Roguelike · Card Battler · Auto Battler · Strategy · Action Roguelike · Turn-Based Tactics · Turn-Based Strategy · Action-Adventure</t>
        </is>
      </c>
    </row>
    <row r="433" ht="15" customHeight="1" s="78">
      <c r="A433" s="149" t="n">
        <v>2539880</v>
      </c>
      <c r="B433" s="149" t="inlineStr">
        <is>
          <t>C.A.R.D.S. RPG: The Misty Battlefield</t>
        </is>
      </c>
      <c r="C433" s="149" t="n">
        <v>2024</v>
      </c>
      <c r="D433" s="150" t="n">
        <v>39.99</v>
      </c>
      <c r="E433" s="151" t="n">
        <v>1767</v>
      </c>
      <c r="F433" s="149" t="n">
        <v>53</v>
      </c>
      <c r="G433" s="149" t="inlineStr">
        <is>
          <t>ACQUIRE Corp.</t>
        </is>
      </c>
      <c r="H433" s="149" t="inlineStr">
        <is>
          <t>Roguelike Deckbuilder · Card Game · Card Battler · Roguelike · Deckbuilding · Turn-Based · Strategy · Singleplayer</t>
        </is>
      </c>
    </row>
    <row r="434" ht="15" customHeight="1" s="78">
      <c r="A434" s="152" t="n">
        <v>2591290</v>
      </c>
      <c r="B434" s="152" t="inlineStr">
        <is>
          <t>Tabletop Hero</t>
        </is>
      </c>
      <c r="C434" s="152" t="n">
        <v>2024</v>
      </c>
      <c r="D434" s="153" t="n">
        <v>8.99</v>
      </c>
      <c r="E434" s="154" t="n">
        <v>1744</v>
      </c>
      <c r="F434" s="152" t="n">
        <v>83</v>
      </c>
      <c r="G434" s="152" t="inlineStr">
        <is>
          <t>Kunpo</t>
        </is>
      </c>
      <c r="H434" s="152" t="inlineStr">
        <is>
          <t>Indie · Strategy · Roguelike Deckbuilder · Deckbuilding · Card Game · Adventure · Roguelike · Roguelite</t>
        </is>
      </c>
    </row>
    <row r="435" ht="15" customHeight="1" s="78">
      <c r="A435" s="149" t="n">
        <v>3656560</v>
      </c>
      <c r="B435" s="149" t="inlineStr">
        <is>
          <t>Runeveil</t>
        </is>
      </c>
      <c r="C435" s="149" t="n">
        <v>2026</v>
      </c>
      <c r="D435" s="150" t="n">
        <v>11.99</v>
      </c>
      <c r="E435" s="151" t="n">
        <v>1726</v>
      </c>
      <c r="F435" s="149" t="n">
        <v>90</v>
      </c>
      <c r="G435" s="149" t="inlineStr">
        <is>
          <t>dicehit</t>
        </is>
      </c>
      <c r="H435" s="149" t="inlineStr">
        <is>
          <t>Early Access · Roguelike Deckbuilder · Card Game · Deckbuilding · Card Battler · Roguelite · Mouse Only · Replay Value</t>
        </is>
      </c>
    </row>
    <row r="436" ht="15" customHeight="1" s="78">
      <c r="A436" s="152" t="n">
        <v>1725410</v>
      </c>
      <c r="B436" s="152" t="inlineStr">
        <is>
          <t>Talespinner</t>
        </is>
      </c>
      <c r="C436" s="152" t="n">
        <v>2026</v>
      </c>
      <c r="D436" s="153" t="n">
        <v>14.99</v>
      </c>
      <c r="E436" s="154" t="n">
        <v>1723</v>
      </c>
      <c r="F436" s="152" t="n">
        <v>71</v>
      </c>
      <c r="G436" s="152" t="inlineStr">
        <is>
          <t>Flash Cat Games</t>
        </is>
      </c>
      <c r="H436" s="152" t="inlineStr">
        <is>
          <t>Roguelike Deckbuilder · Card Battler · Roguelike · Card Game · Turn-Based · Deckbuilding · RPG · Roguelite</t>
        </is>
      </c>
    </row>
    <row r="437" ht="15" customHeight="1" s="78">
      <c r="A437" s="149" t="n">
        <v>3726730</v>
      </c>
      <c r="B437" s="149" t="inlineStr">
        <is>
          <t>Dreamcards</t>
        </is>
      </c>
      <c r="C437" s="149" t="n">
        <v>2026</v>
      </c>
      <c r="D437" s="150" t="n">
        <v>9.99</v>
      </c>
      <c r="E437" s="151" t="n">
        <v>1647</v>
      </c>
      <c r="F437" s="149" t="n">
        <v>99</v>
      </c>
      <c r="G437" s="149" t="inlineStr">
        <is>
          <t>Soneka Games</t>
        </is>
      </c>
      <c r="H437" s="149" t="inlineStr">
        <is>
          <t>Roguelike Deckbuilder · Deckbuilding · Card Game · Roguelike · Turn-Based · Roguelite · Turn-Based Strategy · Difficult</t>
        </is>
      </c>
    </row>
    <row r="438" ht="15" customHeight="1" s="78">
      <c r="A438" s="152" t="n">
        <v>2437330</v>
      </c>
      <c r="B438" s="152" t="inlineStr">
        <is>
          <t>Novus Orbis</t>
        </is>
      </c>
      <c r="C438" s="152" t="n">
        <v>2025</v>
      </c>
      <c r="D438" s="153" t="n">
        <v>19.99</v>
      </c>
      <c r="E438" s="154" t="n">
        <v>1646</v>
      </c>
      <c r="F438" s="152" t="n">
        <v>91</v>
      </c>
      <c r="G438" s="152" t="inlineStr">
        <is>
          <t>Seizo Games</t>
        </is>
      </c>
      <c r="H438" s="152" t="inlineStr">
        <is>
          <t>Early Access · Roguelike Deckbuilder · Roguelike · Deckbuilding · Adventure · Card Battler · Turn-Based · Turn-Based Combat</t>
        </is>
      </c>
    </row>
    <row r="439" ht="15" customHeight="1" s="78">
      <c r="A439" s="149" t="n">
        <v>965120</v>
      </c>
      <c r="B439" s="149" t="inlineStr">
        <is>
          <t>能量冲击 Energy Shock</t>
        </is>
      </c>
      <c r="C439" s="149" t="n">
        <v>2019</v>
      </c>
      <c r="D439" s="150" t="n">
        <v>9.99</v>
      </c>
      <c r="E439" s="151" t="n">
        <v>1642</v>
      </c>
      <c r="F439" s="149" t="n">
        <v>89</v>
      </c>
      <c r="G439" s="149" t="inlineStr">
        <is>
          <t>Meowtoy Games</t>
        </is>
      </c>
      <c r="H439" s="149" t="inlineStr">
        <is>
          <t>Roguelike Deckbuilder · Strategy · Indie · Early Access · Roguelite · Card Game · Difficult</t>
        </is>
      </c>
    </row>
    <row r="440" ht="15" customHeight="1" s="78">
      <c r="A440" s="152" t="n">
        <v>3134570</v>
      </c>
      <c r="B440" s="152" t="inlineStr">
        <is>
          <t>Sorcerer's Servant</t>
        </is>
      </c>
      <c r="C440" s="152" t="n">
        <v>2025</v>
      </c>
      <c r="D440" s="153" t="n">
        <v>14.99</v>
      </c>
      <c r="E440" s="154" t="n">
        <v>1616</v>
      </c>
      <c r="F440" s="152" t="n">
        <v>87</v>
      </c>
      <c r="G440" s="152" t="inlineStr">
        <is>
          <t>2202GAMES,LLC</t>
        </is>
      </c>
      <c r="H440" s="152" t="inlineStr">
        <is>
          <t>RPG · Roguelike · 2D · Anime · Pixel Graphics · Hand-drawn · Comic Book · Dark Fantasy</t>
        </is>
      </c>
    </row>
    <row r="441" ht="15" customHeight="1" s="78">
      <c r="A441" s="149" t="n">
        <v>2466240</v>
      </c>
      <c r="B441" s="149" t="inlineStr">
        <is>
          <t>CosmoPirates</t>
        </is>
      </c>
      <c r="C441" s="149" t="n">
        <v>2024</v>
      </c>
      <c r="D441" s="150" t="n">
        <v>11.99</v>
      </c>
      <c r="E441" s="151" t="n">
        <v>1599</v>
      </c>
      <c r="F441" s="149" t="n">
        <v>83</v>
      </c>
      <c r="G441" s="149" t="inlineStr">
        <is>
          <t>BlackMoon Design</t>
        </is>
      </c>
      <c r="H441" s="149" t="inlineStr">
        <is>
          <t>Roguelike Deckbuilder · Deckbuilding · Card Game · Roguelike · Card Battler · Exploration · Roguelite · Pirates</t>
        </is>
      </c>
    </row>
    <row r="442" ht="15" customHeight="1" s="78">
      <c r="A442" s="152" t="n">
        <v>1781960</v>
      </c>
      <c r="B442" s="152" t="inlineStr">
        <is>
          <t>Sigil of the Magi</t>
        </is>
      </c>
      <c r="C442" s="152" t="n">
        <v>2023</v>
      </c>
      <c r="D442" s="153" t="n">
        <v>17.99</v>
      </c>
      <c r="E442" s="154" t="n">
        <v>1594</v>
      </c>
      <c r="F442" s="152" t="n">
        <v>73</v>
      </c>
      <c r="G442" s="152" t="inlineStr">
        <is>
          <t>Yongjustyong</t>
        </is>
      </c>
      <c r="H442" s="152" t="inlineStr">
        <is>
          <t>Roguelike · Roguelike Deckbuilder · Deckbuilding · Card Game · Adventure · Turn-Based Tactics · Card Battler · RPG</t>
        </is>
      </c>
    </row>
    <row r="443" ht="15" customHeight="1" s="78">
      <c r="A443" s="149" t="n">
        <v>1678320</v>
      </c>
      <c r="B443" s="149" t="inlineStr">
        <is>
          <t>Heat Death</t>
        </is>
      </c>
      <c r="C443" s="149" t="n">
        <v>2022</v>
      </c>
      <c r="D443" s="150" t="n">
        <v>14.99</v>
      </c>
      <c r="E443" s="151" t="n">
        <v>1576</v>
      </c>
      <c r="F443" s="149" t="n">
        <v>97</v>
      </c>
      <c r="G443" s="149" t="inlineStr">
        <is>
          <t>Gallistrix</t>
        </is>
      </c>
      <c r="H443" s="149" t="inlineStr">
        <is>
          <t>Roguelike Deckbuilder · Card Battler · Turn-Based Tactics · Difficult · Card Game · Deckbuilding · Singleplayer · Roguelike</t>
        </is>
      </c>
    </row>
    <row r="444" ht="15" customHeight="1" s="78">
      <c r="A444" s="152" t="n">
        <v>3040270</v>
      </c>
      <c r="B444" s="152" t="inlineStr">
        <is>
          <t>Bees vs Zombees</t>
        </is>
      </c>
      <c r="C444" s="152" t="n">
        <v>2024</v>
      </c>
      <c r="D444" s="153" t="n">
        <v>7.99</v>
      </c>
      <c r="E444" s="154" t="n">
        <v>1572</v>
      </c>
      <c r="F444" s="152" t="n">
        <v>89</v>
      </c>
      <c r="G444" s="152" t="inlineStr">
        <is>
          <t>DeadPixel</t>
        </is>
      </c>
      <c r="H444" s="152" t="inlineStr">
        <is>
          <t>Tower Defense · Roguelike · Strategy · Roguelite · RTS · Singleplayer · Roguelike Deckbuilder · Bullet Hell</t>
        </is>
      </c>
    </row>
    <row r="445" ht="15" customHeight="1" s="78">
      <c r="A445" s="149" t="n">
        <v>2007770</v>
      </c>
      <c r="B445" s="149" t="inlineStr">
        <is>
          <t>Corrupted: Dawn of Havoc</t>
        </is>
      </c>
      <c r="C445" s="149" t="n">
        <v>2024</v>
      </c>
      <c r="D445" s="150" t="n">
        <v>14.99</v>
      </c>
      <c r="E445" s="151" t="n">
        <v>1557</v>
      </c>
      <c r="F445" s="149" t="n">
        <v>74</v>
      </c>
      <c r="G445" s="149" t="inlineStr">
        <is>
          <t>36Litters</t>
        </is>
      </c>
      <c r="H445" s="149" t="inlineStr">
        <is>
          <t>Early Access · Roguelike Deckbuilder · Strategy · Auto Battler · Roguelike · Deckbuilding · Roguelite · Online Co-Op</t>
        </is>
      </c>
    </row>
    <row r="446" ht="15" customHeight="1" s="78">
      <c r="A446" s="152" t="n">
        <v>3084370</v>
      </c>
      <c r="B446" s="152" t="inlineStr">
        <is>
          <t>Ricochet Abyss</t>
        </is>
      </c>
      <c r="C446" s="152" t="n">
        <v>2026</v>
      </c>
      <c r="D446" s="153" t="n">
        <v>12.99</v>
      </c>
      <c r="E446" s="154" t="n">
        <v>1555</v>
      </c>
      <c r="F446" s="152" t="n">
        <v>78</v>
      </c>
      <c r="G446" s="152" t="inlineStr">
        <is>
          <t>DreamForge</t>
        </is>
      </c>
      <c r="H446" s="152" t="inlineStr">
        <is>
          <t>Pixel Graphics · Action Roguelike · Strategy RPG · Roguelike · Strategy · RPG · 2D · Top-Down</t>
        </is>
      </c>
    </row>
    <row r="447" ht="15" customHeight="1" s="78">
      <c r="A447" s="149" t="n">
        <v>2347280</v>
      </c>
      <c r="B447" s="149" t="inlineStr">
        <is>
          <t>Usurper</t>
        </is>
      </c>
      <c r="C447" s="149" t="n">
        <v>2024</v>
      </c>
      <c r="D447" s="150" t="n">
        <v>9.99</v>
      </c>
      <c r="E447" s="151" t="n">
        <v>1549</v>
      </c>
      <c r="F447" s="149" t="n">
        <v>80</v>
      </c>
      <c r="G447" s="149" t="inlineStr">
        <is>
          <t>Rogue Brain Studios</t>
        </is>
      </c>
      <c r="H447" s="149" t="inlineStr">
        <is>
          <t>Roguelike Deckbuilder · Chess · Turn-Based Tactics · Roguelite · Roguelike · Card Battler · Difficult · Board Game</t>
        </is>
      </c>
    </row>
    <row r="448" ht="15" customHeight="1" s="78">
      <c r="A448" s="152" t="n">
        <v>3698060</v>
      </c>
      <c r="B448" s="152" t="inlineStr">
        <is>
          <t>Acki Nacki - Popit Game</t>
        </is>
      </c>
      <c r="C448" s="152" t="n">
        <v>2025</v>
      </c>
      <c r="D448" s="153" t="n">
        <v>0</v>
      </c>
      <c r="E448" s="154" t="n">
        <v>1536</v>
      </c>
      <c r="F448" s="152" t="n">
        <v>73</v>
      </c>
      <c r="G448" s="152" t="inlineStr">
        <is>
          <t>GOSH Technology Ltd</t>
        </is>
      </c>
      <c r="H448" s="152" t="inlineStr">
        <is>
          <t>Early Access · Card Game · Roguelike Deckbuilder · Roguelike · Deckbuilding · Strategy · Singleplayer · Asynchronous Multiplayer</t>
        </is>
      </c>
    </row>
    <row r="449" ht="15" customHeight="1" s="78">
      <c r="A449" s="149" t="n">
        <v>3159440</v>
      </c>
      <c r="B449" s="149" t="inlineStr">
        <is>
          <t>Cultivation Story: Infinite Sword Realm</t>
        </is>
      </c>
      <c r="C449" s="149" t="n">
        <v>2025</v>
      </c>
      <c r="D449" s="150" t="n">
        <v>14.99</v>
      </c>
      <c r="E449" s="151" t="n">
        <v>1488</v>
      </c>
      <c r="F449" s="149" t="n">
        <v>80</v>
      </c>
      <c r="G449" s="149" t="inlineStr">
        <is>
          <t>Bid Pond Studio Ltd.</t>
        </is>
      </c>
      <c r="H449" s="149" t="inlineStr">
        <is>
          <t>Early Access · Card Battler · Roguelite · Difficult · Turn-Based · Card Game · Roguelike · RPG</t>
        </is>
      </c>
    </row>
    <row r="450" ht="15" customHeight="1" s="78">
      <c r="A450" s="152" t="n">
        <v>3649690</v>
      </c>
      <c r="B450" s="152" t="inlineStr">
        <is>
          <t>Nightpark Journal</t>
        </is>
      </c>
      <c r="C450" s="152" t="n">
        <v>2026</v>
      </c>
      <c r="D450" s="153" t="n">
        <v>5.99</v>
      </c>
      <c r="E450" s="154" t="n">
        <v>1473</v>
      </c>
      <c r="F450" s="152" t="n">
        <v>95</v>
      </c>
      <c r="G450" s="152" t="inlineStr">
        <is>
          <t>升海宫</t>
        </is>
      </c>
      <c r="H450" s="152" t="inlineStr">
        <is>
          <t>Roguelike Deckbuilder · Card Battler · Replay Value · Strategy · Roguelite · Roguelike · Deckbuilding · RPG</t>
        </is>
      </c>
    </row>
    <row r="451" ht="15" customHeight="1" s="78">
      <c r="A451" s="149" t="n">
        <v>2119580</v>
      </c>
      <c r="B451" s="149" t="inlineStr">
        <is>
          <t>Golden Record Retriever</t>
        </is>
      </c>
      <c r="C451" s="149" t="n">
        <v>2024</v>
      </c>
      <c r="D451" s="150" t="n">
        <v>15.99</v>
      </c>
      <c r="E451" s="151" t="n">
        <v>1465</v>
      </c>
      <c r="F451" s="149" t="n">
        <v>63</v>
      </c>
      <c r="G451" s="149" t="inlineStr">
        <is>
          <t>Hoochoo Game Studios</t>
        </is>
      </c>
      <c r="H451" s="149" t="inlineStr">
        <is>
          <t>Indie · Deckbuilding · Board Game · Roguelike · Roguelite · Casual · Card Game · Cartoon</t>
        </is>
      </c>
    </row>
    <row r="452" ht="15" customHeight="1" s="78">
      <c r="A452" s="152" t="n">
        <v>1880160</v>
      </c>
      <c r="B452" s="152" t="inlineStr">
        <is>
          <t>元卡牌MetaCard</t>
        </is>
      </c>
      <c r="C452" s="152" t="n">
        <v>2023</v>
      </c>
      <c r="D452" s="153" t="n">
        <v>4.99</v>
      </c>
      <c r="E452" s="154" t="n">
        <v>1464</v>
      </c>
      <c r="F452" s="152" t="n">
        <v>82</v>
      </c>
      <c r="G452" s="152" t="inlineStr">
        <is>
          <t>KY Games</t>
        </is>
      </c>
      <c r="H452" s="152" t="inlineStr">
        <is>
          <t>Roguelike Deckbuilder · Deckbuilding · Card Game · Roguelite · Roguelike · Trading Card Game · Turn-Based Combat · RPG</t>
        </is>
      </c>
    </row>
    <row r="453" ht="15" customHeight="1" s="78">
      <c r="A453" s="149" t="n">
        <v>3355940</v>
      </c>
      <c r="B453" s="149" t="inlineStr">
        <is>
          <t>Card Coder</t>
        </is>
      </c>
      <c r="C453" s="149" t="n">
        <v>2026</v>
      </c>
      <c r="D453" s="150" t="n">
        <v>14.99</v>
      </c>
      <c r="E453" s="151" t="n">
        <v>1427</v>
      </c>
      <c r="F453" s="149" t="n">
        <v>71</v>
      </c>
      <c r="G453" s="149" t="inlineStr">
        <is>
          <t>Prof. Scherer</t>
        </is>
      </c>
      <c r="H453" s="149" t="inlineStr">
        <is>
          <t>Roguelike Deckbuilder · Strategy · Card Battler · Card Game · Inventory Management · Deckbuilding · Turn-Based Combat · Singleplayer</t>
        </is>
      </c>
    </row>
    <row r="454" ht="15" customHeight="1" s="78">
      <c r="A454" s="152" t="n">
        <v>3440980</v>
      </c>
      <c r="B454" s="152" t="inlineStr">
        <is>
          <t>It's Raining Acorn!</t>
        </is>
      </c>
      <c r="C454" s="152" t="n">
        <v>2025</v>
      </c>
      <c r="D454" s="153" t="n">
        <v>0</v>
      </c>
      <c r="E454" s="154" t="n">
        <v>1416</v>
      </c>
      <c r="F454" s="152" t="n">
        <v>80</v>
      </c>
      <c r="G454" s="152" t="inlineStr">
        <is>
          <t>Reima Project</t>
        </is>
      </c>
      <c r="H454" s="152" t="inlineStr">
        <is>
          <t>Free to Play · Idler · Physics · Incremental · Pinball · Deckbuilding · Casual · 2D</t>
        </is>
      </c>
    </row>
    <row r="455" ht="15" customHeight="1" s="78">
      <c r="A455" s="149" t="n">
        <v>3298430</v>
      </c>
      <c r="B455" s="149" t="inlineStr">
        <is>
          <t>Flaregate Network</t>
        </is>
      </c>
      <c r="C455" s="149" t="n">
        <v>2026</v>
      </c>
      <c r="D455" s="150" t="n">
        <v>14.99</v>
      </c>
      <c r="E455" s="151" t="n">
        <v>1406</v>
      </c>
      <c r="F455" s="149" t="n">
        <v>80</v>
      </c>
      <c r="G455" s="149" t="inlineStr">
        <is>
          <t>Keycard Studio, LLC</t>
        </is>
      </c>
      <c r="H455" s="149" t="inlineStr">
        <is>
          <t>Roguelike Deckbuilder · Card Game · Space · Military · RTS · Story Rich · 2D · Singleplayer</t>
        </is>
      </c>
    </row>
    <row r="456" ht="15" customHeight="1" s="78">
      <c r="A456" s="152" t="n">
        <v>4024660</v>
      </c>
      <c r="B456" s="152" t="inlineStr">
        <is>
          <t>Elf Lifia and the Labyrinth of Everdream</t>
        </is>
      </c>
      <c r="C456" s="152" t="n">
        <v>2026</v>
      </c>
      <c r="D456" s="153" t="n">
        <v>17.99</v>
      </c>
      <c r="E456" s="154" t="n">
        <v>1400</v>
      </c>
      <c r="F456" s="152" t="n">
        <v>94</v>
      </c>
      <c r="G456" s="152" t="inlineStr">
        <is>
          <t>kagurado</t>
        </is>
      </c>
      <c r="H456" s="152" t="inlineStr">
        <is>
          <t>RPG · Singleplayer · 2D · Nudity · Anime · Sexual Content · Card Battler · Card Game</t>
        </is>
      </c>
    </row>
    <row r="457" ht="15" customHeight="1" s="78">
      <c r="A457" s="149" t="n">
        <v>2451820</v>
      </c>
      <c r="B457" s="149" t="inlineStr">
        <is>
          <t>Brawl Tactics: Origins</t>
        </is>
      </c>
      <c r="C457" s="149" t="n">
        <v>2024</v>
      </c>
      <c r="D457" s="150" t="n">
        <v>13.99</v>
      </c>
      <c r="E457" s="151" t="n">
        <v>1379</v>
      </c>
      <c r="F457" s="149" t="n">
        <v>78</v>
      </c>
      <c r="G457" s="149" t="inlineStr">
        <is>
          <t>asraworks</t>
        </is>
      </c>
      <c r="H457" s="149" t="inlineStr">
        <is>
          <t>Turn-Based Combat · Strategy · Deckbuilding · Roguelite · Card Game · Card Battler · Roguelike · Turn-Based Strategy</t>
        </is>
      </c>
    </row>
    <row r="458" ht="15" customHeight="1" s="78">
      <c r="A458" s="152" t="n">
        <v>2959310</v>
      </c>
      <c r="B458" s="152" t="inlineStr">
        <is>
          <t>Warlords of the Deck</t>
        </is>
      </c>
      <c r="C458" s="152" t="n">
        <v>2024</v>
      </c>
      <c r="D458" s="153" t="n">
        <v>7.99</v>
      </c>
      <c r="E458" s="154" t="n">
        <v>1379</v>
      </c>
      <c r="F458" s="152" t="n">
        <v>67</v>
      </c>
      <c r="G458" s="152" t="inlineStr">
        <is>
          <t>Legion Forge Games</t>
        </is>
      </c>
      <c r="H458" s="152" t="inlineStr">
        <is>
          <t>Roguelike Deckbuilder · Casual · Strategy · Replay Value · Indie · Roguelike · Deckbuilding · Card Game</t>
        </is>
      </c>
    </row>
    <row r="459" ht="15" customHeight="1" s="78">
      <c r="A459" s="149" t="n">
        <v>2067070</v>
      </c>
      <c r="B459" s="149" t="inlineStr">
        <is>
          <t>Ragtag Heroes : CO-OP Deckbuilder</t>
        </is>
      </c>
      <c r="C459" s="149" t="n">
        <v>2026</v>
      </c>
      <c r="D459" s="150" t="n">
        <v>14.99</v>
      </c>
      <c r="E459" s="151" t="n">
        <v>1373</v>
      </c>
      <c r="F459" s="149" t="n">
        <v>63</v>
      </c>
      <c r="G459" s="149" t="inlineStr">
        <is>
          <t>Ragtag Heroes Team</t>
        </is>
      </c>
      <c r="H459" s="149" t="inlineStr">
        <is>
          <t>Early Access · Co-op · Online Co-Op · Roguelike Deckbuilder · Deckbuilding · Roguelike · RPG · Card Game</t>
        </is>
      </c>
    </row>
    <row r="460" ht="15" customHeight="1" s="78">
      <c r="A460" s="152" t="n">
        <v>2386800</v>
      </c>
      <c r="B460" s="152" t="inlineStr">
        <is>
          <t>Space Order Mine</t>
        </is>
      </c>
      <c r="C460" s="152" t="n">
        <v>2024</v>
      </c>
      <c r="D460" s="153" t="n">
        <v>5.99</v>
      </c>
      <c r="E460" s="154" t="n">
        <v>1348</v>
      </c>
      <c r="F460" s="152" t="n">
        <v>77</v>
      </c>
      <c r="G460" s="152" t="inlineStr">
        <is>
          <t>Fluffy Lotus</t>
        </is>
      </c>
      <c r="H460" s="152" t="inlineStr">
        <is>
          <t>Strategy · RPG · Roguelike · Roguelite · Turn-Based Tactics · 2D · Pixel Graphics · Futuristic</t>
        </is>
      </c>
    </row>
    <row r="461" ht="15" customHeight="1" s="78">
      <c r="A461" s="149" t="n">
        <v>3308190</v>
      </c>
      <c r="B461" s="149" t="inlineStr">
        <is>
          <t>Ringer</t>
        </is>
      </c>
      <c r="C461" s="149" t="n">
        <v>2025</v>
      </c>
      <c r="D461" s="150" t="n">
        <v>9.99</v>
      </c>
      <c r="E461" s="151" t="n">
        <v>1337</v>
      </c>
      <c r="F461" s="149" t="n">
        <v>82</v>
      </c>
      <c r="G461" s="149" t="inlineStr">
        <is>
          <t>Ideas Per Second</t>
        </is>
      </c>
      <c r="H461" s="149" t="inlineStr">
        <is>
          <t>Deckbuilding · Roguelike · Strategy · Physics · Perma Death · Colorful · Casual · Cute</t>
        </is>
      </c>
    </row>
    <row r="462" ht="15" customHeight="1" s="78">
      <c r="A462" s="152" t="n">
        <v>996370</v>
      </c>
      <c r="B462" s="152" t="inlineStr">
        <is>
          <t>Watch Me Stream My Mental Breakdown</t>
        </is>
      </c>
      <c r="C462" s="152" t="n">
        <v>2021</v>
      </c>
      <c r="D462" s="153" t="n">
        <v>9.99</v>
      </c>
      <c r="E462" s="154" t="n">
        <v>1332</v>
      </c>
      <c r="F462" s="152" t="n">
        <v>83</v>
      </c>
      <c r="G462" s="152" t="inlineStr">
        <is>
          <t>Ultaan Games</t>
        </is>
      </c>
      <c r="H462" s="152" t="inlineStr">
        <is>
          <t>Card Game · Card Battler · Deckbuilding · Resource Management · Choices Matter · Multiple Endings · Comedy · Indie</t>
        </is>
      </c>
    </row>
    <row r="463" ht="15" customHeight="1" s="78">
      <c r="A463" s="149" t="n">
        <v>1642010</v>
      </c>
      <c r="B463" s="149" t="inlineStr">
        <is>
          <t>h8machine</t>
        </is>
      </c>
      <c r="C463" s="149" t="n">
        <v>2022</v>
      </c>
      <c r="D463" s="150" t="n">
        <v>9.99</v>
      </c>
      <c r="E463" s="151" t="n">
        <v>1308</v>
      </c>
      <c r="F463" s="149" t="n">
        <v>94</v>
      </c>
      <c r="G463" s="149" t="inlineStr">
        <is>
          <t>gaem by jj</t>
        </is>
      </c>
      <c r="H463" s="149" t="inlineStr">
        <is>
          <t>Card Battler · Real-Time with Pause · Roguelike Deckbuilder · Time Management · Roguelite · Card Game · Female Protagonist · Roguelike</t>
        </is>
      </c>
    </row>
    <row r="464" ht="15" customHeight="1" s="78">
      <c r="A464" s="152" t="n">
        <v>4296270</v>
      </c>
      <c r="B464" s="152" t="inlineStr">
        <is>
          <t>Escape the Dynasty</t>
        </is>
      </c>
      <c r="C464" s="152" t="n">
        <v>2026</v>
      </c>
      <c r="D464" s="153" t="n">
        <v>9.99</v>
      </c>
      <c r="E464" s="154" t="n">
        <v>1303</v>
      </c>
      <c r="F464" s="152" t="n">
        <v>85</v>
      </c>
      <c r="G464" s="152" t="inlineStr">
        <is>
          <t>CoolStar Games</t>
        </is>
      </c>
      <c r="H464" s="152" t="inlineStr">
        <is>
          <t>Early Access · Strategy · Roguelike · Card Game · Deckbuilding · Indie · Replay Value · Card Battler</t>
        </is>
      </c>
    </row>
    <row r="465" ht="15" customHeight="1" s="78">
      <c r="A465" s="149" t="n">
        <v>4838660</v>
      </c>
      <c r="B465" s="149" t="inlineStr">
        <is>
          <t>Crazy Pocket</t>
        </is>
      </c>
      <c r="C465" s="149" t="n">
        <v>2026</v>
      </c>
      <c r="D465" s="150" t="n">
        <v>1</v>
      </c>
      <c r="E465" s="151" t="n">
        <v>1300</v>
      </c>
      <c r="F465" s="149" t="n">
        <v>93</v>
      </c>
      <c r="G465" s="149" t="inlineStr">
        <is>
          <t>OFFMOON Inc.</t>
        </is>
      </c>
      <c r="H465" s="149" t="inlineStr">
        <is>
          <t>Deckbuilding · Roguelike · Roguelite · Turn-Based · Strategy · Arcade · Difficult · 2D</t>
        </is>
      </c>
    </row>
    <row r="466" ht="15" customHeight="1" s="78">
      <c r="A466" s="152" t="n">
        <v>3508510</v>
      </c>
      <c r="B466" s="152" t="inlineStr">
        <is>
          <t>Guardians of Dao</t>
        </is>
      </c>
      <c r="C466" s="152" t="n">
        <v>2026</v>
      </c>
      <c r="D466" s="153" t="n">
        <v>19.99</v>
      </c>
      <c r="E466" s="154" t="n">
        <v>1280</v>
      </c>
      <c r="F466" s="152" t="n">
        <v>79</v>
      </c>
      <c r="G466" s="152" t="inlineStr">
        <is>
          <t>George Financial Holding Ltd.</t>
        </is>
      </c>
      <c r="H466" s="152" t="inlineStr">
        <is>
          <t>Roguelite · Deckbuilding · Real Time Tactics · Card Game · Strategy · RPG · Martial Arts · Sci-fi</t>
        </is>
      </c>
    </row>
    <row r="467" ht="15" customHeight="1" s="78">
      <c r="A467" s="149" t="n">
        <v>3002740</v>
      </c>
      <c r="B467" s="149" t="inlineStr">
        <is>
          <t>Project Solaris</t>
        </is>
      </c>
      <c r="C467" s="149" t="n">
        <v>2026</v>
      </c>
      <c r="D467" s="150" t="n">
        <v>9.99</v>
      </c>
      <c r="E467" s="151" t="n">
        <v>1280</v>
      </c>
      <c r="F467" s="149" t="n">
        <v>80</v>
      </c>
      <c r="G467" s="149" t="inlineStr">
        <is>
          <t>Greenhorn</t>
        </is>
      </c>
      <c r="H467" s="149" t="inlineStr">
        <is>
          <t>Indie · Roguelite · Multiple Endings · Pixel Graphics · Roguelike Deckbuilder · Turn-Based Tactics · Cute · JRPG</t>
        </is>
      </c>
    </row>
    <row r="468" ht="15" customHeight="1" s="78">
      <c r="A468" s="152" t="n">
        <v>3301530</v>
      </c>
      <c r="B468" s="152" t="inlineStr">
        <is>
          <t>Boogey Hunters</t>
        </is>
      </c>
      <c r="C468" s="152" t="n">
        <v>2025</v>
      </c>
      <c r="D468" s="153" t="n">
        <v>6.99</v>
      </c>
      <c r="E468" s="154" t="n">
        <v>1267</v>
      </c>
      <c r="F468" s="152" t="n">
        <v>84</v>
      </c>
      <c r="G468" s="152" t="inlineStr">
        <is>
          <t>Keep The Engine Games</t>
        </is>
      </c>
      <c r="H468" s="152" t="inlineStr">
        <is>
          <t>Horror · Roguelike Deckbuilder · Strategy · Deckbuilding · Turn-Based Strategy · Western · Card Battler · Roguelike</t>
        </is>
      </c>
    </row>
    <row r="469" ht="15" customHeight="1" s="78">
      <c r="A469" s="149" t="n">
        <v>2522270</v>
      </c>
      <c r="B469" s="149" t="inlineStr">
        <is>
          <t>Rune Gate</t>
        </is>
      </c>
      <c r="C469" s="149" t="n">
        <v>2024</v>
      </c>
      <c r="D469" s="150" t="n">
        <v>9.99</v>
      </c>
      <c r="E469" s="151" t="n">
        <v>1257</v>
      </c>
      <c r="F469" s="149" t="n">
        <v>91</v>
      </c>
      <c r="G469" s="149" t="inlineStr">
        <is>
          <t>Devwind</t>
        </is>
      </c>
      <c r="H469" s="149" t="inlineStr">
        <is>
          <t>Roguelike Deckbuilder · Card Battler · Card Game · Roguelike · Deckbuilding · Strategy · Roguelite · 2D</t>
        </is>
      </c>
    </row>
    <row r="470" ht="15" customHeight="1" s="78">
      <c r="A470" s="152" t="n">
        <v>1793900</v>
      </c>
      <c r="B470" s="152" t="inlineStr">
        <is>
          <t>Spooky Mahjong</t>
        </is>
      </c>
      <c r="C470" s="152" t="n">
        <v>2021</v>
      </c>
      <c r="D470" s="153" t="n">
        <v>4.99</v>
      </c>
      <c r="E470" s="154" t="n">
        <v>1247</v>
      </c>
      <c r="F470" s="152" t="n">
        <v>69</v>
      </c>
      <c r="G470" s="152" t="inlineStr">
        <is>
          <t>Triakola Studios</t>
        </is>
      </c>
      <c r="H470" s="152" t="inlineStr">
        <is>
          <t>Hidden Object · Casual · Singleplayer · Mahjong · Runner · Puzzle · Horror · Family Friendly</t>
        </is>
      </c>
    </row>
    <row r="471" ht="15" customHeight="1" s="78">
      <c r="A471" s="149" t="n">
        <v>3084740</v>
      </c>
      <c r="B471" s="149" t="inlineStr">
        <is>
          <t>Command Deck</t>
        </is>
      </c>
      <c r="C471" s="149" t="n">
        <v>2025</v>
      </c>
      <c r="D471" s="150" t="n">
        <v>14.99</v>
      </c>
      <c r="E471" s="151" t="n">
        <v>1233</v>
      </c>
      <c r="F471" s="149" t="n">
        <v>99</v>
      </c>
      <c r="G471" s="149" t="inlineStr">
        <is>
          <t>k-critical</t>
        </is>
      </c>
      <c r="H471" s="149" t="inlineStr">
        <is>
          <t>Early Access · Strategy · Sci-fi · Roguelike Deckbuilder · Space · Deckbuilding · Roguelike · Combat</t>
        </is>
      </c>
    </row>
    <row r="472" ht="15" customHeight="1" s="78">
      <c r="A472" s="152" t="n">
        <v>1134610</v>
      </c>
      <c r="B472" s="152" t="inlineStr">
        <is>
          <t>Dice Hero: The Unoriginal Story</t>
        </is>
      </c>
      <c r="C472" s="152" t="n">
        <v>2023</v>
      </c>
      <c r="D472" s="153" t="n">
        <v>4.99</v>
      </c>
      <c r="E472" s="154" t="n">
        <v>1230</v>
      </c>
      <c r="F472" s="152" t="n">
        <v>81</v>
      </c>
      <c r="G472" s="152" t="inlineStr">
        <is>
          <t>MistByte</t>
        </is>
      </c>
      <c r="H472" s="152" t="inlineStr">
        <is>
          <t>Roguelike Deckbuilder · Card Game · Card Battler · Roguelike · Deckbuilding · Turn-Based Strategy · Strategy · Turn-Based Tactics</t>
        </is>
      </c>
    </row>
    <row r="473" ht="15" customHeight="1" s="78">
      <c r="A473" s="149" t="n">
        <v>1412960</v>
      </c>
      <c r="B473" s="149" t="inlineStr">
        <is>
          <t>Metroplex Zero: Sci-Fi Card Battler</t>
        </is>
      </c>
      <c r="C473" s="149" t="n">
        <v>2023</v>
      </c>
      <c r="D473" s="150" t="n">
        <v>19.99</v>
      </c>
      <c r="E473" s="151" t="n">
        <v>1229</v>
      </c>
      <c r="F473" s="149" t="n">
        <v>96</v>
      </c>
      <c r="G473" s="149" t="inlineStr">
        <is>
          <t>Enigma Dragons LLC</t>
        </is>
      </c>
      <c r="H473" s="149" t="inlineStr">
        <is>
          <t>Roguelike Deckbuilder · Turn-Based · Card Battler · Cyberpunk · Strategy · Deckbuilding · Roguelike · Turn-Based Combat</t>
        </is>
      </c>
    </row>
    <row r="474" ht="15" customHeight="1" s="78">
      <c r="A474" s="152" t="n">
        <v>2383190</v>
      </c>
      <c r="B474" s="152" t="inlineStr">
        <is>
          <t>Creeping Deck: Pharaoh's Curse Prologue</t>
        </is>
      </c>
      <c r="C474" s="152" t="n">
        <v>2023</v>
      </c>
      <c r="D474" s="153" t="n">
        <v>0</v>
      </c>
      <c r="E474" s="154" t="n">
        <v>1221</v>
      </c>
      <c r="F474" s="152" t="n">
        <v>86</v>
      </c>
      <c r="G474" s="152" t="inlineStr">
        <is>
          <t>BlanketGames</t>
        </is>
      </c>
      <c r="H474" s="152" t="inlineStr">
        <is>
          <t>Action · Adventure · RPG · Strategy · Action-Adventure · Action RPG · Card Game · Turn-Based Strategy</t>
        </is>
      </c>
    </row>
    <row r="475" ht="15" customHeight="1" s="78">
      <c r="A475" s="149" t="n">
        <v>2398430</v>
      </c>
      <c r="B475" s="149" t="inlineStr">
        <is>
          <t>Perfect  Dice</t>
        </is>
      </c>
      <c r="C475" s="149" t="n">
        <v>2024</v>
      </c>
      <c r="D475" s="150" t="n">
        <v>9.99</v>
      </c>
      <c r="E475" s="151" t="n">
        <v>1205</v>
      </c>
      <c r="F475" s="149" t="n">
        <v>79</v>
      </c>
      <c r="G475" s="149" t="inlineStr">
        <is>
          <t>Tilt Station</t>
        </is>
      </c>
      <c r="H475" s="149" t="inlineStr">
        <is>
          <t>Card Game · Deckbuilding · Side Scroller · Card Battler · Pixel Graphics · Roguelike · Turn-Based Tactics · 2D</t>
        </is>
      </c>
    </row>
    <row r="476" ht="15" customHeight="1" s="78">
      <c r="A476" s="152" t="n">
        <v>2711190</v>
      </c>
      <c r="B476" s="152" t="inlineStr">
        <is>
          <t>Hyperspace Deck Command</t>
        </is>
      </c>
      <c r="C476" s="152" t="n">
        <v>2025</v>
      </c>
      <c r="D476" s="153" t="n">
        <v>19.99</v>
      </c>
      <c r="E476" s="154" t="n">
        <v>1201</v>
      </c>
      <c r="F476" s="152" t="n">
        <v>96</v>
      </c>
      <c r="G476" s="152" t="inlineStr">
        <is>
          <t>Sleeper Games</t>
        </is>
      </c>
      <c r="H476" s="152" t="inlineStr">
        <is>
          <t>Roguelike Deckbuilder · Card Game · Roguelike · Deckbuilding · Difficult · Turn-Based Tactics · Roguelite · Sci-fi</t>
        </is>
      </c>
    </row>
    <row r="477" ht="15" customHeight="1" s="78">
      <c r="A477" s="149" t="n">
        <v>2341560</v>
      </c>
      <c r="B477" s="149" t="inlineStr">
        <is>
          <t>Infest</t>
        </is>
      </c>
      <c r="C477" s="149" t="n">
        <v>2025</v>
      </c>
      <c r="D477" s="150" t="n">
        <v>14.99</v>
      </c>
      <c r="E477" s="151" t="n">
        <v>1185</v>
      </c>
      <c r="F477" s="149" t="n">
        <v>76</v>
      </c>
      <c r="G477" s="149" t="inlineStr">
        <is>
          <t>Chute Apps</t>
        </is>
      </c>
      <c r="H477" s="149" t="inlineStr">
        <is>
          <t>Roguelike Deckbuilder · Deckbuilding · Card Battler · Physics · Sandbox · Card Game · Real-Time with Pause · Strategy</t>
        </is>
      </c>
    </row>
    <row r="478" ht="15" customHeight="1" s="78">
      <c r="A478" s="152" t="n">
        <v>3062650</v>
      </c>
      <c r="B478" s="152" t="inlineStr">
        <is>
          <t>Resultare</t>
        </is>
      </c>
      <c r="C478" s="152" t="n">
        <v>2026</v>
      </c>
      <c r="D478" s="153" t="n">
        <v>4.99</v>
      </c>
      <c r="E478" s="154" t="n">
        <v>1163</v>
      </c>
      <c r="F478" s="152" t="n">
        <v>92</v>
      </c>
      <c r="G478" s="152" t="inlineStr">
        <is>
          <t>Good Day Games</t>
        </is>
      </c>
      <c r="H478" s="152" t="inlineStr">
        <is>
          <t>Action · Casual · Strategy · Arcade · Pinball · Physics · Indie · Puzzle</t>
        </is>
      </c>
    </row>
    <row r="479" ht="15" customHeight="1" s="78">
      <c r="A479" s="149" t="n">
        <v>3947390</v>
      </c>
      <c r="B479" s="149" t="inlineStr">
        <is>
          <t>Ribbit Rogue</t>
        </is>
      </c>
      <c r="C479" s="149" t="n">
        <v>2026</v>
      </c>
      <c r="D479" s="150" t="n">
        <v>9.99</v>
      </c>
      <c r="E479" s="151" t="n">
        <v>1142</v>
      </c>
      <c r="F479" s="149" t="n">
        <v>93</v>
      </c>
      <c r="G479" s="149" t="inlineStr">
        <is>
          <t>King Krab Games</t>
        </is>
      </c>
      <c r="H479" s="149" t="inlineStr">
        <is>
          <t>Card Battler · Turn-Based Tactics · Roguelite · Dungeon Crawler · Turn-Based · Card Game · Roguelike · 2D</t>
        </is>
      </c>
    </row>
    <row r="480" ht="15" customHeight="1" s="78">
      <c r="A480" s="152" t="n">
        <v>3316960</v>
      </c>
      <c r="B480" s="152" t="inlineStr">
        <is>
          <t>Ashes of Morgravia</t>
        </is>
      </c>
      <c r="C480" s="152" t="n">
        <v>2026</v>
      </c>
      <c r="D480" s="153" t="n">
        <v>9.99</v>
      </c>
      <c r="E480" s="154" t="n">
        <v>1138</v>
      </c>
      <c r="F480" s="152" t="n">
        <v>71</v>
      </c>
      <c r="G480" s="152" t="inlineStr">
        <is>
          <t>background blur.</t>
        </is>
      </c>
      <c r="H480" s="152" t="inlineStr">
        <is>
          <t>Deckbuilding · Card Battler · Roguelike Deckbuilder · Roguelite · Dark Fantasy · Turn-Based Combat · Tactical RPG · Difficult</t>
        </is>
      </c>
    </row>
    <row r="481" ht="15" customHeight="1" s="78">
      <c r="A481" s="149" t="n">
        <v>2474750</v>
      </c>
      <c r="B481" s="149" t="inlineStr">
        <is>
          <t>Happy Poker</t>
        </is>
      </c>
      <c r="C481" s="149" t="n">
        <v>2025</v>
      </c>
      <c r="D481" s="150" t="n">
        <v>4.99</v>
      </c>
      <c r="E481" s="151" t="n">
        <v>1138</v>
      </c>
      <c r="F481" s="149" t="n">
        <v>88</v>
      </c>
      <c r="G481" s="149" t="inlineStr">
        <is>
          <t>VGameX</t>
        </is>
      </c>
      <c r="H481" s="149" t="inlineStr">
        <is>
          <t>Roguelike Deckbuilder · Card Game · Strategy · Funny · Solitaire · Turn-Based Strategy · Roguelite · Deckbuilding</t>
        </is>
      </c>
    </row>
    <row r="482" ht="15" customHeight="1" s="78">
      <c r="A482" s="152" t="n">
        <v>3180680</v>
      </c>
      <c r="B482" s="152" t="inlineStr">
        <is>
          <t>A la Card</t>
        </is>
      </c>
      <c r="C482" s="152" t="n">
        <v>2025</v>
      </c>
      <c r="D482" s="153" t="n">
        <v>14.99</v>
      </c>
      <c r="E482" s="154" t="n">
        <v>1122</v>
      </c>
      <c r="F482" s="152" t="n">
        <v>97</v>
      </c>
      <c r="G482" s="152" t="inlineStr">
        <is>
          <t>Shook Loose</t>
        </is>
      </c>
      <c r="H482" s="152" t="inlineStr">
        <is>
          <t>Roguelike Deckbuilder · Card Game · Card Battler · Roguelike · Strategy · Turn-Based · Deckbuilding · 2D</t>
        </is>
      </c>
    </row>
    <row r="483" ht="15" customHeight="1" s="78">
      <c r="A483" s="149" t="n">
        <v>2600970</v>
      </c>
      <c r="B483" s="149" t="inlineStr">
        <is>
          <t>Flawed Tactics</t>
        </is>
      </c>
      <c r="C483" s="149" t="n">
        <v>2026</v>
      </c>
      <c r="D483" s="150" t="n">
        <v>9.99</v>
      </c>
      <c r="E483" s="151" t="n">
        <v>1104</v>
      </c>
      <c r="F483" s="149" t="n">
        <v>92</v>
      </c>
      <c r="G483" s="149" t="inlineStr">
        <is>
          <t>Flawed Games</t>
        </is>
      </c>
      <c r="H483" s="149" t="inlineStr">
        <is>
          <t>Strategy · Auto Battler · Multiplayer · PvP · Tactical · Online Co-Op · Turn-Based Tactics · Card Battler</t>
        </is>
      </c>
    </row>
    <row r="484" ht="15" customHeight="1" s="78">
      <c r="A484" s="152" t="n">
        <v>3579890</v>
      </c>
      <c r="B484" s="152" t="inlineStr">
        <is>
          <t>Zombie Epoch:Deck Apocalypse</t>
        </is>
      </c>
      <c r="C484" s="152" t="n">
        <v>2026</v>
      </c>
      <c r="D484" s="153" t="n">
        <v>7.99</v>
      </c>
      <c r="E484" s="154" t="n">
        <v>1097</v>
      </c>
      <c r="F484" s="152" t="n">
        <v>65</v>
      </c>
      <c r="G484" s="152" t="inlineStr">
        <is>
          <t>HY Indie Game</t>
        </is>
      </c>
      <c r="H484" s="152" t="inlineStr">
        <is>
          <t>Strategy · Roguelike Deckbuilder · Card Game · Roguelike · Card Battler · Choices Matter · Deckbuilding · Turn-Based Tactics</t>
        </is>
      </c>
    </row>
    <row r="485" ht="15" customHeight="1" s="78">
      <c r="A485" s="149" t="n">
        <v>2691360</v>
      </c>
      <c r="B485" s="149" t="inlineStr">
        <is>
          <t>Deckbuilder Fantasy</t>
        </is>
      </c>
      <c r="C485" s="149" t="n">
        <v>2026</v>
      </c>
      <c r="D485" s="150" t="n">
        <v>0</v>
      </c>
      <c r="E485" s="151" t="n">
        <v>1092</v>
      </c>
      <c r="F485" s="149" t="n">
        <v>80</v>
      </c>
      <c r="G485" s="149" t="inlineStr">
        <is>
          <t>Dr. Cyril Splutterworth</t>
        </is>
      </c>
      <c r="H485" s="149" t="inlineStr">
        <is>
          <t>Roguelike Deckbuilder · Card Game · Card Battler · Roguelike · Strategy · Deckbuilding · Turn-Based · Roguelite</t>
        </is>
      </c>
    </row>
    <row r="486" ht="15" customHeight="1" s="78">
      <c r="A486" s="152" t="n">
        <v>3351280</v>
      </c>
      <c r="B486" s="152" t="inlineStr">
        <is>
          <t>Tinker Shot</t>
        </is>
      </c>
      <c r="C486" s="152" t="n">
        <v>2026</v>
      </c>
      <c r="D486" s="153" t="n">
        <v>4.99</v>
      </c>
      <c r="E486" s="154" t="n">
        <v>1089</v>
      </c>
      <c r="F486" s="152" t="n">
        <v>91</v>
      </c>
      <c r="G486" s="152" t="inlineStr">
        <is>
          <t>CodeRed</t>
        </is>
      </c>
      <c r="H486" s="152" t="inlineStr">
        <is>
          <t>Roguelike Deckbuilder · Turn-Based Combat · Strategy · Card Battler · Deckbuilding · Roguelike · Roguelite · Turn-Based Strategy</t>
        </is>
      </c>
    </row>
    <row r="487" ht="15" customHeight="1" s="78">
      <c r="A487" s="149" t="n">
        <v>2946260</v>
      </c>
      <c r="B487" s="149" t="inlineStr">
        <is>
          <t>Poker Dungeon : Joker's Madness</t>
        </is>
      </c>
      <c r="C487" s="149" t="n">
        <v>2024</v>
      </c>
      <c r="D487" s="150" t="n">
        <v>8.99</v>
      </c>
      <c r="E487" s="151" t="n">
        <v>1082</v>
      </c>
      <c r="F487" s="149" t="n">
        <v>93</v>
      </c>
      <c r="G487" s="149" t="inlineStr">
        <is>
          <t>fishbone games</t>
        </is>
      </c>
      <c r="H487" s="149" t="inlineStr">
        <is>
          <t>Roguelike · Deckbuilding · Card Game · Turn-Based Strategy · Indie · Roguelike Deckbuilder · Turn-Based Tactics · Strategy</t>
        </is>
      </c>
    </row>
    <row r="488" ht="15" customHeight="1" s="78">
      <c r="A488" s="152" t="n">
        <v>2584800</v>
      </c>
      <c r="B488" s="152" t="inlineStr">
        <is>
          <t>Star Mining Co.</t>
        </is>
      </c>
      <c r="C488" s="152" t="n">
        <v>2025</v>
      </c>
      <c r="D488" s="153" t="n">
        <v>8.99</v>
      </c>
      <c r="E488" s="154" t="n">
        <v>1073</v>
      </c>
      <c r="F488" s="152" t="n">
        <v>83</v>
      </c>
      <c r="G488" s="152" t="inlineStr">
        <is>
          <t>Barney Whiteman</t>
        </is>
      </c>
      <c r="H488" s="152" t="inlineStr">
        <is>
          <t>Action Roguelike · Deckbuilding · Space · Mining · Perma Death · Procedural Generation · Strategy · Roguelike</t>
        </is>
      </c>
    </row>
    <row r="489" ht="15" customHeight="1" s="78">
      <c r="A489" s="149" t="n">
        <v>2889780</v>
      </c>
      <c r="B489" s="149" t="inlineStr">
        <is>
          <t>SPELLHACK!!</t>
        </is>
      </c>
      <c r="C489" s="149" t="n">
        <v>2025</v>
      </c>
      <c r="D489" s="150" t="n">
        <v>5.99</v>
      </c>
      <c r="E489" s="151" t="n">
        <v>1072</v>
      </c>
      <c r="F489" s="149" t="n">
        <v>91</v>
      </c>
      <c r="G489" s="149" t="inlineStr">
        <is>
          <t>Computer Dream</t>
        </is>
      </c>
      <c r="H489" s="149" t="inlineStr">
        <is>
          <t>Roguelike Deckbuilder · Real Time Tactics · Survival · Action · Card Battler · Roguelite · Deckbuilding · Card Game</t>
        </is>
      </c>
    </row>
    <row r="490" ht="15" customHeight="1" s="78">
      <c r="A490" s="152" t="n">
        <v>516030</v>
      </c>
      <c r="B490" s="152" t="inlineStr">
        <is>
          <t>Insane Robots</t>
        </is>
      </c>
      <c r="C490" s="152" t="n">
        <v>2018</v>
      </c>
      <c r="D490" s="153" t="n">
        <v>19.99</v>
      </c>
      <c r="E490" s="154" t="n">
        <v>1069</v>
      </c>
      <c r="F490" s="152" t="n">
        <v>83</v>
      </c>
      <c r="G490" s="152" t="inlineStr">
        <is>
          <t>Playniac</t>
        </is>
      </c>
      <c r="H490" s="152" t="inlineStr">
        <is>
          <t>Card Battler · Roguelike Deckbuilder · Indie · Strategy · Casual · Adventure · RPG · Card Game</t>
        </is>
      </c>
    </row>
    <row r="491" ht="15" customHeight="1" s="78">
      <c r="A491" s="149" t="n">
        <v>4597030</v>
      </c>
      <c r="B491" s="149" t="inlineStr">
        <is>
          <t>Hillforts</t>
        </is>
      </c>
      <c r="C491" s="149" t="n">
        <v>2026</v>
      </c>
      <c r="D491" s="150" t="n">
        <v>7.99</v>
      </c>
      <c r="E491" s="151" t="n">
        <v>1064</v>
      </c>
      <c r="F491" s="149" t="n">
        <v>83</v>
      </c>
      <c r="G491" s="149" t="inlineStr">
        <is>
          <t>Five Head Games</t>
        </is>
      </c>
      <c r="H491" s="149" t="inlineStr">
        <is>
          <t>Strategy · Auto Battler · Roguelike · Medieval · Card Battler · Deckbuilding · Card Game · Indie</t>
        </is>
      </c>
    </row>
    <row r="492" ht="15" customHeight="1" s="78">
      <c r="A492" s="152" t="n">
        <v>3889950</v>
      </c>
      <c r="B492" s="152" t="inlineStr">
        <is>
          <t>Neuter Master</t>
        </is>
      </c>
      <c r="C492" s="152" t="n">
        <v>2025</v>
      </c>
      <c r="D492" s="153" t="n">
        <v>3.99</v>
      </c>
      <c r="E492" s="154" t="n">
        <v>1064</v>
      </c>
      <c r="F492" s="152" t="n">
        <v>95</v>
      </c>
      <c r="G492" s="152" t="inlineStr">
        <is>
          <t>PcZ Games</t>
        </is>
      </c>
      <c r="H492" s="152" t="inlineStr">
        <is>
          <t>Strategy · Management · Roguelike Deckbuilder · Deckbuilding · Resource Management · Roguelite · Roguelike · Simulation</t>
        </is>
      </c>
    </row>
    <row r="493" ht="15" customHeight="1" s="78">
      <c r="A493" s="149" t="n">
        <v>2971360</v>
      </c>
      <c r="B493" s="149" t="inlineStr">
        <is>
          <t>Metal Queen Dungeon</t>
        </is>
      </c>
      <c r="C493" s="149" t="n">
        <v>2024</v>
      </c>
      <c r="D493" s="150" t="n">
        <v>4.99</v>
      </c>
      <c r="E493" s="151" t="n">
        <v>1061</v>
      </c>
      <c r="F493" s="149" t="n">
        <v>87</v>
      </c>
      <c r="G493" s="149" t="inlineStr">
        <is>
          <t>KRAKL Games</t>
        </is>
      </c>
      <c r="H493" s="149" t="inlineStr">
        <is>
          <t>Roguelike Deckbuilder · Card Game · Card Battler · Roguelike · Strategy · Deckbuilding · Auto Battler · Indie</t>
        </is>
      </c>
    </row>
    <row r="494" ht="15" customHeight="1" s="78">
      <c r="A494" s="152" t="n">
        <v>2906730</v>
      </c>
      <c r="B494" s="152" t="inlineStr">
        <is>
          <t>Watchword</t>
        </is>
      </c>
      <c r="C494" s="152" t="n">
        <v>2025</v>
      </c>
      <c r="D494" s="153" t="n">
        <v>13.99</v>
      </c>
      <c r="E494" s="154" t="n">
        <v>1057</v>
      </c>
      <c r="F494" s="152" t="n">
        <v>89</v>
      </c>
      <c r="G494" s="152" t="inlineStr">
        <is>
          <t>Big Quail Games</t>
        </is>
      </c>
      <c r="H494" s="152" t="inlineStr">
        <is>
          <t>Roguelike Deckbuilder · Deckbuilding · Roguelike · Replay Value · Strategy · Choices Matter · Singleplayer · Roguelite</t>
        </is>
      </c>
    </row>
    <row r="495" ht="15" customHeight="1" s="78">
      <c r="A495" s="149" t="n">
        <v>2261750</v>
      </c>
      <c r="B495" s="149" t="inlineStr">
        <is>
          <t>Towers Deck</t>
        </is>
      </c>
      <c r="C495" s="149" t="n">
        <v>2023</v>
      </c>
      <c r="D495" s="150" t="n">
        <v>9.99</v>
      </c>
      <c r="E495" s="151" t="n">
        <v>1051</v>
      </c>
      <c r="F495" s="149" t="n">
        <v>76</v>
      </c>
      <c r="G495" s="149" t="inlineStr">
        <is>
          <t>ThinKING Cat Games</t>
        </is>
      </c>
      <c r="H495" s="149" t="inlineStr">
        <is>
          <t>Tower Defense · Isometric · Minimalist · Roguelike Deckbuilder · Strategy · Procedural Generation · Card Game · Base Building</t>
        </is>
      </c>
    </row>
    <row r="496" ht="15" customHeight="1" s="78">
      <c r="A496" s="152" t="n">
        <v>2958140</v>
      </c>
      <c r="B496" s="152" t="inlineStr">
        <is>
          <t>NET.CRAWL</t>
        </is>
      </c>
      <c r="C496" s="152" t="n">
        <v>2026</v>
      </c>
      <c r="D496" s="153" t="n">
        <v>9.99</v>
      </c>
      <c r="E496" s="154" t="n">
        <v>1044</v>
      </c>
      <c r="F496" s="152" t="n">
        <v>97</v>
      </c>
      <c r="G496" s="152" t="inlineStr">
        <is>
          <t>Everyone is Solid</t>
        </is>
      </c>
      <c r="H496" s="152" t="inlineStr">
        <is>
          <t>Roguelike Deckbuilder · Roguelite · Deckbuilding · Roguelike · Cyberpunk · Sci-fi · Tactical RPG · Puzzle</t>
        </is>
      </c>
    </row>
    <row r="497" ht="15" customHeight="1" s="78">
      <c r="A497" s="149" t="n">
        <v>2449390</v>
      </c>
      <c r="B497" s="149" t="inlineStr">
        <is>
          <t>Vegangsters</t>
        </is>
      </c>
      <c r="C497" s="149" t="n">
        <v>2025</v>
      </c>
      <c r="D497" s="150" t="n">
        <v>12.99</v>
      </c>
      <c r="E497" s="151" t="n">
        <v>1040</v>
      </c>
      <c r="F497" s="149" t="n">
        <v>94</v>
      </c>
      <c r="G497" s="149" t="inlineStr">
        <is>
          <t>Poison Pill Games</t>
        </is>
      </c>
      <c r="H497" s="149" t="inlineStr">
        <is>
          <t>Roguelike Deckbuilder · Card Battler · Card Game · Roguelike · Deckbuilding · Roguelite · Difficult · Turn-Based</t>
        </is>
      </c>
    </row>
    <row r="498" ht="15" customHeight="1" s="78">
      <c r="A498" s="152" t="n">
        <v>3325030</v>
      </c>
      <c r="B498" s="152" t="inlineStr">
        <is>
          <t>Glass Cannon</t>
        </is>
      </c>
      <c r="C498" s="152" t="n">
        <v>2025</v>
      </c>
      <c r="D498" s="153" t="n">
        <v>4.99</v>
      </c>
      <c r="E498" s="154" t="n">
        <v>1039</v>
      </c>
      <c r="F498" s="152" t="n">
        <v>90</v>
      </c>
      <c r="G498" s="152" t="inlineStr">
        <is>
          <t>LisiSoft</t>
        </is>
      </c>
      <c r="H498" s="152" t="inlineStr">
        <is>
          <t>Arena Shooter · Physics · Roguelike Deckbuilder · Procedural Generation · Inventory Management · Difficult · Arcade · Combat</t>
        </is>
      </c>
    </row>
    <row r="499" ht="15" customHeight="1" s="78">
      <c r="A499" s="149" t="n">
        <v>1780850</v>
      </c>
      <c r="B499" s="149" t="inlineStr">
        <is>
          <t>Cthulhu Dungeon</t>
        </is>
      </c>
      <c r="C499" s="149" t="n">
        <v>2022</v>
      </c>
      <c r="D499" s="150" t="n">
        <v>6.99</v>
      </c>
      <c r="E499" s="151" t="n">
        <v>1029</v>
      </c>
      <c r="F499" s="149" t="n">
        <v>73</v>
      </c>
      <c r="G499" s="149" t="inlineStr">
        <is>
          <t>SanYeGame</t>
        </is>
      </c>
      <c r="H499" s="149" t="inlineStr">
        <is>
          <t>Early Access · Roguelike Deckbuilder · Card Battler · Card Game · Deckbuilding · 2D · Roguelike · Moddable</t>
        </is>
      </c>
    </row>
    <row r="500" ht="15" customHeight="1" s="78">
      <c r="A500" s="152" t="n">
        <v>4021230</v>
      </c>
      <c r="B500" s="152" t="inlineStr">
        <is>
          <t>Pawffice</t>
        </is>
      </c>
      <c r="C500" s="152" t="n">
        <v>2026</v>
      </c>
      <c r="D500" s="153" t="n">
        <v>11.99</v>
      </c>
      <c r="E500" s="154" t="n">
        <v>1024</v>
      </c>
      <c r="F500" s="152" t="n">
        <v>92</v>
      </c>
      <c r="G500" s="152" t="inlineStr">
        <is>
          <t>飞天海牛工作室</t>
        </is>
      </c>
      <c r="H500" s="152" t="inlineStr">
        <is>
          <t>Roguelite · Roguelike · RPG · Story Rich · Atmospheric · Modern · Dark Humor · Dialogue Heavy</t>
        </is>
      </c>
    </row>
    <row r="501" ht="15" customHeight="1" s="78">
      <c r="A501" s="149" t="n">
        <v>2296870</v>
      </c>
      <c r="B501" s="149" t="inlineStr">
        <is>
          <t>Crimson Connect Origin</t>
        </is>
      </c>
      <c r="C501" s="149" t="n">
        <v>2023</v>
      </c>
      <c r="D501" s="150" t="n">
        <v>5.99</v>
      </c>
      <c r="E501" s="151" t="n">
        <v>1016</v>
      </c>
      <c r="F501" s="149" t="n">
        <v>53</v>
      </c>
      <c r="G501" s="149" t="inlineStr">
        <is>
          <t>Team_UnderBar</t>
        </is>
      </c>
      <c r="H501" s="149" t="inlineStr">
        <is>
          <t>Strategy · Roguelike · Roguelite · 2D · Colorful · Post-apocalyptic · Base Building · Singleplayer</t>
        </is>
      </c>
    </row>
    <row r="502" ht="15" customHeight="1" s="78">
      <c r="A502" s="152" t="n">
        <v>4575670</v>
      </c>
      <c r="B502" s="152" t="inlineStr">
        <is>
          <t>Succubus Abyss: 30-Day Survival Guide</t>
        </is>
      </c>
      <c r="C502" s="152" t="n">
        <v>2026</v>
      </c>
      <c r="D502" s="153" t="n">
        <v>9.99</v>
      </c>
      <c r="E502" s="154" t="n">
        <v>1005</v>
      </c>
      <c r="F502" s="152" t="n">
        <v>72</v>
      </c>
      <c r="G502" s="152" t="inlineStr">
        <is>
          <t>魅魔深淵</t>
        </is>
      </c>
      <c r="H502" s="152" t="inlineStr">
        <is>
          <t>Roguelike Deckbuilder · Roguelike · Card Game · Card Battler · Strategy · Deckbuilding · Turn-Based Tactics · Roguelite</t>
        </is>
      </c>
    </row>
    <row r="503" ht="15" customHeight="1" s="78">
      <c r="A503" s="149" t="n">
        <v>2497910</v>
      </c>
      <c r="B503" s="149" t="inlineStr">
        <is>
          <t>Into the Dungeon</t>
        </is>
      </c>
      <c r="C503" s="149" t="n">
        <v>2024</v>
      </c>
      <c r="D503" s="150" t="n">
        <v>4.99</v>
      </c>
      <c r="E503" s="151" t="n">
        <v>997</v>
      </c>
      <c r="F503" s="149" t="n">
        <v>67</v>
      </c>
      <c r="G503" s="149" t="inlineStr">
        <is>
          <t>Jamie Sullivan-Phillips</t>
        </is>
      </c>
      <c r="H503" s="149" t="inlineStr">
        <is>
          <t>Roguelike Deckbuilder · Co-op · Card Game · Card Battler · Roguelike · Deckbuilding · RPG · Turn-Based Combat</t>
        </is>
      </c>
    </row>
    <row r="504" ht="15" customHeight="1" s="78">
      <c r="A504" s="152" t="n">
        <v>4300160</v>
      </c>
      <c r="B504" s="152" t="inlineStr">
        <is>
          <t>Goblin "Gnight" Garuru</t>
        </is>
      </c>
      <c r="C504" s="152" t="n">
        <v>2026</v>
      </c>
      <c r="D504" s="153" t="n">
        <v>7.99</v>
      </c>
      <c r="E504" s="154" t="n">
        <v>984</v>
      </c>
      <c r="F504" s="152" t="n">
        <v>94</v>
      </c>
      <c r="G504" s="152" t="inlineStr">
        <is>
          <t>Sleepy Mog Studio</t>
        </is>
      </c>
      <c r="H504" s="152" t="inlineStr">
        <is>
          <t>Sexual Content · Roguelike Deckbuilder · Hentai · Deckbuilding · Nudity · Roguelite · Female Protagonist · Turn-Based Tactics</t>
        </is>
      </c>
    </row>
    <row r="505" ht="15" customHeight="1" s="78">
      <c r="A505" s="149" t="n">
        <v>3046020</v>
      </c>
      <c r="B505" s="149" t="inlineStr">
        <is>
          <t>Age of Enchantment</t>
        </is>
      </c>
      <c r="C505" s="149" t="n">
        <v>2026</v>
      </c>
      <c r="D505" s="150" t="n">
        <v>9.99</v>
      </c>
      <c r="E505" s="151" t="n">
        <v>976</v>
      </c>
      <c r="F505" s="149" t="n">
        <v>79</v>
      </c>
      <c r="G505" s="149" t="inlineStr">
        <is>
          <t>Psychic Monkey Studio</t>
        </is>
      </c>
      <c r="H505" s="149" t="inlineStr">
        <is>
          <t>Tower Defense · Deckbuilding · Roguelite · Card Game · Strategy · Roguelike Deckbuilder · 2D · Roguelike</t>
        </is>
      </c>
    </row>
    <row r="506" ht="15" customHeight="1" s="78">
      <c r="A506" s="152" t="n">
        <v>4991340</v>
      </c>
      <c r="B506" s="152" t="inlineStr">
        <is>
          <t>Might &amp; Poison Mushroom</t>
        </is>
      </c>
      <c r="C506" s="152" t="n">
        <v>2026</v>
      </c>
      <c r="D506" s="153" t="n">
        <v>0</v>
      </c>
      <c r="E506" s="154" t="n">
        <v>961</v>
      </c>
      <c r="F506" s="152" t="n">
        <v>71</v>
      </c>
      <c r="G506" s="152" t="inlineStr">
        <is>
          <t>GooloolooGames</t>
        </is>
      </c>
      <c r="H506" s="152" t="inlineStr">
        <is>
          <t>Auto Battler · Roguelike Deckbuilder · Strategy · Resource Management · Deckbuilding · Asynchronous Multiplayer · Roguelite · Tactical</t>
        </is>
      </c>
    </row>
    <row r="507" ht="15" customHeight="1" s="78">
      <c r="A507" s="149" t="n">
        <v>3669690</v>
      </c>
      <c r="B507" s="149" t="inlineStr">
        <is>
          <t>Noir Lords</t>
        </is>
      </c>
      <c r="C507" s="149" t="n">
        <v>2025</v>
      </c>
      <c r="D507" s="150" t="n">
        <v>7.99</v>
      </c>
      <c r="E507" s="151" t="n">
        <v>950</v>
      </c>
      <c r="F507" s="149" t="n">
        <v>94</v>
      </c>
      <c r="G507" s="149" t="inlineStr">
        <is>
          <t>Speed Trail Games</t>
        </is>
      </c>
      <c r="H507" s="149" t="inlineStr">
        <is>
          <t>Card Game · Card Battler · Roguelike Deckbuilder · Deckbuilding · Noir · Indie · Roguelite · Roguelike</t>
        </is>
      </c>
    </row>
    <row r="508" ht="15" customHeight="1" s="78">
      <c r="A508" s="152" t="n">
        <v>4558880</v>
      </c>
      <c r="B508" s="152" t="inlineStr">
        <is>
          <t>Joey's Nightmare II</t>
        </is>
      </c>
      <c r="C508" s="152" t="n">
        <v>2026</v>
      </c>
      <c r="D508" s="153" t="n">
        <v>7.99</v>
      </c>
      <c r="E508" s="154" t="n">
        <v>945</v>
      </c>
      <c r="F508" s="152" t="n">
        <v>83</v>
      </c>
      <c r="G508" s="152" t="inlineStr">
        <is>
          <t>A* Studio</t>
        </is>
      </c>
      <c r="H508" s="152" t="inlineStr">
        <is>
          <t>Early Access · Strategy · Roguelike Deckbuilder · Turn-Based Tactics · Deckbuilding · Card Battler · Roguelite · Cute</t>
        </is>
      </c>
    </row>
    <row r="509" ht="15" customHeight="1" s="78">
      <c r="A509" s="149" t="n">
        <v>2186010</v>
      </c>
      <c r="B509" s="149" t="inlineStr">
        <is>
          <t>Shapebreaker - Prologue</t>
        </is>
      </c>
      <c r="C509" s="149" t="n">
        <v>2023</v>
      </c>
      <c r="D509" s="150" t="n">
        <v>0</v>
      </c>
      <c r="E509" s="151" t="n">
        <v>942</v>
      </c>
      <c r="F509" s="149" t="n">
        <v>67</v>
      </c>
      <c r="G509" s="149" t="inlineStr">
        <is>
          <t>Alexander Van den Bulck</t>
        </is>
      </c>
      <c r="H509" s="149" t="inlineStr">
        <is>
          <t>Tower Defense · Strategy · Singleplayer · Roguelike Deckbuilder · 2D · Tactical · Roguelike · Roguelite</t>
        </is>
      </c>
    </row>
    <row r="510" ht="15" customHeight="1" s="78">
      <c r="A510" s="152" t="n">
        <v>2233220</v>
      </c>
      <c r="B510" s="152" t="inlineStr">
        <is>
          <t>Spirits of The Silicium Forest</t>
        </is>
      </c>
      <c r="C510" s="152" t="n">
        <v>2024</v>
      </c>
      <c r="D510" s="153" t="n">
        <v>9.99</v>
      </c>
      <c r="E510" s="154" t="n">
        <v>919</v>
      </c>
      <c r="F510" s="152" t="n">
        <v>91</v>
      </c>
      <c r="G510" s="152" t="inlineStr">
        <is>
          <t>PixelGreeds; Kujjaoo</t>
        </is>
      </c>
      <c r="H510" s="152" t="inlineStr">
        <is>
          <t>Roguelike Deckbuilder · Turn-Based · Card Game · Card Battler · Strategy · Female Protagonist · 2D · Post-apocalyptic</t>
        </is>
      </c>
    </row>
    <row r="511" ht="15" customHeight="1" s="78">
      <c r="A511" s="149" t="n">
        <v>3256850</v>
      </c>
      <c r="B511" s="149" t="inlineStr">
        <is>
          <t>Tic Tactic</t>
        </is>
      </c>
      <c r="C511" s="149" t="n">
        <v>2025</v>
      </c>
      <c r="D511" s="150" t="n">
        <v>7.99</v>
      </c>
      <c r="E511" s="151" t="n">
        <v>915</v>
      </c>
      <c r="F511" s="149" t="n">
        <v>66</v>
      </c>
      <c r="G511" s="149" t="inlineStr">
        <is>
          <t>unbreaded</t>
        </is>
      </c>
      <c r="H511" s="149" t="inlineStr">
        <is>
          <t>Deckbuilding · Roguelike · Turn-Based Strategy · Strategy · Board Game · Card Game · Turn-Based Combat · Pixel Graphics</t>
        </is>
      </c>
    </row>
    <row r="512" ht="15" customHeight="1" s="78">
      <c r="A512" s="152" t="n">
        <v>2283940</v>
      </c>
      <c r="B512" s="152" t="inlineStr">
        <is>
          <t>Ancient Guardians: The Dragon</t>
        </is>
      </c>
      <c r="C512" s="152" t="n">
        <v>2025</v>
      </c>
      <c r="D512" s="153" t="n">
        <v>5.99</v>
      </c>
      <c r="E512" s="154" t="n">
        <v>910</v>
      </c>
      <c r="F512" s="152" t="n">
        <v>81</v>
      </c>
      <c r="G512" s="152" t="inlineStr">
        <is>
          <t>Luphix</t>
        </is>
      </c>
      <c r="H512" s="152" t="inlineStr">
        <is>
          <t>Roguelike · Indie · Dragons · Magic · Action Roguelike · Medieval · Roguelite · Combat</t>
        </is>
      </c>
    </row>
    <row r="513" ht="15" customHeight="1" s="78">
      <c r="A513" s="149" t="n">
        <v>1604210</v>
      </c>
      <c r="B513" s="149" t="inlineStr">
        <is>
          <t>Grid Slayer</t>
        </is>
      </c>
      <c r="C513" s="149" t="n">
        <v>2022</v>
      </c>
      <c r="D513" s="150" t="n">
        <v>11.99</v>
      </c>
      <c r="E513" s="151" t="n">
        <v>901</v>
      </c>
      <c r="F513" s="149" t="n">
        <v>87</v>
      </c>
      <c r="G513" s="149" t="inlineStr">
        <is>
          <t>Otis Miller</t>
        </is>
      </c>
      <c r="H513" s="149" t="inlineStr">
        <is>
          <t>Card Battler · Grid-Based Movement · Tabletop · Card Game · Roguelike Deckbuilder · Perma Death · Turn-Based Strategy · RPG</t>
        </is>
      </c>
    </row>
    <row r="514" ht="15" customHeight="1" s="78">
      <c r="A514" s="152" t="n">
        <v>3873560</v>
      </c>
      <c r="B514" s="152" t="inlineStr">
        <is>
          <t>GIVE ME A WEAPON!</t>
        </is>
      </c>
      <c r="C514" s="152" t="n">
        <v>2026</v>
      </c>
      <c r="D514" s="153" t="n">
        <v>5.99</v>
      </c>
      <c r="E514" s="154" t="n">
        <v>899</v>
      </c>
      <c r="F514" s="152" t="n">
        <v>96</v>
      </c>
      <c r="G514" s="152" t="inlineStr">
        <is>
          <t>nogagong</t>
        </is>
      </c>
      <c r="H514" s="152" t="inlineStr">
        <is>
          <t>Roguelike Deckbuilder · Auto Battler · Roguelike · Strategy · Deckbuilding · Pixel Graphics · Fantasy · Singleplayer</t>
        </is>
      </c>
    </row>
    <row r="515" ht="15" customHeight="1" s="78">
      <c r="A515" s="149" t="n">
        <v>3399930</v>
      </c>
      <c r="B515" s="149" t="inlineStr">
        <is>
          <t>Roulette Dungeon</t>
        </is>
      </c>
      <c r="C515" s="149" t="n">
        <v>2026</v>
      </c>
      <c r="D515" s="150" t="n">
        <v>8.99</v>
      </c>
      <c r="E515" s="151" t="n">
        <v>874</v>
      </c>
      <c r="F515" s="149" t="n">
        <v>85</v>
      </c>
      <c r="G515" s="149" t="inlineStr">
        <is>
          <t>Hooded Traveler Games</t>
        </is>
      </c>
      <c r="H515" s="149" t="inlineStr">
        <is>
          <t>Roguelike Deckbuilder · Dungeon Crawler · Adventure · Roguelike · Gambling · Cats · Turn-Based Combat · Deckbuilding</t>
        </is>
      </c>
    </row>
    <row r="516" ht="15" customHeight="1" s="78">
      <c r="A516" s="152" t="n">
        <v>3541000</v>
      </c>
      <c r="B516" s="152" t="inlineStr">
        <is>
          <t>Kingdom Loop</t>
        </is>
      </c>
      <c r="C516" s="152" t="n">
        <v>2026</v>
      </c>
      <c r="D516" s="153" t="n">
        <v>12.99</v>
      </c>
      <c r="E516" s="154" t="n">
        <v>873</v>
      </c>
      <c r="F516" s="152" t="n">
        <v>56</v>
      </c>
      <c r="G516" s="152" t="inlineStr">
        <is>
          <t>ROOT GAMES</t>
        </is>
      </c>
      <c r="H516" s="152" t="inlineStr">
        <is>
          <t>Roguelike Deckbuilder · Replay Value · Card Game · Auto Battler · Deckbuilding · Roguelike · Turn-Based Strategy · Turn-Based Combat</t>
        </is>
      </c>
    </row>
    <row r="517" ht="15" customHeight="1" s="78">
      <c r="A517" s="149" t="n">
        <v>4771890</v>
      </c>
      <c r="B517" s="149" t="inlineStr">
        <is>
          <t>Nightmare Raid: Blood Card Storm</t>
        </is>
      </c>
      <c r="C517" s="149" t="n">
        <v>2026</v>
      </c>
      <c r="D517" s="150" t="n">
        <v>5.99</v>
      </c>
      <c r="E517" s="151" t="n">
        <v>867</v>
      </c>
      <c r="F517" s="149" t="n">
        <v>86</v>
      </c>
      <c r="G517" s="149" t="inlineStr">
        <is>
          <t>Bloodforge Studio</t>
        </is>
      </c>
      <c r="H517" s="149" t="inlineStr">
        <is>
          <t>Action · Card Battler · Strategy · Dungeon Crawler · Card Game · Deckbuilding · Turn-Based Combat · Dark Fantasy</t>
        </is>
      </c>
    </row>
    <row r="518" ht="15" customHeight="1" s="78">
      <c r="A518" s="152" t="n">
        <v>2013080</v>
      </c>
      <c r="B518" s="152" t="inlineStr">
        <is>
          <t>Unders_core</t>
        </is>
      </c>
      <c r="C518" s="152" t="n">
        <v>2022</v>
      </c>
      <c r="D518" s="153" t="n">
        <v>11.99</v>
      </c>
      <c r="E518" s="154" t="n">
        <v>862</v>
      </c>
      <c r="F518" s="152" t="n">
        <v>63</v>
      </c>
      <c r="G518" s="152" t="inlineStr">
        <is>
          <t>Kresent</t>
        </is>
      </c>
      <c r="H518" s="152" t="inlineStr">
        <is>
          <t>Early Access · Roguelike Deckbuilder · Card Game · Card Battler · Adventure · Roguelike · Deckbuilding · Turn-Based</t>
        </is>
      </c>
    </row>
    <row r="519" ht="15" customHeight="1" s="78">
      <c r="A519" s="149" t="n">
        <v>2071390</v>
      </c>
      <c r="B519" s="149" t="inlineStr">
        <is>
          <t>Chess: The Lost Pieces</t>
        </is>
      </c>
      <c r="C519" s="149" t="n">
        <v>2023</v>
      </c>
      <c r="D519" s="150" t="n">
        <v>7.99</v>
      </c>
      <c r="E519" s="151" t="n">
        <v>842</v>
      </c>
      <c r="F519" s="149" t="n">
        <v>73</v>
      </c>
      <c r="G519" s="149" t="inlineStr">
        <is>
          <t>Yağız Selimoğlu</t>
        </is>
      </c>
      <c r="H519" s="149" t="inlineStr">
        <is>
          <t>Strategy · Chess · Roguelike · Board Game · Turn-Based Tactics · Turn-Based Strategy · Memes · 2D</t>
        </is>
      </c>
    </row>
    <row r="520" ht="15" customHeight="1" s="78">
      <c r="A520" s="152" t="n">
        <v>1960330</v>
      </c>
      <c r="B520" s="152" t="inlineStr">
        <is>
          <t>Alchemia: Creatio Ex Nihilo</t>
        </is>
      </c>
      <c r="C520" s="152" t="n">
        <v>2025</v>
      </c>
      <c r="D520" s="153" t="n">
        <v>19.99</v>
      </c>
      <c r="E520" s="154" t="n">
        <v>833</v>
      </c>
      <c r="F520" s="152" t="n">
        <v>86</v>
      </c>
      <c r="G520" s="152" t="inlineStr">
        <is>
          <t>Space Paca Games</t>
        </is>
      </c>
      <c r="H520" s="152" t="inlineStr">
        <is>
          <t>Crafting · Strategy · Roguelite · Turn-Based Strategy · Roguelike · 2D · Choices Matter · Deckbuilding</t>
        </is>
      </c>
    </row>
    <row r="521" ht="15" customHeight="1" s="78">
      <c r="A521" s="149" t="n">
        <v>3343940</v>
      </c>
      <c r="B521" s="149" t="inlineStr">
        <is>
          <t>Spin Forward</t>
        </is>
      </c>
      <c r="C521" s="149" t="n">
        <v>2025</v>
      </c>
      <c r="D521" s="150" t="n">
        <v>3.99</v>
      </c>
      <c r="E521" s="151" t="n">
        <v>833</v>
      </c>
      <c r="F521" s="149" t="n">
        <v>88</v>
      </c>
      <c r="G521" s="149" t="inlineStr">
        <is>
          <t>Bean and Pea Studio</t>
        </is>
      </c>
      <c r="H521" s="149" t="inlineStr">
        <is>
          <t>Roguelike Deckbuilder · Deckbuilding · Perma Death · Replay Value · Roguelike · Idler · Card Battler · RPG</t>
        </is>
      </c>
    </row>
    <row r="522" ht="15" customHeight="1" s="78">
      <c r="A522" s="152" t="n">
        <v>3669450</v>
      </c>
      <c r="B522" s="152" t="inlineStr">
        <is>
          <t>Pantheion</t>
        </is>
      </c>
      <c r="C522" s="152" t="n">
        <v>2025</v>
      </c>
      <c r="D522" s="153" t="n">
        <v>6.99</v>
      </c>
      <c r="E522" s="154" t="n">
        <v>818</v>
      </c>
      <c r="F522" s="152" t="n">
        <v>86</v>
      </c>
      <c r="G522" s="152" t="inlineStr">
        <is>
          <t>Reija</t>
        </is>
      </c>
      <c r="H522" s="152" t="inlineStr">
        <is>
          <t>Roguelike Deckbuilder · Card Game · Card Battler · Roguelike · Deckbuilding · Turn-Based · Puzzle · Strategy</t>
        </is>
      </c>
    </row>
    <row r="523" ht="15" customHeight="1" s="78">
      <c r="A523" s="149" t="n">
        <v>2349180</v>
      </c>
      <c r="B523" s="149" t="inlineStr">
        <is>
          <t>空と無垢の6機</t>
        </is>
      </c>
      <c r="C523" s="149" t="n">
        <v>2024</v>
      </c>
      <c r="D523" s="150" t="n">
        <v>12.99</v>
      </c>
      <c r="E523" s="151" t="n">
        <v>804</v>
      </c>
      <c r="F523" s="149" t="n">
        <v>89</v>
      </c>
      <c r="G523" s="149" t="inlineStr">
        <is>
          <t>yondray</t>
        </is>
      </c>
      <c r="H523" s="149" t="inlineStr">
        <is>
          <t>Simulation · Adventure · Roguelike Deckbuilder · Roguelike · Singleplayer · Indie</t>
        </is>
      </c>
    </row>
    <row r="524" ht="15" customHeight="1" s="78">
      <c r="A524" s="152" t="n">
        <v>1461960</v>
      </c>
      <c r="B524" s="152" t="inlineStr">
        <is>
          <t>Baby Goat Billy</t>
        </is>
      </c>
      <c r="C524" s="152" t="n">
        <v>2022</v>
      </c>
      <c r="D524" s="153" t="n">
        <v>4.99</v>
      </c>
      <c r="E524" s="154" t="n">
        <v>802</v>
      </c>
      <c r="F524" s="152" t="n">
        <v>88</v>
      </c>
      <c r="G524" s="152" t="inlineStr">
        <is>
          <t>Studio 90</t>
        </is>
      </c>
      <c r="H524" s="152" t="inlineStr">
        <is>
          <t>Roguelike Deckbuilder · Roguelite · Card Battler · 3D · Cute · Card Game · Deckbuilding · Third Person</t>
        </is>
      </c>
    </row>
    <row r="525" ht="15" customHeight="1" s="78">
      <c r="A525" s="149" t="n">
        <v>2775160</v>
      </c>
      <c r="B525" s="149" t="inlineStr">
        <is>
          <t>Noah's Dilemma</t>
        </is>
      </c>
      <c r="C525" s="149" t="n">
        <v>2025</v>
      </c>
      <c r="D525" s="150" t="n">
        <v>9.99</v>
      </c>
      <c r="E525" s="151" t="n">
        <v>801</v>
      </c>
      <c r="F525" s="149" t="n">
        <v>91</v>
      </c>
      <c r="G525" s="149" t="inlineStr">
        <is>
          <t>Guanpeng Chen</t>
        </is>
      </c>
      <c r="H525" s="149" t="inlineStr">
        <is>
          <t>Strategy · Roguelite · Management · Turn-Based Strategy · Auto Battler · Resource Management · Turn-Based Tactics · Turn-Based Combat</t>
        </is>
      </c>
    </row>
    <row r="526" ht="15" customHeight="1" s="78">
      <c r="A526" s="152" t="n">
        <v>2800170</v>
      </c>
      <c r="B526" s="152" t="inlineStr">
        <is>
          <t>Shogun Curse</t>
        </is>
      </c>
      <c r="C526" s="152" t="n">
        <v>2024</v>
      </c>
      <c r="D526" s="153" t="n">
        <v>9.99</v>
      </c>
      <c r="E526" s="154" t="n">
        <v>789</v>
      </c>
      <c r="F526" s="152" t="n">
        <v>66</v>
      </c>
      <c r="G526" s="152" t="inlineStr">
        <is>
          <t>Oh Baby Games</t>
        </is>
      </c>
      <c r="H526" s="152" t="inlineStr">
        <is>
          <t>Roguelike Deckbuilder · Card Game · Strategy · Singleplayer · Roguelike · Deckbuilding · Card Battler · Turn-Based Combat</t>
        </is>
      </c>
    </row>
    <row r="527" ht="15" customHeight="1" s="78">
      <c r="A527" s="149" t="n">
        <v>2997060</v>
      </c>
      <c r="B527" s="149" t="inlineStr">
        <is>
          <t>Hunt the Pale Gods</t>
        </is>
      </c>
      <c r="C527" s="149" t="n">
        <v>2025</v>
      </c>
      <c r="D527" s="150" t="n">
        <v>14.99</v>
      </c>
      <c r="E527" s="151" t="n">
        <v>788</v>
      </c>
      <c r="F527" s="149" t="n">
        <v>96</v>
      </c>
      <c r="G527" s="149" t="inlineStr">
        <is>
          <t>Nick Papageorgiou</t>
        </is>
      </c>
      <c r="H527" s="149" t="inlineStr">
        <is>
          <t>Deckbuilding · Card Battler · Roguelite · RPG · Card Game · Strategy · Roguelike · 2D</t>
        </is>
      </c>
    </row>
    <row r="528" ht="15" customHeight="1" s="78">
      <c r="A528" s="152" t="n">
        <v>3210490</v>
      </c>
      <c r="B528" s="152" t="inlineStr">
        <is>
          <t>Journey to the Void</t>
        </is>
      </c>
      <c r="C528" s="152" t="n">
        <v>2026</v>
      </c>
      <c r="D528" s="153" t="n">
        <v>14.99</v>
      </c>
      <c r="E528" s="154" t="n">
        <v>784</v>
      </c>
      <c r="F528" s="152" t="n">
        <v>93</v>
      </c>
      <c r="G528" s="152" t="inlineStr">
        <is>
          <t>RuneHeads</t>
        </is>
      </c>
      <c r="H528" s="152" t="inlineStr">
        <is>
          <t>Card Game · Deckbuilding · Card Battler · Strategy · Roguelike · RPG · Roguelike Deckbuilder · Roguelite</t>
        </is>
      </c>
    </row>
    <row r="529" ht="15" customHeight="1" s="78">
      <c r="A529" s="149" t="n">
        <v>2150910</v>
      </c>
      <c r="B529" s="149" t="inlineStr">
        <is>
          <t>Spellcats: Auto Card Tactics</t>
        </is>
      </c>
      <c r="C529" s="149" t="n">
        <v>2024</v>
      </c>
      <c r="D529" s="150" t="n">
        <v>9.99</v>
      </c>
      <c r="E529" s="151" t="n">
        <v>780</v>
      </c>
      <c r="F529" s="149" t="n">
        <v>70</v>
      </c>
      <c r="G529" s="149" t="inlineStr">
        <is>
          <t>Nintai Studios</t>
        </is>
      </c>
      <c r="H529" s="149" t="inlineStr">
        <is>
          <t>Roguelike Deckbuilder · Deckbuilding · Card Game · Singleplayer · Auto Battler · Turn-Based · Card Battler · Strategy</t>
        </is>
      </c>
    </row>
    <row r="530" ht="15" customHeight="1" s="78">
      <c r="A530" s="152" t="n">
        <v>1344210</v>
      </c>
      <c r="B530" s="152" t="inlineStr">
        <is>
          <t>Mysteries Of Darkness</t>
        </is>
      </c>
      <c r="C530" s="152" t="n">
        <v>2022</v>
      </c>
      <c r="D530" s="153" t="n">
        <v>4.99</v>
      </c>
      <c r="E530" s="154" t="n">
        <v>778</v>
      </c>
      <c r="F530" s="152" t="n">
        <v>87</v>
      </c>
      <c r="G530" s="152" t="inlineStr">
        <is>
          <t>Mercier Christophe</t>
        </is>
      </c>
      <c r="H530" s="152" t="inlineStr">
        <is>
          <t>Card Game · Mystery Dungeon · Strategy · 2D · Early Access · Deckbuilding · Fantasy · Traditional Roguelike</t>
        </is>
      </c>
    </row>
    <row r="531" ht="15" customHeight="1" s="78">
      <c r="A531" s="149" t="n">
        <v>2358060</v>
      </c>
      <c r="B531" s="149" t="inlineStr">
        <is>
          <t>Card Artisan</t>
        </is>
      </c>
      <c r="C531" s="149" t="n">
        <v>2025</v>
      </c>
      <c r="D531" s="150" t="n">
        <v>12.99</v>
      </c>
      <c r="E531" s="151" t="n">
        <v>774</v>
      </c>
      <c r="F531" s="149" t="n">
        <v>92</v>
      </c>
      <c r="G531" s="149" t="inlineStr">
        <is>
          <t>Fullen Games</t>
        </is>
      </c>
      <c r="H531" s="149" t="inlineStr">
        <is>
          <t>Card Battler · Roguelike · Deckbuilding · Moddable · Singleplayer · Procedural Generation · Card Game · RPG</t>
        </is>
      </c>
    </row>
    <row r="532" ht="15" customHeight="1" s="78">
      <c r="A532" s="152" t="n">
        <v>3530490</v>
      </c>
      <c r="B532" s="152" t="inlineStr">
        <is>
          <t>Fadedlands: The Reckless Squad</t>
        </is>
      </c>
      <c r="C532" s="152" t="n">
        <v>2025</v>
      </c>
      <c r="D532" s="153" t="n">
        <v>5.99</v>
      </c>
      <c r="E532" s="154" t="n">
        <v>774</v>
      </c>
      <c r="F532" s="152" t="n">
        <v>98</v>
      </c>
      <c r="G532" s="152" t="inlineStr">
        <is>
          <t>ForindGames</t>
        </is>
      </c>
      <c r="H532" s="152" t="inlineStr">
        <is>
          <t>Strategy · Roguelike Deckbuilder · RPG · Turn-Based Strategy · Roguelite · Turn-Based Combat · RTS · Roguelike</t>
        </is>
      </c>
    </row>
    <row r="533" ht="15" customHeight="1" s="78">
      <c r="A533" s="149" t="n">
        <v>2609810</v>
      </c>
      <c r="B533" s="149" t="inlineStr">
        <is>
          <t>Monster Girl Descent</t>
        </is>
      </c>
      <c r="C533" s="149" t="n">
        <v>2024</v>
      </c>
      <c r="D533" s="150" t="n">
        <v>11.99</v>
      </c>
      <c r="E533" s="151" t="n">
        <v>769</v>
      </c>
      <c r="F533" s="149" t="n">
        <v>60</v>
      </c>
      <c r="G533" s="149" t="inlineStr">
        <is>
          <t>MGGEDev</t>
        </is>
      </c>
      <c r="H533" s="149" t="inlineStr">
        <is>
          <t>Sexual Content · Hentai · Nudity · Anime · Roguelike Deckbuilder · Card Battler · Roguelite · Roguelike</t>
        </is>
      </c>
    </row>
    <row r="534" ht="15" customHeight="1" s="78">
      <c r="A534" s="152" t="n">
        <v>1383510</v>
      </c>
      <c r="B534" s="152" t="inlineStr">
        <is>
          <t>Dark Stone: The Lightseeker</t>
        </is>
      </c>
      <c r="C534" s="152" t="n">
        <v>2020</v>
      </c>
      <c r="D534" s="153" t="n">
        <v>19.99</v>
      </c>
      <c r="E534" s="154" t="n">
        <v>767</v>
      </c>
      <c r="F534" s="152" t="n">
        <v>94</v>
      </c>
      <c r="G534" s="152" t="inlineStr">
        <is>
          <t>Jinny Lab Inc.</t>
        </is>
      </c>
      <c r="H534" s="152" t="inlineStr">
        <is>
          <t>Roguelike · Strategy · Deckbuilding · Turn-Based Tactics · Dark Fantasy · Singleplayer · Medieval · 2D</t>
        </is>
      </c>
    </row>
    <row r="535" ht="15" customHeight="1" s="78">
      <c r="A535" s="149" t="n">
        <v>3810010</v>
      </c>
      <c r="B535" s="149" t="inlineStr">
        <is>
          <t>Overdrawn</t>
        </is>
      </c>
      <c r="C535" s="149" t="n">
        <v>2025</v>
      </c>
      <c r="D535" s="150" t="n">
        <v>2.99</v>
      </c>
      <c r="E535" s="151" t="n">
        <v>765</v>
      </c>
      <c r="F535" s="149" t="n">
        <v>95</v>
      </c>
      <c r="G535" s="149" t="inlineStr">
        <is>
          <t>Rethuna Games</t>
        </is>
      </c>
      <c r="H535" s="149" t="inlineStr">
        <is>
          <t>Roguelike Deckbuilder · Strategy · Card Game · Card Battler · Turn-Based Strategy · Roguelike · 2D · Deckbuilding</t>
        </is>
      </c>
    </row>
    <row r="536" ht="15" customHeight="1" s="78">
      <c r="A536" s="152" t="n">
        <v>4959800</v>
      </c>
      <c r="B536" s="152" t="inlineStr">
        <is>
          <t>Pool Shark</t>
        </is>
      </c>
      <c r="C536" s="152" t="n">
        <v>2026</v>
      </c>
      <c r="D536" s="153" t="n">
        <v>0</v>
      </c>
      <c r="E536" s="154" t="n">
        <v>756</v>
      </c>
      <c r="F536" s="152" t="n">
        <v>100</v>
      </c>
      <c r="G536" s="152" t="inlineStr">
        <is>
          <t>Motivation Stack LLC</t>
        </is>
      </c>
      <c r="H536" s="152" t="inlineStr">
        <is>
          <t>Sports · Roguelite · PvP · Roguelike Deckbuilder · Casual · Difficult · Billiards · Arcade</t>
        </is>
      </c>
    </row>
    <row r="537" ht="15" customHeight="1" s="78">
      <c r="A537" s="149" t="n">
        <v>3631830</v>
      </c>
      <c r="B537" s="149" t="inlineStr">
        <is>
          <t>Dice To Pay</t>
        </is>
      </c>
      <c r="C537" s="149" t="n">
        <v>2025</v>
      </c>
      <c r="D537" s="150" t="n">
        <v>2.99</v>
      </c>
      <c r="E537" s="151" t="n">
        <v>755</v>
      </c>
      <c r="F537" s="149" t="n">
        <v>100</v>
      </c>
      <c r="G537" s="149" t="inlineStr">
        <is>
          <t>Dave Hive</t>
        </is>
      </c>
      <c r="H537" s="149" t="inlineStr">
        <is>
          <t>Card Battler · Turn-Based · Roguelike Deckbuilder · Card Game · Roguelike · Turn-Based Strategy · Turn-Based Combat · Strategy</t>
        </is>
      </c>
    </row>
    <row r="538" ht="15" customHeight="1" s="78">
      <c r="A538" s="152" t="n">
        <v>3656720</v>
      </c>
      <c r="B538" s="152" t="inlineStr">
        <is>
          <t>Dungeon Raid</t>
        </is>
      </c>
      <c r="C538" s="152" t="n">
        <v>2026</v>
      </c>
      <c r="D538" s="153" t="n">
        <v>9.99</v>
      </c>
      <c r="E538" s="154" t="n">
        <v>735</v>
      </c>
      <c r="F538" s="152" t="n">
        <v>79</v>
      </c>
      <c r="G538" s="152" t="inlineStr">
        <is>
          <t>4Cats</t>
        </is>
      </c>
      <c r="H538" s="152" t="inlineStr">
        <is>
          <t>Roguelike · Card Game · Deckbuilding · Strategy · Roguelike Deckbuilder · Exploration · Card Battler · Dungeon Crawler</t>
        </is>
      </c>
    </row>
    <row r="539" ht="15" customHeight="1" s="78">
      <c r="A539" s="149" t="n">
        <v>2987110</v>
      </c>
      <c r="B539" s="149" t="inlineStr">
        <is>
          <t>Necromancer For A Week</t>
        </is>
      </c>
      <c r="C539" s="149" t="n">
        <v>2025</v>
      </c>
      <c r="D539" s="150" t="n">
        <v>7.99</v>
      </c>
      <c r="E539" s="151" t="n">
        <v>735</v>
      </c>
      <c r="F539" s="149" t="n">
        <v>87</v>
      </c>
      <c r="G539" s="149" t="inlineStr">
        <is>
          <t>QuietPenguinGaming</t>
        </is>
      </c>
      <c r="H539" s="149" t="inlineStr">
        <is>
          <t>Roguelike Deckbuilder · Replay Value · Roguelike · Deckbuilding · Strategy · Creature Collector · Turn-Based Combat · Perma Death</t>
        </is>
      </c>
    </row>
    <row r="540" ht="15" customHeight="1" s="78">
      <c r="A540" s="152" t="n">
        <v>3399130</v>
      </c>
      <c r="B540" s="152" t="inlineStr">
        <is>
          <t>Dominova</t>
        </is>
      </c>
      <c r="C540" s="152" t="n">
        <v>2025</v>
      </c>
      <c r="D540" s="153" t="n">
        <v>9.99</v>
      </c>
      <c r="E540" s="154" t="n">
        <v>728</v>
      </c>
      <c r="F540" s="152" t="n">
        <v>97</v>
      </c>
      <c r="G540" s="152" t="inlineStr">
        <is>
          <t>Glenn Verheij</t>
        </is>
      </c>
      <c r="H540" s="152" t="inlineStr">
        <is>
          <t>Roguelike Deckbuilder · Deckbuilding · Roguelite · Turn-Based Strategy · Difficult · Strategy · Replay Value · Puzzle</t>
        </is>
      </c>
    </row>
    <row r="541" ht="15" customHeight="1" s="78">
      <c r="A541" s="149" t="n">
        <v>3827220</v>
      </c>
      <c r="B541" s="149" t="inlineStr">
        <is>
          <t>Monster Tavern</t>
        </is>
      </c>
      <c r="C541" s="149" t="n">
        <v>2026</v>
      </c>
      <c r="D541" s="150" t="n">
        <v>11.99</v>
      </c>
      <c r="E541" s="151" t="n">
        <v>727</v>
      </c>
      <c r="F541" s="149" t="n">
        <v>100</v>
      </c>
      <c r="G541" s="149" t="inlineStr">
        <is>
          <t>Toki Games LLC</t>
        </is>
      </c>
      <c r="H541" s="149" t="inlineStr">
        <is>
          <t>Card Game · Roguelike Deckbuilder · Deckbuilding · Roguelite · Card Battler · Strategy · Singleplayer · Roguelike</t>
        </is>
      </c>
    </row>
    <row r="542" ht="15" customHeight="1" s="78">
      <c r="A542" s="152" t="n">
        <v>1577460</v>
      </c>
      <c r="B542" s="152" t="inlineStr">
        <is>
          <t>Gamble Tower</t>
        </is>
      </c>
      <c r="C542" s="152" t="n">
        <v>2023</v>
      </c>
      <c r="D542" s="153" t="n">
        <v>14.99</v>
      </c>
      <c r="E542" s="154" t="n">
        <v>724</v>
      </c>
      <c r="F542" s="152" t="n">
        <v>97</v>
      </c>
      <c r="G542" s="152" t="inlineStr">
        <is>
          <t>Indiebuild</t>
        </is>
      </c>
      <c r="H542" s="152" t="inlineStr">
        <is>
          <t>Strategy · Roguelike Deckbuilder · Gambling · Roguelite · Deckbuilding · Card Battler · Turn-Based Combat · Turn-Based Strategy</t>
        </is>
      </c>
    </row>
    <row r="543" ht="15" customHeight="1" s="78">
      <c r="A543" s="149" t="n">
        <v>2771180</v>
      </c>
      <c r="B543" s="149" t="inlineStr">
        <is>
          <t>Lucky Farm</t>
        </is>
      </c>
      <c r="C543" s="149" t="n">
        <v>2024</v>
      </c>
      <c r="D543" s="150" t="n">
        <v>2.99</v>
      </c>
      <c r="E543" s="151" t="n">
        <v>704</v>
      </c>
      <c r="F543" s="149" t="n">
        <v>84</v>
      </c>
      <c r="G543" s="149" t="inlineStr">
        <is>
          <t>帝歌 DIGEGames</t>
        </is>
      </c>
      <c r="H543" s="149" t="inlineStr">
        <is>
          <t>Roguelike Deckbuilder · Deckbuilding · Roguelite · Farming · Strategy · Management · Fishing · Resource Management</t>
        </is>
      </c>
    </row>
    <row r="544" ht="15" customHeight="1" s="78">
      <c r="A544" s="152" t="n">
        <v>3726190</v>
      </c>
      <c r="B544" s="152" t="inlineStr">
        <is>
          <t>Dicey Hacker 1999</t>
        </is>
      </c>
      <c r="C544" s="152" t="n">
        <v>2026</v>
      </c>
      <c r="D544" s="153" t="n">
        <v>7.99</v>
      </c>
      <c r="E544" s="154" t="n">
        <v>702</v>
      </c>
      <c r="F544" s="152" t="n">
        <v>89</v>
      </c>
      <c r="G544" s="152" t="inlineStr">
        <is>
          <t>HuanMos Game</t>
        </is>
      </c>
      <c r="H544" s="152" t="inlineStr">
        <is>
          <t>Strategy · Deckbuilding · Roguelike Deckbuilder · Card Battler · Turn-Based Combat · Dice · Roguelike · Roguelite</t>
        </is>
      </c>
    </row>
    <row r="545" ht="15" customHeight="1" s="78">
      <c r="A545" s="149" t="n">
        <v>3795960</v>
      </c>
      <c r="B545" s="149" t="inlineStr">
        <is>
          <t>Solitaire Battle</t>
        </is>
      </c>
      <c r="C545" s="149" t="n">
        <v>2026</v>
      </c>
      <c r="D545" s="150" t="n">
        <v>4.99</v>
      </c>
      <c r="E545" s="151" t="n">
        <v>699</v>
      </c>
      <c r="F545" s="149" t="n">
        <v>97</v>
      </c>
      <c r="G545" s="149" t="inlineStr">
        <is>
          <t>diabolodev</t>
        </is>
      </c>
      <c r="H545" s="149" t="inlineStr">
        <is>
          <t>Roguelike Deckbuilder · Solitaire · Auto Battler · Deckbuilding · Card Battler · Card Game · Strategy · Singleplayer</t>
        </is>
      </c>
    </row>
    <row r="546" ht="15" customHeight="1" s="78">
      <c r="A546" s="152" t="n">
        <v>2584850</v>
      </c>
      <c r="B546" s="152" t="inlineStr">
        <is>
          <t>CHUTNEY: Space Survivor</t>
        </is>
      </c>
      <c r="C546" s="152" t="n">
        <v>2023</v>
      </c>
      <c r="D546" s="153" t="n">
        <v>0</v>
      </c>
      <c r="E546" s="154" t="n">
        <v>682</v>
      </c>
      <c r="F546" s="152" t="n">
        <v>95</v>
      </c>
      <c r="G546" s="152" t="inlineStr">
        <is>
          <t>Fourthought</t>
        </is>
      </c>
      <c r="H546" s="152" t="inlineStr">
        <is>
          <t>Action · Singleplayer · 3D · Action Roguelike · Bullet Hell · Combat · Comic Book · Deckbuilding</t>
        </is>
      </c>
    </row>
    <row r="547" ht="15" customHeight="1" s="78">
      <c r="A547" s="149" t="n">
        <v>3157680</v>
      </c>
      <c r="B547" s="149" t="inlineStr">
        <is>
          <t>Card of Legend</t>
        </is>
      </c>
      <c r="C547" s="149" t="n">
        <v>2025</v>
      </c>
      <c r="D547" s="150" t="n">
        <v>6.99</v>
      </c>
      <c r="E547" s="151" t="n">
        <v>675</v>
      </c>
      <c r="F547" s="149" t="n">
        <v>55</v>
      </c>
      <c r="G547" s="149" t="inlineStr">
        <is>
          <t>Anchor Node</t>
        </is>
      </c>
      <c r="H547" s="149" t="inlineStr">
        <is>
          <t>Strategy · Card Game · Roguelike · Card Battler · Trading Card Game · Deckbuilding · Roguelike Deckbuilder · PvP</t>
        </is>
      </c>
    </row>
    <row r="548" ht="15" customHeight="1" s="78">
      <c r="A548" s="152" t="n">
        <v>2205260</v>
      </c>
      <c r="B548" s="152" t="inlineStr">
        <is>
          <t>Godfist</t>
        </is>
      </c>
      <c r="C548" s="152" t="n">
        <v>2023</v>
      </c>
      <c r="D548" s="153" t="n">
        <v>3.99</v>
      </c>
      <c r="E548" s="154" t="n">
        <v>674</v>
      </c>
      <c r="F548" s="152" t="n">
        <v>88</v>
      </c>
      <c r="G548" s="152" t="inlineStr">
        <is>
          <t>Icehelm</t>
        </is>
      </c>
      <c r="H548" s="152" t="inlineStr">
        <is>
          <t>Action · Action Roguelike · Hack and Slash · Roguelite · Martial Arts · Mythology · Dark Fantasy · Dark</t>
        </is>
      </c>
    </row>
    <row r="549" ht="15" customHeight="1" s="78">
      <c r="A549" s="149" t="n">
        <v>2116780</v>
      </c>
      <c r="B549" s="149" t="inlineStr">
        <is>
          <t>Path to Warband</t>
        </is>
      </c>
      <c r="C549" s="149" t="n">
        <v>2023</v>
      </c>
      <c r="D549" s="150" t="n">
        <v>14.99</v>
      </c>
      <c r="E549" s="151" t="n">
        <v>669</v>
      </c>
      <c r="F549" s="149" t="n">
        <v>67</v>
      </c>
      <c r="G549" s="149" t="inlineStr">
        <is>
          <t>ForeShine</t>
        </is>
      </c>
      <c r="H549" s="149" t="inlineStr">
        <is>
          <t>Roguelike Deckbuilder · Card Battler · Roguelite · Auto Battler · PvE · Card Game · Board Game · Turn-Based Strategy</t>
        </is>
      </c>
    </row>
    <row r="550" ht="15" customHeight="1" s="78">
      <c r="A550" s="152" t="n">
        <v>2195650</v>
      </c>
      <c r="B550" s="152" t="inlineStr">
        <is>
          <t>Lucky Island</t>
        </is>
      </c>
      <c r="C550" s="152" t="n">
        <v>2024</v>
      </c>
      <c r="D550" s="153" t="n">
        <v>9.99</v>
      </c>
      <c r="E550" s="154" t="n">
        <v>665</v>
      </c>
      <c r="F550" s="152" t="n">
        <v>69</v>
      </c>
      <c r="G550" s="152" t="inlineStr">
        <is>
          <t>Just L Studio</t>
        </is>
      </c>
      <c r="H550" s="152" t="inlineStr">
        <is>
          <t>Strategy · Roguelike Deckbuilder · Building · Casual · Resource Management · Pixel Graphics · Automation · Roguelike</t>
        </is>
      </c>
    </row>
    <row r="551" ht="15" customHeight="1" s="78">
      <c r="A551" s="149" t="n">
        <v>3007390</v>
      </c>
      <c r="B551" s="149" t="inlineStr">
        <is>
          <t>Duck N Roll</t>
        </is>
      </c>
      <c r="C551" s="149" t="n">
        <v>2024</v>
      </c>
      <c r="D551" s="150" t="n">
        <v>6.99</v>
      </c>
      <c r="E551" s="151" t="n">
        <v>663</v>
      </c>
      <c r="F551" s="149" t="n">
        <v>97</v>
      </c>
      <c r="G551" s="149" t="inlineStr">
        <is>
          <t>GoldPumpkin Inc.</t>
        </is>
      </c>
      <c r="H551" s="149" t="inlineStr">
        <is>
          <t>Turn-Based Strategy · Roguelike Deckbuilder · Choices Matter · Card Battler · Roguelite · Turn-Based Combat · Roguelike · Pixel Graphics</t>
        </is>
      </c>
    </row>
    <row r="552" ht="15" customHeight="1" s="78">
      <c r="A552" s="152" t="n">
        <v>2408870</v>
      </c>
      <c r="B552" s="152" t="inlineStr">
        <is>
          <t>Hex Strikers</t>
        </is>
      </c>
      <c r="C552" s="152" t="n">
        <v>2026</v>
      </c>
      <c r="D552" s="153" t="n">
        <v>0</v>
      </c>
      <c r="E552" s="154" t="n">
        <v>655</v>
      </c>
      <c r="F552" s="152" t="n">
        <v>94</v>
      </c>
      <c r="G552" s="152" t="inlineStr">
        <is>
          <t>Sid Fish Games; Foster Turtle</t>
        </is>
      </c>
      <c r="H552" s="152" t="inlineStr">
        <is>
          <t>Deckbuilding · Roguelike · Score Attack · Indie · Roguelike Deckbuilder · Strategy · Singleplayer · Free to Play</t>
        </is>
      </c>
    </row>
    <row r="553" ht="15" customHeight="1" s="78">
      <c r="A553" s="149" t="n">
        <v>3823430</v>
      </c>
      <c r="B553" s="149" t="inlineStr">
        <is>
          <t>Midnight Study</t>
        </is>
      </c>
      <c r="C553" s="149" t="n">
        <v>2025</v>
      </c>
      <c r="D553" s="150" t="n">
        <v>9.99</v>
      </c>
      <c r="E553" s="151" t="n">
        <v>647</v>
      </c>
      <c r="F553" s="149" t="n">
        <v>88</v>
      </c>
      <c r="G553" s="149" t="inlineStr">
        <is>
          <t>Geniesoft Inc.</t>
        </is>
      </c>
      <c r="H553" s="149" t="inlineStr">
        <is>
          <t>Fantasy · Indie · Female Protagonist · Turn-Based Combat · PvE · Perma Death · Casual · Roguelike</t>
        </is>
      </c>
    </row>
    <row r="554" ht="15" customHeight="1" s="78">
      <c r="A554" s="152" t="n">
        <v>3156070</v>
      </c>
      <c r="B554" s="152" t="inlineStr">
        <is>
          <t>Trailblader</t>
        </is>
      </c>
      <c r="C554" s="152" t="n">
        <v>2025</v>
      </c>
      <c r="D554" s="153" t="n">
        <v>4.99</v>
      </c>
      <c r="E554" s="154" t="n">
        <v>647</v>
      </c>
      <c r="F554" s="152" t="n">
        <v>90</v>
      </c>
      <c r="G554" s="152" t="inlineStr">
        <is>
          <t>迟到的南雨亭</t>
        </is>
      </c>
      <c r="H554" s="152" t="inlineStr">
        <is>
          <t>Strategy · Fantasy · Roguelike · 4X · Deckbuilding · Choices Matter · Turn-Based Strategy · Management</t>
        </is>
      </c>
    </row>
    <row r="555" ht="15" customHeight="1" s="78">
      <c r="A555" s="149" t="n">
        <v>3453330</v>
      </c>
      <c r="B555" s="149" t="inlineStr">
        <is>
          <t>Cult Leader Simulator</t>
        </is>
      </c>
      <c r="C555" s="149" t="n">
        <v>2025</v>
      </c>
      <c r="D555" s="150" t="n">
        <v>17.99</v>
      </c>
      <c r="E555" s="151" t="n">
        <v>646</v>
      </c>
      <c r="F555" s="149" t="n">
        <v>57</v>
      </c>
      <c r="G555" s="149" t="inlineStr">
        <is>
          <t>Nhneno</t>
        </is>
      </c>
      <c r="H555" s="149" t="inlineStr">
        <is>
          <t>Strategy · Card Game · Choices Matter · Multiple Endings · Roguelike Deckbuilder · Choose Your Own Adventure · Roguelike · Singleplayer</t>
        </is>
      </c>
    </row>
    <row r="556" ht="15" customHeight="1" s="78">
      <c r="A556" s="152" t="n">
        <v>3887360</v>
      </c>
      <c r="B556" s="152" t="inlineStr">
        <is>
          <t>Patterns Of The Oak</t>
        </is>
      </c>
      <c r="C556" s="152" t="n">
        <v>2025</v>
      </c>
      <c r="D556" s="153" t="n">
        <v>3.99</v>
      </c>
      <c r="E556" s="154" t="n">
        <v>646</v>
      </c>
      <c r="F556" s="152" t="n">
        <v>97</v>
      </c>
      <c r="G556" s="152" t="inlineStr">
        <is>
          <t>BossmobGames</t>
        </is>
      </c>
      <c r="H556" s="152" t="inlineStr">
        <is>
          <t>Card Battler · Card Game · Roguelike · Strategy · 2.5D · Deckbuilding · Turn-Based Combat · Hand-drawn</t>
        </is>
      </c>
    </row>
    <row r="557" ht="15" customHeight="1" s="78">
      <c r="A557" s="149" t="n">
        <v>4300180</v>
      </c>
      <c r="B557" s="149" t="inlineStr">
        <is>
          <t>Fruitbearer</t>
        </is>
      </c>
      <c r="C557" s="149" t="n">
        <v>2026</v>
      </c>
      <c r="D557" s="150" t="n">
        <v>8.99</v>
      </c>
      <c r="E557" s="151" t="n">
        <v>633</v>
      </c>
      <c r="F557" s="149" t="n">
        <v>98</v>
      </c>
      <c r="G557" s="149" t="inlineStr">
        <is>
          <t>Mangobits Studios; Aico Labs</t>
        </is>
      </c>
      <c r="H557" s="149" t="inlineStr">
        <is>
          <t>Turn-Based Strategy · Falling Blocks · Physics · Simulation · Score Attack · Roguelike · Roguelite · Roguelike Deckbuilder</t>
        </is>
      </c>
    </row>
    <row r="558" ht="15" customHeight="1" s="78">
      <c r="A558" s="152" t="n">
        <v>3438640</v>
      </c>
      <c r="B558" s="152" t="inlineStr">
        <is>
          <t>Dicey Bugs</t>
        </is>
      </c>
      <c r="C558" s="152" t="n">
        <v>2025</v>
      </c>
      <c r="D558" s="153" t="n">
        <v>9.99</v>
      </c>
      <c r="E558" s="154" t="n">
        <v>619</v>
      </c>
      <c r="F558" s="152" t="n">
        <v>100</v>
      </c>
      <c r="G558" s="152" t="inlineStr">
        <is>
          <t>ProdigalSon Games</t>
        </is>
      </c>
      <c r="H558" s="152" t="inlineStr">
        <is>
          <t>Roguelite · Turn-Based Strategy · Creature Collector · Dice · Deckbuilding · Turn-Based Combat · Strategy · Strategy RPG</t>
        </is>
      </c>
    </row>
    <row r="559" ht="15" customHeight="1" s="78">
      <c r="A559" s="149" t="n">
        <v>2853180</v>
      </c>
      <c r="B559" s="149" t="inlineStr">
        <is>
          <t>Seal the Rift</t>
        </is>
      </c>
      <c r="C559" s="149" t="n">
        <v>2024</v>
      </c>
      <c r="D559" s="150" t="n">
        <v>13.99</v>
      </c>
      <c r="E559" s="151" t="n">
        <v>613</v>
      </c>
      <c r="F559" s="149" t="n">
        <v>69</v>
      </c>
      <c r="G559" s="149" t="inlineStr">
        <is>
          <t>Game Dog Studios</t>
        </is>
      </c>
      <c r="H559" s="149" t="inlineStr">
        <is>
          <t>Strategy · Difficult · Card Game · Roguelike · Turn-Based Strategy · Card Battler · Roguelite · RPG</t>
        </is>
      </c>
    </row>
    <row r="560" ht="15" customHeight="1" s="78">
      <c r="A560" s="152" t="n">
        <v>2730680</v>
      </c>
      <c r="B560" s="152" t="inlineStr">
        <is>
          <t>Learn Japanese: Yuke and the Book of Yokai</t>
        </is>
      </c>
      <c r="C560" s="152" t="n">
        <v>2025</v>
      </c>
      <c r="D560" s="153" t="n">
        <v>13.99</v>
      </c>
      <c r="E560" s="154" t="n">
        <v>612</v>
      </c>
      <c r="F560" s="152" t="n">
        <v>89</v>
      </c>
      <c r="G560" s="152" t="inlineStr">
        <is>
          <t>lpares12</t>
        </is>
      </c>
      <c r="H560" s="152" t="inlineStr">
        <is>
          <t>Indie · Language Learning · Roguelike Deckbuilder · Action Roguelike · Strategy · Deckbuilding · Card Game · 2D</t>
        </is>
      </c>
    </row>
    <row r="561" ht="15" customHeight="1" s="78">
      <c r="A561" s="149" t="n">
        <v>2708720</v>
      </c>
      <c r="B561" s="149" t="inlineStr">
        <is>
          <t>MistsBook</t>
        </is>
      </c>
      <c r="C561" s="149" t="n">
        <v>2024</v>
      </c>
      <c r="D561" s="150" t="n">
        <v>11.99</v>
      </c>
      <c r="E561" s="151" t="n">
        <v>608</v>
      </c>
      <c r="F561" s="149" t="n">
        <v>100</v>
      </c>
      <c r="G561" s="149" t="inlineStr">
        <is>
          <t>Dehist Games</t>
        </is>
      </c>
      <c r="H561" s="149" t="inlineStr">
        <is>
          <t>Roguelike Deckbuilder · Deckbuilding · Card Game · Auto Battler · Roguelike · Roguelite · Automation · Strategy</t>
        </is>
      </c>
    </row>
    <row r="562" ht="15" customHeight="1" s="78">
      <c r="A562" s="152" t="n">
        <v>3003820</v>
      </c>
      <c r="B562" s="152" t="inlineStr">
        <is>
          <t>Age Of Privateer</t>
        </is>
      </c>
      <c r="C562" s="152" t="n">
        <v>2024</v>
      </c>
      <c r="D562" s="153" t="n">
        <v>0</v>
      </c>
      <c r="E562" s="154" t="n">
        <v>605</v>
      </c>
      <c r="F562" s="152" t="n">
        <v>54</v>
      </c>
      <c r="G562" s="152" t="inlineStr">
        <is>
          <t>Over Dog</t>
        </is>
      </c>
      <c r="H562" s="152" t="inlineStr">
        <is>
          <t>Card Battler · Roguelike Deckbuilder · Sailing · RTS · Pirates · Card Game · Deckbuilding · Strategy</t>
        </is>
      </c>
    </row>
    <row r="563" ht="15" customHeight="1" s="78">
      <c r="A563" s="149" t="n">
        <v>2992190</v>
      </c>
      <c r="B563" s="149" t="inlineStr">
        <is>
          <t>Blue Hunter</t>
        </is>
      </c>
      <c r="C563" s="149" t="n">
        <v>2025</v>
      </c>
      <c r="D563" s="150" t="n">
        <v>14.99</v>
      </c>
      <c r="E563" s="151" t="n">
        <v>604</v>
      </c>
      <c r="F563" s="149" t="n">
        <v>90</v>
      </c>
      <c r="G563" s="149" t="inlineStr">
        <is>
          <t>NourSaiFR</t>
        </is>
      </c>
      <c r="H563" s="149" t="inlineStr">
        <is>
          <t>Roguelike Deckbuilder · Card Game · Card Battler · Roguelike · Deckbuilding · Turn-Based · Strategy · Singleplayer</t>
        </is>
      </c>
    </row>
    <row r="564" ht="15" customHeight="1" s="78">
      <c r="A564" s="152" t="n">
        <v>3719450</v>
      </c>
      <c r="B564" s="152" t="inlineStr">
        <is>
          <t>Shuffles 'n Scuffles</t>
        </is>
      </c>
      <c r="C564" s="152" t="n">
        <v>2026</v>
      </c>
      <c r="D564" s="153" t="n">
        <v>14.99</v>
      </c>
      <c r="E564" s="154" t="n">
        <v>601</v>
      </c>
      <c r="F564" s="152" t="n">
        <v>97</v>
      </c>
      <c r="G564" s="152" t="inlineStr">
        <is>
          <t>Sour Circuit Studios</t>
        </is>
      </c>
      <c r="H564" s="152" t="inlineStr">
        <is>
          <t>Card Game · Strategy · Roguelite · Card Battler · Deckbuilding · Tabletop · Turn-Based Strategy · Roguelike</t>
        </is>
      </c>
    </row>
    <row r="565" ht="15" customHeight="1" s="78">
      <c r="A565" s="149" t="n">
        <v>2684510</v>
      </c>
      <c r="B565" s="149" t="inlineStr">
        <is>
          <t>Cards of Divinity</t>
        </is>
      </c>
      <c r="C565" s="149" t="n">
        <v>2025</v>
      </c>
      <c r="D565" s="150" t="n">
        <v>3.99</v>
      </c>
      <c r="E565" s="151" t="n">
        <v>591</v>
      </c>
      <c r="F565" s="149" t="n">
        <v>77</v>
      </c>
      <c r="G565" s="149" t="inlineStr">
        <is>
          <t>Lorrie Vimes</t>
        </is>
      </c>
      <c r="H565" s="149" t="inlineStr">
        <is>
          <t>Roguelike Deckbuilder · Card Battler · Card Game · Deckbuilding · Roguelite · Difficult · Turn-Based Combat · Realistic</t>
        </is>
      </c>
    </row>
    <row r="566" ht="15" customHeight="1" s="78">
      <c r="A566" s="152" t="n">
        <v>2906660</v>
      </c>
      <c r="B566" s="152" t="inlineStr">
        <is>
          <t>Conquer Lands</t>
        </is>
      </c>
      <c r="C566" s="152" t="n">
        <v>2025</v>
      </c>
      <c r="D566" s="153" t="n">
        <v>4.99</v>
      </c>
      <c r="E566" s="154" t="n">
        <v>590</v>
      </c>
      <c r="F566" s="152" t="n">
        <v>91</v>
      </c>
      <c r="G566" s="152" t="inlineStr">
        <is>
          <t>Virtual Fable</t>
        </is>
      </c>
      <c r="H566" s="152" t="inlineStr">
        <is>
          <t>Roguelike Deckbuilder · Card Game · Card Battler · Roguelike · Deckbuilding · Turn-Based · Strategy · Singleplayer</t>
        </is>
      </c>
    </row>
    <row r="567" ht="15" customHeight="1" s="78">
      <c r="A567" s="149" t="n">
        <v>4134700</v>
      </c>
      <c r="B567" s="149" t="inlineStr">
        <is>
          <t>Memoria Arcana</t>
        </is>
      </c>
      <c r="C567" s="149" t="n">
        <v>2026</v>
      </c>
      <c r="D567" s="150" t="n">
        <v>4.99</v>
      </c>
      <c r="E567" s="151" t="n">
        <v>588</v>
      </c>
      <c r="F567" s="149" t="n">
        <v>100</v>
      </c>
      <c r="G567" s="149" t="inlineStr">
        <is>
          <t>Reija</t>
        </is>
      </c>
      <c r="H567" s="149" t="inlineStr">
        <is>
          <t>Card Game · Strategy · Roguelike · Roguelike Deckbuilder · Deckbuilding · Casual · Singleplayer · Indie</t>
        </is>
      </c>
    </row>
    <row r="568" ht="15" customHeight="1" s="78">
      <c r="A568" s="152" t="n">
        <v>3205630</v>
      </c>
      <c r="B568" s="152" t="inlineStr">
        <is>
          <t>Arcane Ascent</t>
        </is>
      </c>
      <c r="C568" s="152" t="n">
        <v>2026</v>
      </c>
      <c r="D568" s="153" t="n">
        <v>14.99</v>
      </c>
      <c r="E568" s="154" t="n">
        <v>583</v>
      </c>
      <c r="F568" s="152" t="n">
        <v>84</v>
      </c>
      <c r="G568" s="152" t="inlineStr">
        <is>
          <t>Catbot Games</t>
        </is>
      </c>
      <c r="H568" s="152" t="inlineStr">
        <is>
          <t>Roguelike · Card Game · Deckbuilding · Strategy · Card Battler · Mystery Dungeon · Dungeon Crawler · Roguelike Deckbuilder</t>
        </is>
      </c>
    </row>
    <row r="569" ht="15" customHeight="1" s="78">
      <c r="A569" s="149" t="n">
        <v>1551050</v>
      </c>
      <c r="B569" s="149" t="inlineStr">
        <is>
          <t>Unsung Knight</t>
        </is>
      </c>
      <c r="C569" s="149" t="n">
        <v>2021</v>
      </c>
      <c r="D569" s="150" t="n">
        <v>1.99</v>
      </c>
      <c r="E569" s="151" t="n">
        <v>583</v>
      </c>
      <c r="F569" s="149" t="n">
        <v>68</v>
      </c>
      <c r="G569" s="149" t="inlineStr">
        <is>
          <t>Cole</t>
        </is>
      </c>
      <c r="H569" s="149" t="inlineStr">
        <is>
          <t>Strategy · Card Battler · Deckbuilding · Roguelike Deckbuilder · 2D Platformer · Card Game · 2D · Early Access</t>
        </is>
      </c>
    </row>
    <row r="570" ht="15" customHeight="1" s="78">
      <c r="A570" s="152" t="n">
        <v>3457930</v>
      </c>
      <c r="B570" s="152" t="inlineStr">
        <is>
          <t>Scrongly</t>
        </is>
      </c>
      <c r="C570" s="152" t="n">
        <v>2025</v>
      </c>
      <c r="D570" s="153" t="n">
        <v>0</v>
      </c>
      <c r="E570" s="154" t="n">
        <v>581</v>
      </c>
      <c r="F570" s="152" t="n">
        <v>94</v>
      </c>
      <c r="G570" s="152" t="inlineStr">
        <is>
          <t>Silver Dubloons</t>
        </is>
      </c>
      <c r="H570" s="152" t="inlineStr">
        <is>
          <t>Poker · Roguelike Deckbuilder · Deckbuilding · Roguelike · Card Game · Roguelite · Solitaire · 2D</t>
        </is>
      </c>
    </row>
    <row r="571" ht="15" customHeight="1" s="78">
      <c r="A571" s="149" t="n">
        <v>3299130</v>
      </c>
      <c r="B571" s="149" t="inlineStr">
        <is>
          <t>Mayhem Maidens</t>
        </is>
      </c>
      <c r="C571" s="149" t="n">
        <v>2025</v>
      </c>
      <c r="D571" s="150" t="n">
        <v>14.99</v>
      </c>
      <c r="E571" s="151" t="n">
        <v>567</v>
      </c>
      <c r="F571" s="149" t="n">
        <v>95</v>
      </c>
      <c r="G571" s="149" t="inlineStr">
        <is>
          <t>Game Studio Inc.; KADOKAWA</t>
        </is>
      </c>
      <c r="H571" s="149" t="inlineStr">
        <is>
          <t>Tower Defense · Singleplayer · Anime · Roguelike Deckbuilder · Female Protagonist · Pixel Graphics · 2D · Roguelite</t>
        </is>
      </c>
    </row>
    <row r="572" ht="15" customHeight="1" s="78">
      <c r="A572" s="152" t="n">
        <v>3799560</v>
      </c>
      <c r="B572" s="152" t="inlineStr">
        <is>
          <t>Grimslair</t>
        </is>
      </c>
      <c r="C572" s="152" t="n">
        <v>2026</v>
      </c>
      <c r="D572" s="153" t="n">
        <v>9.99</v>
      </c>
      <c r="E572" s="154" t="n">
        <v>564</v>
      </c>
      <c r="F572" s="152" t="n">
        <v>83</v>
      </c>
      <c r="G572" s="152" t="inlineStr">
        <is>
          <t>ThunderRam Studios</t>
        </is>
      </c>
      <c r="H572" s="152" t="inlineStr">
        <is>
          <t>Roguelike Deckbuilder · Card Game · Card Battler · Roguelike · Deckbuilding · Strategy · Time Manipulation · Turn-Based</t>
        </is>
      </c>
    </row>
    <row r="573" ht="15" customHeight="1" s="78">
      <c r="A573" s="149" t="n">
        <v>4332200</v>
      </c>
      <c r="B573" s="149" t="inlineStr">
        <is>
          <t>King’s Well</t>
        </is>
      </c>
      <c r="C573" s="149" t="n">
        <v>2026</v>
      </c>
      <c r="D573" s="150" t="n">
        <v>14.99</v>
      </c>
      <c r="E573" s="151" t="n">
        <v>558</v>
      </c>
      <c r="F573" s="149" t="n">
        <v>83</v>
      </c>
      <c r="G573" s="149" t="inlineStr">
        <is>
          <t>Fire Brick Games</t>
        </is>
      </c>
      <c r="H573" s="149" t="inlineStr">
        <is>
          <t>Roguelike Deckbuilder · Card Battler · Turn-Based Combat · Steampunk · Deckbuilding · Roguelite · Card Game · Turn-Based Strategy</t>
        </is>
      </c>
    </row>
    <row r="574" ht="15" customHeight="1" s="78">
      <c r="A574" s="152" t="n">
        <v>3073480</v>
      </c>
      <c r="B574" s="152" t="inlineStr">
        <is>
          <t>Arcane Path</t>
        </is>
      </c>
      <c r="C574" s="152" t="n">
        <v>2025</v>
      </c>
      <c r="D574" s="153" t="n">
        <v>9.99</v>
      </c>
      <c r="E574" s="154" t="n">
        <v>556</v>
      </c>
      <c r="F574" s="152" t="n">
        <v>79</v>
      </c>
      <c r="G574" s="152" t="inlineStr">
        <is>
          <t>stygian games</t>
        </is>
      </c>
      <c r="H574" s="152" t="inlineStr">
        <is>
          <t>Roguelike Deckbuilder · Roguelike · Deckbuilding · Card Game · Card Battler · Turn-Based · Fantasy · Strategy</t>
        </is>
      </c>
    </row>
    <row r="575" ht="15" customHeight="1" s="78">
      <c r="A575" s="149" t="n">
        <v>2903630</v>
      </c>
      <c r="B575" s="149" t="inlineStr">
        <is>
          <t>Millennium Strategy</t>
        </is>
      </c>
      <c r="C575" s="149" t="n">
        <v>2026</v>
      </c>
      <c r="D575" s="150" t="n">
        <v>14.99</v>
      </c>
      <c r="E575" s="151" t="n">
        <v>547</v>
      </c>
      <c r="F575" s="149" t="n">
        <v>85</v>
      </c>
      <c r="G575" s="149" t="inlineStr">
        <is>
          <t>MiMo Games</t>
        </is>
      </c>
      <c r="H575" s="149" t="inlineStr">
        <is>
          <t>Roguelike Deckbuilder · Card Game · Roguelike · Deckbuilding · Strategy · Moddable · Card Battler · 2D</t>
        </is>
      </c>
    </row>
    <row r="576" ht="15" customHeight="1" s="78">
      <c r="A576" s="152" t="n">
        <v>2663790</v>
      </c>
      <c r="B576" s="152" t="inlineStr">
        <is>
          <t>TaxingTiles</t>
        </is>
      </c>
      <c r="C576" s="152" t="n">
        <v>2024</v>
      </c>
      <c r="D576" s="153" t="n">
        <v>2.99</v>
      </c>
      <c r="E576" s="154" t="n">
        <v>547</v>
      </c>
      <c r="F576" s="152" t="n">
        <v>100</v>
      </c>
      <c r="G576" s="152" t="inlineStr">
        <is>
          <t>GDO_Games</t>
        </is>
      </c>
      <c r="H576" s="152" t="inlineStr">
        <is>
          <t>Roguelite · Roguelike · Roguelike Deckbuilder · Deckbuilding · Card Game · Arcade · Puzzle · Turn-Based Strategy</t>
        </is>
      </c>
    </row>
    <row r="577" ht="15" customHeight="1" s="78">
      <c r="A577" s="149" t="n">
        <v>3324350</v>
      </c>
      <c r="B577" s="149" t="inlineStr">
        <is>
          <t>Three Kingdoms Poker</t>
        </is>
      </c>
      <c r="C577" s="149" t="n">
        <v>2025</v>
      </c>
      <c r="D577" s="150" t="n">
        <v>5.99</v>
      </c>
      <c r="E577" s="151" t="n">
        <v>545</v>
      </c>
      <c r="F577" s="149" t="n">
        <v>71</v>
      </c>
      <c r="G577" s="149" t="inlineStr">
        <is>
          <t>Team X</t>
        </is>
      </c>
      <c r="H577" s="149" t="inlineStr">
        <is>
          <t>Strategy · RPG · Singleplayer · Hentai · Deckbuilding · Roguelike Deckbuilder · FPS · Sexual Content</t>
        </is>
      </c>
    </row>
    <row r="578" ht="15" customHeight="1" s="78">
      <c r="A578" s="152" t="n">
        <v>4270940</v>
      </c>
      <c r="B578" s="152" t="inlineStr">
        <is>
          <t>Payroll Dice</t>
        </is>
      </c>
      <c r="C578" s="152" t="n">
        <v>2026</v>
      </c>
      <c r="D578" s="153" t="n">
        <v>12.99</v>
      </c>
      <c r="E578" s="154" t="n">
        <v>543</v>
      </c>
      <c r="F578" s="152" t="n">
        <v>100</v>
      </c>
      <c r="G578" s="152" t="inlineStr">
        <is>
          <t>Thyme</t>
        </is>
      </c>
      <c r="H578" s="152" t="inlineStr">
        <is>
          <t>Roguelike Deckbuilder · Dice · Roguelike · Deckbuilding · Strategy · Gambling · Roguelite · Turn-Based Strategy</t>
        </is>
      </c>
    </row>
    <row r="579" ht="15" customHeight="1" s="78">
      <c r="A579" s="149" t="n">
        <v>1934540</v>
      </c>
      <c r="B579" s="149" t="inlineStr">
        <is>
          <t>Madville+</t>
        </is>
      </c>
      <c r="C579" s="149" t="n">
        <v>2022</v>
      </c>
      <c r="D579" s="150" t="n">
        <v>2.99</v>
      </c>
      <c r="E579" s="151" t="n">
        <v>540</v>
      </c>
      <c r="F579" s="149" t="n">
        <v>93</v>
      </c>
      <c r="G579" s="149" t="inlineStr">
        <is>
          <t>Mushy Jukebox</t>
        </is>
      </c>
      <c r="H579" s="149" t="inlineStr">
        <is>
          <t>Action Roguelike · Bullet Heaven · Arena Shooter · Character Customization · Deckbuilding · Aliens · Dark Humor · Roguelike Deckbuilder</t>
        </is>
      </c>
    </row>
    <row r="580" ht="15" customHeight="1" s="78">
      <c r="A580" s="152" t="n">
        <v>3463290</v>
      </c>
      <c r="B580" s="152" t="inlineStr">
        <is>
          <t>Hex Blast</t>
        </is>
      </c>
      <c r="C580" s="152" t="n">
        <v>2025</v>
      </c>
      <c r="D580" s="153" t="n">
        <v>4.99</v>
      </c>
      <c r="E580" s="154" t="n">
        <v>535</v>
      </c>
      <c r="F580" s="152" t="n">
        <v>100</v>
      </c>
      <c r="G580" s="152" t="inlineStr">
        <is>
          <t>Soy Boy Games</t>
        </is>
      </c>
      <c r="H580" s="152" t="inlineStr">
        <is>
          <t>Roguelike Deckbuilder · Turn-Based Strategy · Hex Grid · Deckbuilding · Card Game · Roguelike · Strategy · Card Battler</t>
        </is>
      </c>
    </row>
    <row r="581" ht="15" customHeight="1" s="78">
      <c r="A581" s="149" t="n">
        <v>2513090</v>
      </c>
      <c r="B581" s="149" t="inlineStr">
        <is>
          <t>云玩家:口口</t>
        </is>
      </c>
      <c r="C581" s="149" t="n">
        <v>2024</v>
      </c>
      <c r="D581" s="150" t="n">
        <v>3.99</v>
      </c>
      <c r="E581" s="151" t="n">
        <v>534</v>
      </c>
      <c r="F581" s="149" t="n">
        <v>84</v>
      </c>
      <c r="G581" s="149" t="inlineStr">
        <is>
          <t>猫不在 / Cat404</t>
        </is>
      </c>
      <c r="H581" s="149" t="inlineStr">
        <is>
          <t>Puzzle · Word Game · Base Building · Exploration · Idler · Collectathon · 2D · Roguelike Deckbuilder</t>
        </is>
      </c>
    </row>
    <row r="582" ht="15" customHeight="1" s="78">
      <c r="A582" s="152" t="n">
        <v>1797510</v>
      </c>
      <c r="B582" s="152" t="inlineStr">
        <is>
          <t>Tower of the Sage</t>
        </is>
      </c>
      <c r="C582" s="152" t="n">
        <v>2022</v>
      </c>
      <c r="D582" s="153" t="n">
        <v>0.99</v>
      </c>
      <c r="E582" s="154" t="n">
        <v>533</v>
      </c>
      <c r="F582" s="152" t="n">
        <v>68</v>
      </c>
      <c r="G582" s="152" t="inlineStr">
        <is>
          <t>Arka</t>
        </is>
      </c>
      <c r="H582" s="152" t="inlineStr">
        <is>
          <t>Roguelike Deckbuilder · Card Battler · Deckbuilding · Card Game · Casual · 2D · Stylized · Singleplayer</t>
        </is>
      </c>
    </row>
    <row r="583" ht="15" customHeight="1" s="78">
      <c r="A583" s="149" t="n">
        <v>1698850</v>
      </c>
      <c r="B583" s="149" t="inlineStr">
        <is>
          <t>Mage Tower</t>
        </is>
      </c>
      <c r="C583" s="149" t="n">
        <v>2023</v>
      </c>
      <c r="D583" s="150" t="n">
        <v>14.99</v>
      </c>
      <c r="E583" s="151" t="n">
        <v>520</v>
      </c>
      <c r="F583" s="149" t="n">
        <v>100</v>
      </c>
      <c r="G583" s="149" t="inlineStr">
        <is>
          <t>Super Mega Games</t>
        </is>
      </c>
      <c r="H583" s="149" t="inlineStr">
        <is>
          <t>Roguelike Deckbuilder · Card Battler · Card Game · Strategy · Roguelike · Deckbuilding · Roguelite · Difficult</t>
        </is>
      </c>
    </row>
    <row r="584" ht="15" customHeight="1" s="78">
      <c r="A584" s="152" t="n">
        <v>2991450</v>
      </c>
      <c r="B584" s="152" t="inlineStr">
        <is>
          <t>DeckLand</t>
        </is>
      </c>
      <c r="C584" s="152" t="n">
        <v>2026</v>
      </c>
      <c r="D584" s="153" t="n">
        <v>14.99</v>
      </c>
      <c r="E584" s="154" t="n">
        <v>517</v>
      </c>
      <c r="F584" s="152" t="n">
        <v>92</v>
      </c>
      <c r="G584" s="152" t="inlineStr">
        <is>
          <t>JellySnow Studio</t>
        </is>
      </c>
      <c r="H584" s="152" t="inlineStr">
        <is>
          <t>Deckbuilding · 2D · Card Game · Roguelite · Cinematic · Cute · Casual · Indie</t>
        </is>
      </c>
    </row>
    <row r="585" ht="15" customHeight="1" s="78">
      <c r="A585" s="149" t="n">
        <v>3238220</v>
      </c>
      <c r="B585" s="149" t="inlineStr">
        <is>
          <t>Hand of Hexes</t>
        </is>
      </c>
      <c r="C585" s="149" t="n">
        <v>2026</v>
      </c>
      <c r="D585" s="150" t="n">
        <v>11.99</v>
      </c>
      <c r="E585" s="151" t="n">
        <v>517</v>
      </c>
      <c r="F585" s="149" t="n">
        <v>96</v>
      </c>
      <c r="G585" s="149" t="inlineStr">
        <is>
          <t>emmdieh</t>
        </is>
      </c>
      <c r="H585" s="149" t="inlineStr">
        <is>
          <t>Strategy · Tower Defense · Tactical · Card Battler · Roguelite · Roguelike · 2D · Procedural Generation</t>
        </is>
      </c>
    </row>
    <row r="586" ht="15" customHeight="1" s="78">
      <c r="A586" s="152" t="n">
        <v>997710</v>
      </c>
      <c r="B586" s="152" t="inlineStr">
        <is>
          <t>Ravenland</t>
        </is>
      </c>
      <c r="C586" s="152" t="n">
        <v>2021</v>
      </c>
      <c r="D586" s="153" t="n">
        <v>9.99</v>
      </c>
      <c r="E586" s="154" t="n">
        <v>513</v>
      </c>
      <c r="F586" s="152" t="n">
        <v>53</v>
      </c>
      <c r="G586" s="152" t="inlineStr">
        <is>
          <t>Prince Game Studio</t>
        </is>
      </c>
      <c r="H586" s="152" t="inlineStr">
        <is>
          <t>Roguelike Deckbuilder · Strategy · Indie · Adventure · Card Game · Roguelite · Singleplayer · Mouse Only</t>
        </is>
      </c>
    </row>
    <row r="587" ht="15" customHeight="1" s="78">
      <c r="A587" s="149" t="n">
        <v>1704120</v>
      </c>
      <c r="B587" s="149" t="inlineStr">
        <is>
          <t>IT Startup: Tech Fodder</t>
        </is>
      </c>
      <c r="C587" s="149" t="n">
        <v>2024</v>
      </c>
      <c r="D587" s="150" t="n">
        <v>9.99</v>
      </c>
      <c r="E587" s="151" t="n">
        <v>513</v>
      </c>
      <c r="F587" s="149" t="n">
        <v>97</v>
      </c>
      <c r="G587" s="149" t="inlineStr">
        <is>
          <t>Kupilas Media</t>
        </is>
      </c>
      <c r="H587" s="149" t="inlineStr">
        <is>
          <t>Roguelike Deckbuilder · Card Game · Deckbuilding · Card Battler · Roguelite · Replay Value · Turn-Based · Roguelike</t>
        </is>
      </c>
    </row>
    <row r="588" ht="15" customHeight="1" s="78">
      <c r="A588" s="152" t="n">
        <v>2271030</v>
      </c>
      <c r="B588" s="152" t="inlineStr">
        <is>
          <t>Tacape</t>
        </is>
      </c>
      <c r="C588" s="152" t="n">
        <v>2023</v>
      </c>
      <c r="D588" s="153" t="n">
        <v>6.99</v>
      </c>
      <c r="E588" s="154" t="n">
        <v>507</v>
      </c>
      <c r="F588" s="152" t="n">
        <v>88</v>
      </c>
      <c r="G588" s="152" t="inlineStr">
        <is>
          <t>Really Long Birds; Aiyra</t>
        </is>
      </c>
      <c r="H588" s="152" t="inlineStr">
        <is>
          <t>Card Game · Roguelike Deckbuilder · Roguelike · Card Battler · Roguelite · Fantasy · Mythology · Tactical</t>
        </is>
      </c>
    </row>
    <row r="589" ht="15" customHeight="1" s="78">
      <c r="A589" s="149" t="n">
        <v>3895480</v>
      </c>
      <c r="B589" s="149" t="inlineStr">
        <is>
          <t>Wunder: The Double-Sided Deckbuilder</t>
        </is>
      </c>
      <c r="C589" s="149" t="n">
        <v>2026</v>
      </c>
      <c r="D589" s="150" t="n">
        <v>7.99</v>
      </c>
      <c r="E589" s="151" t="n">
        <v>496</v>
      </c>
      <c r="F589" s="149" t="n">
        <v>100</v>
      </c>
      <c r="G589" s="149" t="inlineStr">
        <is>
          <t>BumbleMumble</t>
        </is>
      </c>
      <c r="H589" s="149" t="inlineStr">
        <is>
          <t>Strategy · Card Game · Casual · Roguelike · Roguelike Deckbuilder · Deckbuilding · Indie · 3D</t>
        </is>
      </c>
    </row>
    <row r="590" ht="15" customHeight="1" s="78">
      <c r="A590" s="152" t="n">
        <v>3393180</v>
      </c>
      <c r="B590" s="152" t="inlineStr">
        <is>
          <t>Sweep</t>
        </is>
      </c>
      <c r="C590" s="152" t="n">
        <v>2025</v>
      </c>
      <c r="D590" s="153" t="n">
        <v>6.99</v>
      </c>
      <c r="E590" s="154" t="n">
        <v>495</v>
      </c>
      <c r="F590" s="152" t="n">
        <v>78</v>
      </c>
      <c r="G590" s="152" t="inlineStr">
        <is>
          <t>On.Production</t>
        </is>
      </c>
      <c r="H590" s="152" t="inlineStr">
        <is>
          <t>Roguelike · Strategy · Card Battler · Deckbuilding · Roguelite · Card Game · Roguelike Deckbuilder · Strategy RPG</t>
        </is>
      </c>
    </row>
    <row r="591" ht="15" customHeight="1" s="78">
      <c r="A591" s="149" t="n">
        <v>2079160</v>
      </c>
      <c r="B591" s="149" t="inlineStr">
        <is>
          <t>Lust Dungeon</t>
        </is>
      </c>
      <c r="C591" s="149" t="n">
        <v>2022</v>
      </c>
      <c r="D591" s="150" t="n">
        <v>4.99</v>
      </c>
      <c r="E591" s="151" t="n">
        <v>489</v>
      </c>
      <c r="F591" s="149" t="n">
        <v>55</v>
      </c>
      <c r="G591" s="149" t="inlineStr">
        <is>
          <t>Cute Pen Games</t>
        </is>
      </c>
      <c r="H591" s="149" t="inlineStr">
        <is>
          <t>Sexual Content · Roguelike Deckbuilder · LGBTQ+ · Roguelike · 3D · Casual · Card Game · Deckbuilding</t>
        </is>
      </c>
    </row>
    <row r="592" ht="15" customHeight="1" s="78">
      <c r="A592" s="152" t="n">
        <v>4148810</v>
      </c>
      <c r="B592" s="152" t="inlineStr">
        <is>
          <t>Fate Architect</t>
        </is>
      </c>
      <c r="C592" s="152" t="n">
        <v>2026</v>
      </c>
      <c r="D592" s="153" t="n">
        <v>9.99</v>
      </c>
      <c r="E592" s="154" t="n">
        <v>486</v>
      </c>
      <c r="F592" s="152" t="n">
        <v>94</v>
      </c>
      <c r="G592" s="152" t="inlineStr">
        <is>
          <t>SadOnionDev</t>
        </is>
      </c>
      <c r="H592" s="152" t="inlineStr">
        <is>
          <t>Roguelike · Strategy · Deckbuilding · Simulation · Casual · Resource Management · Roguelite · Auto Battler</t>
        </is>
      </c>
    </row>
    <row r="593" ht="15" customHeight="1" s="78">
      <c r="A593" s="149" t="n">
        <v>2475020</v>
      </c>
      <c r="B593" s="149" t="inlineStr">
        <is>
          <t>Light Speed Ride Out</t>
        </is>
      </c>
      <c r="C593" s="149" t="n">
        <v>2023</v>
      </c>
      <c r="D593" s="150" t="n">
        <v>4.99</v>
      </c>
      <c r="E593" s="151" t="n">
        <v>484</v>
      </c>
      <c r="F593" s="149" t="n">
        <v>90</v>
      </c>
      <c r="G593" s="149" t="inlineStr">
        <is>
          <t>brimselGames</t>
        </is>
      </c>
      <c r="H593" s="149" t="inlineStr">
        <is>
          <t>Early Access · Action Roguelike · Shoot 'Em Up · Top-Down Shooter · Twin Stick Shooter · Creature Collector · Roguelite · Interactive Fiction</t>
        </is>
      </c>
    </row>
    <row r="594" ht="15" customHeight="1" s="78">
      <c r="A594" s="152" t="n">
        <v>1106680</v>
      </c>
      <c r="B594" s="152" t="inlineStr">
        <is>
          <t>School of Magic: Deck &amp; Slash</t>
        </is>
      </c>
      <c r="C594" s="152" t="n">
        <v>2025</v>
      </c>
      <c r="D594" s="153" t="n">
        <v>19.99</v>
      </c>
      <c r="E594" s="154" t="n">
        <v>483</v>
      </c>
      <c r="F594" s="152" t="n">
        <v>65</v>
      </c>
      <c r="G594" s="152" t="inlineStr">
        <is>
          <t>PartTimeIndie</t>
        </is>
      </c>
      <c r="H594" s="152" t="inlineStr">
        <is>
          <t>Early Access · Hack and Slash · Roguelike Deckbuilder · Dungeon Crawler · Roguelite · Card Game · Board Game · Isometric</t>
        </is>
      </c>
    </row>
    <row r="595" ht="15" customHeight="1" s="78">
      <c r="A595" s="149" t="n">
        <v>4358460</v>
      </c>
      <c r="B595" s="149" t="inlineStr">
        <is>
          <t>Card Homestead</t>
        </is>
      </c>
      <c r="C595" s="149" t="n">
        <v>2026</v>
      </c>
      <c r="D595" s="150" t="n">
        <v>6.99</v>
      </c>
      <c r="E595" s="151" t="n">
        <v>479</v>
      </c>
      <c r="F595" s="149" t="n">
        <v>86</v>
      </c>
      <c r="G595" s="149" t="inlineStr">
        <is>
          <t>CoffeeNap Games</t>
        </is>
      </c>
      <c r="H595" s="149" t="inlineStr">
        <is>
          <t>Roguelike Deckbuilder · Deckbuilding · Card Game · Roguelite · Strategy · Puzzle · Resource Management · Capitalism</t>
        </is>
      </c>
    </row>
    <row r="596" ht="15" customHeight="1" s="78">
      <c r="A596" s="152" t="n">
        <v>4377950</v>
      </c>
      <c r="B596" s="152" t="inlineStr">
        <is>
          <t>Void Salvage</t>
        </is>
      </c>
      <c r="C596" s="152" t="n">
        <v>2026</v>
      </c>
      <c r="D596" s="153" t="n">
        <v>4.99</v>
      </c>
      <c r="E596" s="154" t="n">
        <v>473</v>
      </c>
      <c r="F596" s="152" t="n">
        <v>80</v>
      </c>
      <c r="G596" s="152" t="inlineStr">
        <is>
          <t>myradann</t>
        </is>
      </c>
      <c r="H596" s="152" t="inlineStr">
        <is>
          <t>Roguelike · Space · Strategy · Sci-fi · Perma Death · Difficult · Replay Value · Real-Time with Pause</t>
        </is>
      </c>
    </row>
    <row r="597" ht="15" customHeight="1" s="78">
      <c r="A597" s="149" t="n">
        <v>3689680</v>
      </c>
      <c r="B597" s="149" t="inlineStr">
        <is>
          <t>Arcane Eternity</t>
        </is>
      </c>
      <c r="C597" s="149" t="n">
        <v>2025</v>
      </c>
      <c r="D597" s="150" t="n">
        <v>1.99</v>
      </c>
      <c r="E597" s="151" t="n">
        <v>471</v>
      </c>
      <c r="F597" s="149" t="n">
        <v>91</v>
      </c>
      <c r="G597" s="149" t="inlineStr">
        <is>
          <t>MoussyCat</t>
        </is>
      </c>
      <c r="H597" s="149" t="inlineStr">
        <is>
          <t>Singleplayer · Strategy · Roguelike Deckbuilder · Card Game · Female Protagonist · Anime · 2D · Cute</t>
        </is>
      </c>
    </row>
    <row r="598" ht="15" customHeight="1" s="78">
      <c r="A598" s="152" t="n">
        <v>2577850</v>
      </c>
      <c r="B598" s="152" t="inlineStr">
        <is>
          <t>Seekers of Eclipse</t>
        </is>
      </c>
      <c r="C598" s="152" t="n">
        <v>2025</v>
      </c>
      <c r="D598" s="153" t="n">
        <v>10.99</v>
      </c>
      <c r="E598" s="154" t="n">
        <v>469</v>
      </c>
      <c r="F598" s="152" t="n">
        <v>94</v>
      </c>
      <c r="G598" s="152" t="inlineStr">
        <is>
          <t>ThinKING Cat Games</t>
        </is>
      </c>
      <c r="H598" s="152" t="inlineStr">
        <is>
          <t>Roguelike Deckbuilder · Card Game · City Builder · Roguelike · Resource Management · Deckbuilding · Turn-Based · Singleplayer</t>
        </is>
      </c>
    </row>
    <row r="599" ht="15" customHeight="1" s="78">
      <c r="A599" s="149" t="n">
        <v>2476640</v>
      </c>
      <c r="B599" s="149" t="inlineStr">
        <is>
          <t>Dollar King</t>
        </is>
      </c>
      <c r="C599" s="149" t="n">
        <v>2024</v>
      </c>
      <c r="D599" s="150" t="n">
        <v>4.99</v>
      </c>
      <c r="E599" s="151" t="n">
        <v>461</v>
      </c>
      <c r="F599" s="149" t="n">
        <v>76</v>
      </c>
      <c r="G599" s="149" t="inlineStr">
        <is>
          <t>kan.kikuchi</t>
        </is>
      </c>
      <c r="H599" s="149" t="inlineStr">
        <is>
          <t>Deckbuilding · PvP · Card Game · Roguelike Deckbuilder · Casual · Cute · Board Game · Strategy</t>
        </is>
      </c>
    </row>
    <row r="600" ht="15" customHeight="1" s="78">
      <c r="A600" s="152" t="n">
        <v>1953370</v>
      </c>
      <c r="B600" s="152" t="inlineStr">
        <is>
          <t>Bowerwhelm</t>
        </is>
      </c>
      <c r="C600" s="152" t="n">
        <v>2023</v>
      </c>
      <c r="D600" s="153" t="n">
        <v>1.99</v>
      </c>
      <c r="E600" s="154" t="n">
        <v>453</v>
      </c>
      <c r="F600" s="152" t="n">
        <v>74</v>
      </c>
      <c r="G600" s="152" t="inlineStr">
        <is>
          <t>Nash Equilibrium</t>
        </is>
      </c>
      <c r="H600" s="152" t="inlineStr">
        <is>
          <t>Action · Minimalist · FPS · Roguelike · Casual · Shooter · First-Person · 3D</t>
        </is>
      </c>
    </row>
    <row r="601" ht="15" customHeight="1" s="78">
      <c r="A601" s="149" t="n">
        <v>3871550</v>
      </c>
      <c r="B601" s="149" t="inlineStr">
        <is>
          <t>Little Immortal Cultivator</t>
        </is>
      </c>
      <c r="C601" s="149" t="n">
        <v>2026</v>
      </c>
      <c r="D601" s="150" t="n">
        <v>8.99</v>
      </c>
      <c r="E601" s="151" t="n">
        <v>451</v>
      </c>
      <c r="F601" s="149" t="n">
        <v>97</v>
      </c>
      <c r="G601" s="149" t="inlineStr">
        <is>
          <t>YiHuan Game</t>
        </is>
      </c>
      <c r="H601" s="149" t="inlineStr">
        <is>
          <t>Roguelike Deckbuilder · Game Development · Card Battler · Turn-Based · Card Game · Roguelike · Strategy · Indie</t>
        </is>
      </c>
    </row>
    <row r="602" ht="15" customHeight="1" s="78">
      <c r="A602" s="152" t="n">
        <v>3152290</v>
      </c>
      <c r="B602" s="152" t="inlineStr">
        <is>
          <t>Echoes Of Spellcraft</t>
        </is>
      </c>
      <c r="C602" s="152" t="n">
        <v>2025</v>
      </c>
      <c r="D602" s="153" t="n">
        <v>13.99</v>
      </c>
      <c r="E602" s="154" t="n">
        <v>450</v>
      </c>
      <c r="F602" s="152" t="n">
        <v>84</v>
      </c>
      <c r="G602" s="152" t="inlineStr">
        <is>
          <t>Fossil Circuit</t>
        </is>
      </c>
      <c r="H602" s="152" t="inlineStr">
        <is>
          <t>Strategy · Roguelike Deckbuilder · Deckbuilding · Indie · Action · Pixel Graphics · Replay Value · Action Roguelike</t>
        </is>
      </c>
    </row>
    <row r="603" ht="15" customHeight="1" s="78">
      <c r="A603" s="149" t="n">
        <v>4948610</v>
      </c>
      <c r="B603" s="149" t="inlineStr">
        <is>
          <t>Alchi</t>
        </is>
      </c>
      <c r="C603" s="149" t="n">
        <v>2026</v>
      </c>
      <c r="D603" s="150" t="n">
        <v>4.99</v>
      </c>
      <c r="E603" s="151" t="n">
        <v>449</v>
      </c>
      <c r="F603" s="149" t="n">
        <v>100</v>
      </c>
      <c r="G603" s="149" t="inlineStr">
        <is>
          <t>HOMEK</t>
        </is>
      </c>
      <c r="H603" s="149" t="inlineStr">
        <is>
          <t>Roguelike Deckbuilder · Deckbuilding · Card Game · Card Battler · Roguelike · Roguelite · Turn-Based Combat · Singleplayer</t>
        </is>
      </c>
    </row>
    <row r="604" ht="15" customHeight="1" s="78">
      <c r="A604" s="152" t="n">
        <v>3720630</v>
      </c>
      <c r="B604" s="152" t="inlineStr">
        <is>
          <t>Caemdale</t>
        </is>
      </c>
      <c r="C604" s="152" t="n">
        <v>2025</v>
      </c>
      <c r="D604" s="153" t="n">
        <v>7.99</v>
      </c>
      <c r="E604" s="154" t="n">
        <v>448</v>
      </c>
      <c r="F604" s="152" t="n">
        <v>79</v>
      </c>
      <c r="G604" s="152" t="inlineStr">
        <is>
          <t>JRB</t>
        </is>
      </c>
      <c r="H604" s="152" t="inlineStr">
        <is>
          <t>Roguelike Deckbuilder · Card Game · Deckbuilding · Strategy · Roguelike · Singleplayer · Turn-Based · 2D</t>
        </is>
      </c>
    </row>
    <row r="605" ht="15" customHeight="1" s="78">
      <c r="A605" s="149" t="n">
        <v>1789360</v>
      </c>
      <c r="B605" s="149" t="inlineStr">
        <is>
          <t>Void Grimm</t>
        </is>
      </c>
      <c r="C605" s="149" t="n">
        <v>2021</v>
      </c>
      <c r="D605" s="150" t="n">
        <v>14.99</v>
      </c>
      <c r="E605" s="151" t="n">
        <v>445</v>
      </c>
      <c r="F605" s="149" t="n">
        <v>78</v>
      </c>
      <c r="G605" s="149" t="inlineStr">
        <is>
          <t>Ravery</t>
        </is>
      </c>
      <c r="H605" s="149" t="inlineStr">
        <is>
          <t>Early Access · Roguelike Deckbuilder · Action Roguelike · Real-Time · Strategy · Card Battler · Deckbuilding · Sci-fi</t>
        </is>
      </c>
    </row>
    <row r="606" ht="15" customHeight="1" s="78">
      <c r="A606" s="152" t="n">
        <v>4259520</v>
      </c>
      <c r="B606" s="152" t="inlineStr">
        <is>
          <t>Hamster, Eat, Run</t>
        </is>
      </c>
      <c r="C606" s="152" t="n">
        <v>2026</v>
      </c>
      <c r="D606" s="153" t="n">
        <v>4.99</v>
      </c>
      <c r="E606" s="154" t="n">
        <v>435</v>
      </c>
      <c r="F606" s="152" t="n">
        <v>92</v>
      </c>
      <c r="G606" s="152" t="inlineStr">
        <is>
          <t>CocoZzzzzzzs</t>
        </is>
      </c>
      <c r="H606" s="152" t="inlineStr">
        <is>
          <t>Roguelike Deckbuilder · Animals · Casual · Cute · Resource Management · Roguelite · Deckbuilding · Strategy</t>
        </is>
      </c>
    </row>
    <row r="607" ht="15" customHeight="1" s="78">
      <c r="A607" s="149" t="n">
        <v>997950</v>
      </c>
      <c r="B607" s="149" t="inlineStr">
        <is>
          <t>Folding Edge</t>
        </is>
      </c>
      <c r="C607" s="149" t="n">
        <v>2020</v>
      </c>
      <c r="D607" s="150" t="n">
        <v>3.99</v>
      </c>
      <c r="E607" s="151" t="n">
        <v>434</v>
      </c>
      <c r="F607" s="149" t="n">
        <v>89</v>
      </c>
      <c r="G607" s="149" t="inlineStr">
        <is>
          <t>XiaoMing</t>
        </is>
      </c>
      <c r="H607" s="149" t="inlineStr">
        <is>
          <t>Indie · Adventure · Roguelike Deckbuilder · Card Battler · Deckbuilding · Roguelite · Card Game · Sci-fi</t>
        </is>
      </c>
    </row>
    <row r="608" ht="15" customHeight="1" s="78">
      <c r="A608" s="152" t="n">
        <v>3974620</v>
      </c>
      <c r="B608" s="152" t="inlineStr">
        <is>
          <t>Wrangle Ranch</t>
        </is>
      </c>
      <c r="C608" s="152" t="n">
        <v>2026</v>
      </c>
      <c r="D608" s="153" t="n">
        <v>5.99</v>
      </c>
      <c r="E608" s="154" t="n">
        <v>421</v>
      </c>
      <c r="F608" s="152" t="n">
        <v>96</v>
      </c>
      <c r="G608" s="152" t="inlineStr">
        <is>
          <t>BenBonk; XraiDev</t>
        </is>
      </c>
      <c r="H608" s="152" t="inlineStr">
        <is>
          <t>Roguelike Deckbuilder · Farming Sim · Roguelike · Arcade · Deckbuilding · Strategy · Roguelite · Solitaire</t>
        </is>
      </c>
    </row>
    <row r="609" ht="15" customHeight="1" s="78">
      <c r="A609" s="149" t="n">
        <v>3682910</v>
      </c>
      <c r="B609" s="149" t="inlineStr">
        <is>
          <t>A game about cards</t>
        </is>
      </c>
      <c r="C609" s="149" t="n">
        <v>2025</v>
      </c>
      <c r="D609" s="150" t="n">
        <v>4.99</v>
      </c>
      <c r="E609" s="151" t="n">
        <v>420</v>
      </c>
      <c r="F609" s="149" t="n">
        <v>81</v>
      </c>
      <c r="G609" s="149" t="inlineStr">
        <is>
          <t>SUPERita</t>
        </is>
      </c>
      <c r="H609" s="149" t="inlineStr">
        <is>
          <t>Casual · Strategy · Deckbuilding · Card Game · Choices Matter · Turn-Based · Turn-Based Tactics · Roguelike</t>
        </is>
      </c>
    </row>
    <row r="610" ht="15" customHeight="1" s="78">
      <c r="A610" s="152" t="n">
        <v>2446010</v>
      </c>
      <c r="B610" s="152" t="inlineStr">
        <is>
          <t>BlueCloud Summit</t>
        </is>
      </c>
      <c r="C610" s="152" t="n">
        <v>2025</v>
      </c>
      <c r="D610" s="153" t="n">
        <v>14.99</v>
      </c>
      <c r="E610" s="154" t="n">
        <v>419</v>
      </c>
      <c r="F610" s="152" t="n">
        <v>90</v>
      </c>
      <c r="G610" s="152" t="inlineStr">
        <is>
          <t>Star Surfer</t>
        </is>
      </c>
      <c r="H610" s="152" t="inlineStr">
        <is>
          <t>Early Access · Card Battler · Roguelike Deckbuilder · Turn-Based Tactics · Roguelike · Deckbuilding · Difficult · Turn-Based Strategy</t>
        </is>
      </c>
    </row>
    <row r="611" ht="15" customHeight="1" s="78">
      <c r="A611" s="149" t="n">
        <v>2409690</v>
      </c>
      <c r="B611" s="149" t="inlineStr">
        <is>
          <t>Kingmaker Academy: Warrior's Duels</t>
        </is>
      </c>
      <c r="C611" s="149" t="n">
        <v>2023</v>
      </c>
      <c r="D611" s="150" t="n">
        <v>0.99</v>
      </c>
      <c r="E611" s="151" t="n">
        <v>419</v>
      </c>
      <c r="F611" s="149" t="n">
        <v>91</v>
      </c>
      <c r="G611" s="149" t="inlineStr">
        <is>
          <t>2dragontails</t>
        </is>
      </c>
      <c r="H611" s="149" t="inlineStr">
        <is>
          <t>Roguelike Deckbuilder · Card Battler · Roguelike · Deckbuilding · Turn-Based Combat · Indie · RPG · Card Game</t>
        </is>
      </c>
    </row>
    <row r="612" ht="15" customHeight="1" s="78">
      <c r="A612" s="152" t="n">
        <v>3226660</v>
      </c>
      <c r="B612" s="152" t="inlineStr">
        <is>
          <t>Heroes of Magic and Steel</t>
        </is>
      </c>
      <c r="C612" s="152" t="n">
        <v>2026</v>
      </c>
      <c r="D612" s="153" t="n">
        <v>19.99</v>
      </c>
      <c r="E612" s="154" t="n">
        <v>417</v>
      </c>
      <c r="F612" s="152" t="n">
        <v>96</v>
      </c>
      <c r="G612" s="152" t="inlineStr">
        <is>
          <t>Gaister Studios</t>
        </is>
      </c>
      <c r="H612" s="152" t="inlineStr">
        <is>
          <t>Turn-Based Tactics · Card Battler · Tactical RPG · Roguelike Deckbuilder · Turn-Based · Turn-Based Strategy · Turn-Based Combat · Deckbuilding</t>
        </is>
      </c>
    </row>
    <row r="613" ht="15" customHeight="1" s="78">
      <c r="A613" s="149" t="n">
        <v>3658670</v>
      </c>
      <c r="B613" s="149" t="inlineStr">
        <is>
          <t>Palette: Cards &amp; Chaos</t>
        </is>
      </c>
      <c r="C613" s="149" t="n">
        <v>2025</v>
      </c>
      <c r="D613" s="150" t="n">
        <v>2.99</v>
      </c>
      <c r="E613" s="151" t="n">
        <v>417</v>
      </c>
      <c r="F613" s="149" t="n">
        <v>97</v>
      </c>
      <c r="G613" s="149" t="inlineStr">
        <is>
          <t>Inkbloom Games</t>
        </is>
      </c>
      <c r="H613" s="149" t="inlineStr">
        <is>
          <t>Action Roguelike · Bullet Hell · Difficult · Roguelike · Roguelike Deckbuilder · 2D · Twin Stick Shooter · Deckbuilding</t>
        </is>
      </c>
    </row>
    <row r="614" ht="15" customHeight="1" s="78">
      <c r="A614" s="152" t="n">
        <v>2968290</v>
      </c>
      <c r="B614" s="152" t="inlineStr">
        <is>
          <t>Cards and Dungeons</t>
        </is>
      </c>
      <c r="C614" s="152" t="n">
        <v>2026</v>
      </c>
      <c r="D614" s="153" t="n">
        <v>9.99</v>
      </c>
      <c r="E614" s="154" t="n">
        <v>416</v>
      </c>
      <c r="F614" s="152" t="n">
        <v>89</v>
      </c>
      <c r="G614" s="152" t="inlineStr">
        <is>
          <t>Family Devs</t>
        </is>
      </c>
      <c r="H614" s="152" t="inlineStr">
        <is>
          <t>Action Roguelike · Hack and Slash · Roguelite · Perma Death · Action RPG · Roguelike · Isometric · 3D</t>
        </is>
      </c>
    </row>
    <row r="615" ht="15" customHeight="1" s="78">
      <c r="A615" s="149" t="n">
        <v>2309920</v>
      </c>
      <c r="B615" s="149" t="inlineStr">
        <is>
          <t>Lost Veridian</t>
        </is>
      </c>
      <c r="C615" s="149" t="n">
        <v>2023</v>
      </c>
      <c r="D615" s="150" t="n">
        <v>7.99</v>
      </c>
      <c r="E615" s="151" t="n">
        <v>413</v>
      </c>
      <c r="F615" s="149" t="n">
        <v>56</v>
      </c>
      <c r="G615" s="149" t="inlineStr">
        <is>
          <t>Half D Gaming</t>
        </is>
      </c>
      <c r="H615" s="149" t="inlineStr">
        <is>
          <t>Action Roguelike · Card Battler · Deckbuilding · RPG · Trading Card Game · Strategy · Roguelike · Character Customization</t>
        </is>
      </c>
    </row>
    <row r="616" ht="15" customHeight="1" s="78">
      <c r="A616" s="152" t="n">
        <v>3810020</v>
      </c>
      <c r="B616" s="152" t="inlineStr">
        <is>
          <t>ROGOLF</t>
        </is>
      </c>
      <c r="C616" s="152" t="n">
        <v>2026</v>
      </c>
      <c r="D616" s="153" t="n">
        <v>9.99</v>
      </c>
      <c r="E616" s="154" t="n">
        <v>408</v>
      </c>
      <c r="F616" s="152" t="n">
        <v>93</v>
      </c>
      <c r="G616" s="152" t="inlineStr">
        <is>
          <t>Seabird Interactive</t>
        </is>
      </c>
      <c r="H616" s="152" t="inlineStr">
        <is>
          <t>Casual · Roguelike Deckbuilder · Mini Golf · Arcade · Relaxing · Roguelite · Singleplayer · Roguelike</t>
        </is>
      </c>
    </row>
    <row r="617" ht="15" customHeight="1" s="78">
      <c r="A617" s="149" t="n">
        <v>4414210</v>
      </c>
      <c r="B617" s="149" t="inlineStr">
        <is>
          <t>Dice Carnival</t>
        </is>
      </c>
      <c r="C617" s="149" t="n">
        <v>2026</v>
      </c>
      <c r="D617" s="150" t="n">
        <v>5.99</v>
      </c>
      <c r="E617" s="151" t="n">
        <v>407</v>
      </c>
      <c r="F617" s="149" t="n">
        <v>100</v>
      </c>
      <c r="G617" s="149" t="inlineStr">
        <is>
          <t>Phantom Script Studio</t>
        </is>
      </c>
      <c r="H617" s="149" t="inlineStr">
        <is>
          <t>Roguelite · Roguelike Deckbuilder · Roguelike · Card Game · 2D · Deckbuilding · Strategy · Turn-Based Tactics</t>
        </is>
      </c>
    </row>
    <row r="618" ht="15" customHeight="1" s="78">
      <c r="A618" s="152" t="n">
        <v>3965860</v>
      </c>
      <c r="B618" s="152" t="inlineStr">
        <is>
          <t>Shady O'Grady's™ Overnight Sensation</t>
        </is>
      </c>
      <c r="C618" s="152" t="n">
        <v>2026</v>
      </c>
      <c r="D618" s="153" t="n">
        <v>14.99</v>
      </c>
      <c r="E618" s="154" t="n">
        <v>405</v>
      </c>
      <c r="F618" s="152" t="n">
        <v>91</v>
      </c>
      <c r="G618" s="152" t="inlineStr">
        <is>
          <t>Gilligames</t>
        </is>
      </c>
      <c r="H618" s="152" t="inlineStr">
        <is>
          <t>Roguelike · Card Battler · Simulation · Strategy · Rock Music · Singleplayer · Roguelike Deckbuilder · Deckbuilding</t>
        </is>
      </c>
    </row>
    <row r="619" ht="15" customHeight="1" s="78">
      <c r="A619" s="149" t="n">
        <v>3423840</v>
      </c>
      <c r="B619" s="149" t="inlineStr">
        <is>
          <t>Crouching Tiger Hidden Hanafuda</t>
        </is>
      </c>
      <c r="C619" s="149" t="n">
        <v>2025</v>
      </c>
      <c r="D619" s="150" t="n">
        <v>10.99</v>
      </c>
      <c r="E619" s="151" t="n">
        <v>404</v>
      </c>
      <c r="F619" s="149" t="n">
        <v>94</v>
      </c>
      <c r="G619" s="149" t="inlineStr">
        <is>
          <t>Garuru Software labs inc.</t>
        </is>
      </c>
      <c r="H619" s="149" t="inlineStr">
        <is>
          <t>Card Game · Card Battler · Roguelike Deckbuilder · Deckbuilding · Roguelike · Roguelite · Tutorial · Cats</t>
        </is>
      </c>
    </row>
    <row r="620" ht="15" customHeight="1" s="78">
      <c r="A620" s="152" t="n">
        <v>3038530</v>
      </c>
      <c r="B620" s="152" t="inlineStr">
        <is>
          <t>NikNaks</t>
        </is>
      </c>
      <c r="C620" s="152" t="n">
        <v>2025</v>
      </c>
      <c r="D620" s="153" t="n">
        <v>9.99</v>
      </c>
      <c r="E620" s="154" t="n">
        <v>398</v>
      </c>
      <c r="F620" s="152" t="n">
        <v>95</v>
      </c>
      <c r="G620" s="152" t="inlineStr">
        <is>
          <t>Boombot; Etheral Games</t>
        </is>
      </c>
      <c r="H620" s="152" t="inlineStr">
        <is>
          <t>Asynchronous Multiplayer · Creature Collector · Strategy RPG · Roguelike Deckbuilder · RPG · Roguelite · Dungeon Crawler · Turn-Based Combat</t>
        </is>
      </c>
    </row>
    <row r="621" ht="15" customHeight="1" s="78">
      <c r="A621" s="149" t="n">
        <v>2416920</v>
      </c>
      <c r="B621" s="149" t="inlineStr">
        <is>
          <t>Groob</t>
        </is>
      </c>
      <c r="C621" s="149" t="n">
        <v>2023</v>
      </c>
      <c r="D621" s="150" t="n">
        <v>1.99</v>
      </c>
      <c r="E621" s="151" t="n">
        <v>392</v>
      </c>
      <c r="F621" s="149" t="n">
        <v>42</v>
      </c>
      <c r="G621" s="149" t="inlineStr">
        <is>
          <t>KameGames</t>
        </is>
      </c>
      <c r="H621" s="149" t="inlineStr">
        <is>
          <t>Card Game · Roguelike Deckbuilder · Strategy · Card Battler · Deckbuilding · Roguelike · Anime · Hack and Slash</t>
        </is>
      </c>
    </row>
    <row r="622" ht="15" customHeight="1" s="78">
      <c r="A622" s="152" t="n">
        <v>3458810</v>
      </c>
      <c r="B622" s="152" t="inlineStr">
        <is>
          <t>DIMENSION RANGER</t>
        </is>
      </c>
      <c r="C622" s="152" t="n">
        <v>2026</v>
      </c>
      <c r="D622" s="153" t="n">
        <v>9.5</v>
      </c>
      <c r="E622" s="154" t="n">
        <v>391</v>
      </c>
      <c r="F622" s="152" t="n">
        <v>91</v>
      </c>
      <c r="G622" s="152" t="inlineStr">
        <is>
          <t>游际线</t>
        </is>
      </c>
      <c r="H622" s="152" t="inlineStr">
        <is>
          <t>Strategy · Card Game · RTS · Turn-Based Strategy · Roguelike · Auto Battler · Card Battler · Trading Card Game</t>
        </is>
      </c>
    </row>
    <row r="623" ht="15" customHeight="1" s="78">
      <c r="A623" s="149" t="n">
        <v>4047130</v>
      </c>
      <c r="B623" s="149" t="inlineStr">
        <is>
          <t>Cardwheel</t>
        </is>
      </c>
      <c r="C623" s="149" t="n">
        <v>2026</v>
      </c>
      <c r="D623" s="150" t="n">
        <v>7.99</v>
      </c>
      <c r="E623" s="151" t="n">
        <v>390</v>
      </c>
      <c r="F623" s="149" t="n">
        <v>76</v>
      </c>
      <c r="G623" s="149" t="inlineStr">
        <is>
          <t>nitzan.games LLC</t>
        </is>
      </c>
      <c r="H623" s="149" t="inlineStr">
        <is>
          <t>Action · Casual · Action Roguelike · Card Game · Roguelike · Indie · Roguelite · 2D</t>
        </is>
      </c>
    </row>
    <row r="624" ht="15" customHeight="1" s="78">
      <c r="A624" s="152" t="n">
        <v>1635710</v>
      </c>
      <c r="B624" s="152" t="inlineStr">
        <is>
          <t>Bossfight Tactics</t>
        </is>
      </c>
      <c r="C624" s="152" t="n">
        <v>2025</v>
      </c>
      <c r="D624" s="153" t="n">
        <v>5.99</v>
      </c>
      <c r="E624" s="154" t="n">
        <v>385</v>
      </c>
      <c r="F624" s="152" t="n">
        <v>97</v>
      </c>
      <c r="G624" s="152" t="inlineStr">
        <is>
          <t>Iterative Interactive</t>
        </is>
      </c>
      <c r="H624" s="152" t="inlineStr">
        <is>
          <t>Roguelike · Turn-Based Tactics · Pixel Graphics · Difficult · Turn-Based Combat · Turn-Based Strategy · Tactical · Fantasy</t>
        </is>
      </c>
    </row>
    <row r="625" ht="15" customHeight="1" s="78">
      <c r="A625" s="149" t="n">
        <v>3132780</v>
      </c>
      <c r="B625" s="149" t="inlineStr">
        <is>
          <t>Forestygian</t>
        </is>
      </c>
      <c r="C625" s="149" t="n">
        <v>2025</v>
      </c>
      <c r="D625" s="150" t="n">
        <v>9.99</v>
      </c>
      <c r="E625" s="151" t="n">
        <v>379</v>
      </c>
      <c r="F625" s="149" t="n">
        <v>97</v>
      </c>
      <c r="G625" s="149" t="inlineStr">
        <is>
          <t>Sergii Ievtushenko; Michael Ievtushenko</t>
        </is>
      </c>
      <c r="H625" s="149" t="inlineStr">
        <is>
          <t>Roguelike Deckbuilder · Card Game · Turn-Based Combat · Deckbuilding · 2D · Colorful · Turn-Based Tactics · Turn-Based Strategy</t>
        </is>
      </c>
    </row>
    <row r="626" ht="15" customHeight="1" s="78">
      <c r="A626" s="152" t="n">
        <v>2491130</v>
      </c>
      <c r="B626" s="152" t="inlineStr">
        <is>
          <t>Split Square</t>
        </is>
      </c>
      <c r="C626" s="152" t="n">
        <v>2023</v>
      </c>
      <c r="D626" s="153" t="n">
        <v>4.99</v>
      </c>
      <c r="E626" s="154" t="n">
        <v>379</v>
      </c>
      <c r="F626" s="152" t="n">
        <v>92</v>
      </c>
      <c r="G626" s="152" t="inlineStr">
        <is>
          <t>Shedin</t>
        </is>
      </c>
      <c r="H626" s="152" t="inlineStr">
        <is>
          <t>Action Roguelike · 2D Platformer · Dungeon Crawler · Roguelite · Action RPG · Roguelike · Female Protagonist · RPG</t>
        </is>
      </c>
    </row>
    <row r="627" ht="15" customHeight="1" s="78">
      <c r="A627" s="149" t="n">
        <v>2428020</v>
      </c>
      <c r="B627" s="149" t="inlineStr">
        <is>
          <t>The Abyss Within</t>
        </is>
      </c>
      <c r="C627" s="149" t="n">
        <v>2024</v>
      </c>
      <c r="D627" s="150" t="n">
        <v>4.99</v>
      </c>
      <c r="E627" s="151" t="n">
        <v>371</v>
      </c>
      <c r="F627" s="149" t="n">
        <v>96</v>
      </c>
      <c r="G627" s="149" t="inlineStr">
        <is>
          <t>LOM Games</t>
        </is>
      </c>
      <c r="H627" s="149" t="inlineStr">
        <is>
          <t>Roguelike Deckbuilder · Card Battler · Card Game · Difficult · Dungeon Crawler · Loot · PvE · Roguelike</t>
        </is>
      </c>
    </row>
    <row r="628" ht="15" customHeight="1" s="78">
      <c r="A628" s="152" t="n">
        <v>2809240</v>
      </c>
      <c r="B628" s="152" t="inlineStr">
        <is>
          <t>Elemental Exiles</t>
        </is>
      </c>
      <c r="C628" s="152" t="n">
        <v>2024</v>
      </c>
      <c r="D628" s="153" t="n">
        <v>24.99</v>
      </c>
      <c r="E628" s="154" t="n">
        <v>366</v>
      </c>
      <c r="F628" s="152" t="n">
        <v>71</v>
      </c>
      <c r="G628" s="152" t="inlineStr">
        <is>
          <t>Final Game Studio</t>
        </is>
      </c>
      <c r="H628" s="152" t="inlineStr">
        <is>
          <t>Roguelike Deckbuilder · Card Battler · Turn-Based Tactics · Card Game · Roguelite · Replay Value · Roguelike · Turn-Based Strategy</t>
        </is>
      </c>
    </row>
    <row r="629" ht="15" customHeight="1" s="78">
      <c r="A629" s="149" t="n">
        <v>2821380</v>
      </c>
      <c r="B629" s="149" t="inlineStr">
        <is>
          <t>Daydam Knight</t>
        </is>
      </c>
      <c r="C629" s="149" t="n">
        <v>2025</v>
      </c>
      <c r="D629" s="150" t="n">
        <v>1.99</v>
      </c>
      <c r="E629" s="151" t="n">
        <v>366</v>
      </c>
      <c r="F629" s="149" t="n">
        <v>76</v>
      </c>
      <c r="G629" s="149" t="inlineStr">
        <is>
          <t>Parham</t>
        </is>
      </c>
      <c r="H629" s="149" t="inlineStr">
        <is>
          <t>Roguelike Deckbuilder · Roguelike · Card Battler · Turn-Based Tactics · Dungeon Crawler · Roguelite · Difficult · Card Game</t>
        </is>
      </c>
    </row>
    <row r="630" ht="15" customHeight="1" s="78">
      <c r="A630" s="152" t="n">
        <v>2510680</v>
      </c>
      <c r="B630" s="152" t="inlineStr">
        <is>
          <t>Orcish Skies</t>
        </is>
      </c>
      <c r="C630" s="152" t="n">
        <v>2023</v>
      </c>
      <c r="D630" s="153" t="n">
        <v>3.99</v>
      </c>
      <c r="E630" s="154" t="n">
        <v>365</v>
      </c>
      <c r="F630" s="152" t="n">
        <v>100</v>
      </c>
      <c r="G630" s="152" t="inlineStr">
        <is>
          <t>Certeis Lirre</t>
        </is>
      </c>
      <c r="H630" s="152" t="inlineStr">
        <is>
          <t>Card Battler · Tactical RPG · Turn-Based Tactics · Roguelite · Card Game · Turn-Based Strategy · Roguelike · Strategy</t>
        </is>
      </c>
    </row>
    <row r="631" ht="15" customHeight="1" s="78">
      <c r="A631" s="149" t="n">
        <v>3938190</v>
      </c>
      <c r="B631" s="149" t="inlineStr">
        <is>
          <t>Trial of Ariah</t>
        </is>
      </c>
      <c r="C631" s="149" t="n">
        <v>2025</v>
      </c>
      <c r="D631" s="150" t="n">
        <v>11.95</v>
      </c>
      <c r="E631" s="151" t="n">
        <v>363</v>
      </c>
      <c r="F631" s="149" t="n">
        <v>92</v>
      </c>
      <c r="G631" s="149" t="inlineStr">
        <is>
          <t>30 Minute Games</t>
        </is>
      </c>
      <c r="H631" s="149" t="inlineStr">
        <is>
          <t>Roguelike Deckbuilder · RPG · Action · Adventure · Card Battler · Strategy · Turn-Based Tactics · Roguelite</t>
        </is>
      </c>
    </row>
    <row r="632" ht="15" customHeight="1" s="78">
      <c r="A632" s="152" t="n">
        <v>2782540</v>
      </c>
      <c r="B632" s="152" t="inlineStr">
        <is>
          <t>Rogue Citadel</t>
        </is>
      </c>
      <c r="C632" s="152" t="n">
        <v>2024</v>
      </c>
      <c r="D632" s="153" t="n">
        <v>9.99</v>
      </c>
      <c r="E632" s="154" t="n">
        <v>353</v>
      </c>
      <c r="F632" s="152" t="n">
        <v>89</v>
      </c>
      <c r="G632" s="152" t="inlineStr">
        <is>
          <t>MalumGames</t>
        </is>
      </c>
      <c r="H632" s="152" t="inlineStr">
        <is>
          <t>Tower Defense · Action Roguelike · Bullet Hell · RPG · Base Building · Roguelite · Hack and Slash · Real Time Tactics</t>
        </is>
      </c>
    </row>
    <row r="633" ht="15" customHeight="1" s="78">
      <c r="A633" s="149" t="n">
        <v>2892060</v>
      </c>
      <c r="B633" s="149" t="inlineStr">
        <is>
          <t>Card Toons</t>
        </is>
      </c>
      <c r="C633" s="149" t="n">
        <v>2025</v>
      </c>
      <c r="D633" s="150" t="n">
        <v>14.99</v>
      </c>
      <c r="E633" s="151" t="n">
        <v>350</v>
      </c>
      <c r="F633" s="149" t="n">
        <v>73</v>
      </c>
      <c r="G633" s="149" t="inlineStr">
        <is>
          <t>Toon Games</t>
        </is>
      </c>
      <c r="H633" s="149" t="inlineStr">
        <is>
          <t>Early Access · Roguelike Deckbuilder · Card Game · Card Battler · Indie · Roguelike · Deckbuilding · Turn-Based Strategy</t>
        </is>
      </c>
    </row>
    <row r="634" ht="15" customHeight="1" s="78">
      <c r="A634" s="152" t="n">
        <v>1410140</v>
      </c>
      <c r="B634" s="152" t="inlineStr">
        <is>
          <t>Load Roll Die</t>
        </is>
      </c>
      <c r="C634" s="152" t="n">
        <v>2021</v>
      </c>
      <c r="D634" s="153" t="n">
        <v>9.99</v>
      </c>
      <c r="E634" s="154" t="n">
        <v>342</v>
      </c>
      <c r="F634" s="152" t="n">
        <v>87</v>
      </c>
      <c r="G634" s="152" t="inlineStr">
        <is>
          <t>ToothPike Games</t>
        </is>
      </c>
      <c r="H634" s="152" t="inlineStr">
        <is>
          <t>Strategy · Roguelike Deckbuilder · Roguelite · Turn-Based · Colorful · Tutorial · 3D · Roguelike</t>
        </is>
      </c>
    </row>
    <row r="635" ht="15" customHeight="1" s="78">
      <c r="A635" s="149" t="n">
        <v>2945350</v>
      </c>
      <c r="B635" s="149" t="inlineStr">
        <is>
          <t>Wukong's Pool</t>
        </is>
      </c>
      <c r="C635" s="149" t="n">
        <v>2024</v>
      </c>
      <c r="D635" s="150" t="n">
        <v>5.99</v>
      </c>
      <c r="E635" s="151" t="n">
        <v>340</v>
      </c>
      <c r="F635" s="149" t="n">
        <v>92</v>
      </c>
      <c r="G635" s="149" t="inlineStr">
        <is>
          <t>Ruiz Studio</t>
        </is>
      </c>
      <c r="H635" s="149" t="inlineStr">
        <is>
          <t>Billiards · Roguelike Deckbuilder · Puzzle · Difficult · Roguelite · Turn-Based Tactics · Singleplayer · Roguelike</t>
        </is>
      </c>
    </row>
    <row r="636" ht="15" customHeight="1" s="78">
      <c r="A636" s="152" t="n">
        <v>4802350</v>
      </c>
      <c r="B636" s="152" t="inlineStr">
        <is>
          <t>Luck of the Draw</t>
        </is>
      </c>
      <c r="C636" s="152" t="n">
        <v>2026</v>
      </c>
      <c r="D636" s="153" t="n">
        <v>4.99</v>
      </c>
      <c r="E636" s="154" t="n">
        <v>339</v>
      </c>
      <c r="F636" s="152" t="n">
        <v>100</v>
      </c>
      <c r="G636" s="152" t="inlineStr">
        <is>
          <t>SuperFake Games</t>
        </is>
      </c>
      <c r="H636" s="152" t="inlineStr">
        <is>
          <t>Strategy · Card Battler · Turn-Based Tactics · Roguelike · Funny · Deckbuilding · Turn-Based Combat · Pixel Graphics</t>
        </is>
      </c>
    </row>
    <row r="637" ht="15" customHeight="1" s="78">
      <c r="A637" s="149" t="n">
        <v>1768530</v>
      </c>
      <c r="B637" s="149" t="inlineStr">
        <is>
          <t>MIYAMOTO S</t>
        </is>
      </c>
      <c r="C637" s="149" t="n">
        <v>2022</v>
      </c>
      <c r="D637" s="150" t="n">
        <v>8.99</v>
      </c>
      <c r="E637" s="151" t="n">
        <v>336</v>
      </c>
      <c r="F637" s="149" t="n">
        <v>77</v>
      </c>
      <c r="G637" s="149" t="inlineStr">
        <is>
          <t>hidekihanida</t>
        </is>
      </c>
      <c r="H637" s="149" t="inlineStr">
        <is>
          <t>Deckbuilding · Card Game · Turn-Based Tactics · Ninja · Tactical · Minimalist · Strategy · Singleplayer</t>
        </is>
      </c>
    </row>
    <row r="638" ht="15" customHeight="1" s="78">
      <c r="A638" s="152" t="n">
        <v>4537600</v>
      </c>
      <c r="B638" s="152" t="inlineStr">
        <is>
          <t>Dice Gun Commando</t>
        </is>
      </c>
      <c r="C638" s="152" t="n">
        <v>2026</v>
      </c>
      <c r="D638" s="153" t="n">
        <v>4.99</v>
      </c>
      <c r="E638" s="154" t="n">
        <v>336</v>
      </c>
      <c r="F638" s="152" t="n">
        <v>100</v>
      </c>
      <c r="G638" s="152" t="inlineStr">
        <is>
          <t>Loonicy Entertainment</t>
        </is>
      </c>
      <c r="H638" s="152" t="inlineStr">
        <is>
          <t>Action Roguelike · Dice · Bullet Heaven · Roguelike Deckbuilder · Top-Down Shooter · Deckbuilding · Roguelite · Roguelike</t>
        </is>
      </c>
    </row>
    <row r="639" ht="15" customHeight="1" s="78">
      <c r="A639" s="149" t="n">
        <v>3225730</v>
      </c>
      <c r="B639" s="149" t="inlineStr">
        <is>
          <t>Umbra Lumen</t>
        </is>
      </c>
      <c r="C639" s="149" t="n">
        <v>2026</v>
      </c>
      <c r="D639" s="150" t="n">
        <v>4.99</v>
      </c>
      <c r="E639" s="151" t="n">
        <v>334</v>
      </c>
      <c r="F639" s="149" t="n">
        <v>95</v>
      </c>
      <c r="G639" s="149" t="inlineStr">
        <is>
          <t>Opacheco</t>
        </is>
      </c>
      <c r="H639" s="149" t="inlineStr">
        <is>
          <t>Falling Blocks · Strategy · Roguelike · Indie · Difficult · Replay Value · Roguelite · Roguelike Deckbuilder</t>
        </is>
      </c>
    </row>
    <row r="640" ht="15" customHeight="1" s="78">
      <c r="A640" s="152" t="n">
        <v>4005490</v>
      </c>
      <c r="B640" s="152" t="inlineStr">
        <is>
          <t>Nightmares</t>
        </is>
      </c>
      <c r="C640" s="152" t="n">
        <v>2026</v>
      </c>
      <c r="D640" s="153" t="n">
        <v>0</v>
      </c>
      <c r="E640" s="154" t="n">
        <v>334</v>
      </c>
      <c r="F640" s="152" t="n">
        <v>22</v>
      </c>
      <c r="G640" s="152" t="inlineStr">
        <is>
          <t>https://steamcommunity.com/groups/NightmaresCardGaming</t>
        </is>
      </c>
      <c r="H640" s="152" t="inlineStr">
        <is>
          <t>Strategy · Card Game · Roguelite · Trading Card Game · 2D · Dark Fantasy · Deckbuilding · Turn-Based Tactics</t>
        </is>
      </c>
    </row>
    <row r="641" ht="15" customHeight="1" s="78">
      <c r="A641" s="149" t="n">
        <v>3902340</v>
      </c>
      <c r="B641" s="149" t="inlineStr">
        <is>
          <t>COMBOTRONICA</t>
        </is>
      </c>
      <c r="C641" s="149" t="n">
        <v>2026</v>
      </c>
      <c r="D641" s="150" t="n">
        <v>14.99</v>
      </c>
      <c r="E641" s="151" t="n">
        <v>327</v>
      </c>
      <c r="F641" s="149" t="n">
        <v>100</v>
      </c>
      <c r="G641" s="149" t="inlineStr">
        <is>
          <t>Grid Cortex Games</t>
        </is>
      </c>
      <c r="H641" s="149" t="inlineStr">
        <is>
          <t>Strategy · Casual · Roguelike Deckbuilder · Futuristic · 2D · Roguelike · Deckbuilding · Board Game</t>
        </is>
      </c>
    </row>
    <row r="642" ht="15" customHeight="1" s="78">
      <c r="A642" s="152" t="n">
        <v>3624300</v>
      </c>
      <c r="B642" s="152" t="inlineStr">
        <is>
          <t>Negative Space</t>
        </is>
      </c>
      <c r="C642" s="152" t="n">
        <v>2025</v>
      </c>
      <c r="D642" s="153" t="n">
        <v>7.99</v>
      </c>
      <c r="E642" s="154" t="n">
        <v>324</v>
      </c>
      <c r="F642" s="152" t="n">
        <v>100</v>
      </c>
      <c r="G642" s="152" t="inlineStr">
        <is>
          <t>Tier 87 Games</t>
        </is>
      </c>
      <c r="H642" s="152" t="inlineStr">
        <is>
          <t>Roguelike · Deckbuilding · Card Battler · Strategy · Tactical · Roguelite · Card Game · Sci-fi</t>
        </is>
      </c>
    </row>
    <row r="643" ht="15" customHeight="1" s="78">
      <c r="A643" s="149" t="n">
        <v>4439050</v>
      </c>
      <c r="B643" s="149" t="inlineStr">
        <is>
          <t>Curling</t>
        </is>
      </c>
      <c r="C643" s="149" t="n">
        <v>2026</v>
      </c>
      <c r="D643" s="150" t="n">
        <v>0</v>
      </c>
      <c r="E643" s="151" t="n">
        <v>324</v>
      </c>
      <c r="F643" s="149" t="n">
        <v>71</v>
      </c>
      <c r="G643" s="149" t="inlineStr">
        <is>
          <t>Blank Studios LLC</t>
        </is>
      </c>
      <c r="H643" s="149" t="inlineStr">
        <is>
          <t>Roguelike Deckbuilder · Sports · Turn-Based Tactics · PvE · PvP · Turn-Based Strategy · Arcade · Roguelike</t>
        </is>
      </c>
    </row>
    <row r="644" ht="15" customHeight="1" s="78">
      <c r="A644" s="152" t="n">
        <v>3380700</v>
      </c>
      <c r="B644" s="152" t="inlineStr">
        <is>
          <t>Papercraft Tactics</t>
        </is>
      </c>
      <c r="C644" s="152" t="n">
        <v>2026</v>
      </c>
      <c r="D644" s="153" t="n">
        <v>7.99</v>
      </c>
      <c r="E644" s="154" t="n">
        <v>323</v>
      </c>
      <c r="F644" s="152" t="n">
        <v>100</v>
      </c>
      <c r="G644" s="152" t="inlineStr">
        <is>
          <t>AGE Zero</t>
        </is>
      </c>
      <c r="H644" s="152" t="inlineStr">
        <is>
          <t>Auto Battler · Roguelite · Dungeon Crawler · Replay Value · Strategy · Inventory Management · Roguelike · Dark</t>
        </is>
      </c>
    </row>
    <row r="645" ht="15" customHeight="1" s="78">
      <c r="A645" s="149" t="n">
        <v>2996150</v>
      </c>
      <c r="B645" s="149" t="inlineStr">
        <is>
          <t>Zodiac Mountain</t>
        </is>
      </c>
      <c r="C645" s="149" t="n">
        <v>2026</v>
      </c>
      <c r="D645" s="150" t="n">
        <v>12.99</v>
      </c>
      <c r="E645" s="151" t="n">
        <v>322</v>
      </c>
      <c r="F645" s="149" t="n">
        <v>94</v>
      </c>
      <c r="G645" s="149" t="inlineStr">
        <is>
          <t>Mystic Road</t>
        </is>
      </c>
      <c r="H645" s="149" t="inlineStr">
        <is>
          <t>Early Access · Roguelike Deckbuilder · Deckbuilding · Card Battler · Roguelike · Strategy · Card Game · Roguelite</t>
        </is>
      </c>
    </row>
    <row r="646" ht="15" customHeight="1" s="78">
      <c r="A646" s="152" t="n">
        <v>2620530</v>
      </c>
      <c r="B646" s="152" t="inlineStr">
        <is>
          <t>Perfect Teams</t>
        </is>
      </c>
      <c r="C646" s="152" t="n">
        <v>2024</v>
      </c>
      <c r="D646" s="153" t="n">
        <v>19.99</v>
      </c>
      <c r="E646" s="154" t="n">
        <v>317</v>
      </c>
      <c r="F646" s="152" t="n">
        <v>95</v>
      </c>
      <c r="G646" s="152" t="inlineStr">
        <is>
          <t>Lys Games</t>
        </is>
      </c>
      <c r="H646" s="152" t="inlineStr">
        <is>
          <t>Roguelike Deckbuilder · Card Game · Card Battler · Roguelike · Strategy · Deckbuilding · Choices Matter · Turn-Based</t>
        </is>
      </c>
    </row>
    <row r="647" ht="15" customHeight="1" s="78">
      <c r="A647" s="149" t="n">
        <v>1827640</v>
      </c>
      <c r="B647" s="149" t="inlineStr">
        <is>
          <t>DINO MERCS</t>
        </is>
      </c>
      <c r="C647" s="149" t="n">
        <v>2024</v>
      </c>
      <c r="D647" s="150" t="n">
        <v>6.99</v>
      </c>
      <c r="E647" s="151" t="n">
        <v>316</v>
      </c>
      <c r="F647" s="149" t="n">
        <v>69</v>
      </c>
      <c r="G647" s="149" t="inlineStr">
        <is>
          <t>Unusual Undertaking</t>
        </is>
      </c>
      <c r="H647" s="149" t="inlineStr">
        <is>
          <t>Card Game · Roguelite · Turn-Based Tactics · Roguelike Deckbuilder · Dinosaurs · Card Battler · Roguelike · Turn-Based Combat</t>
        </is>
      </c>
    </row>
    <row r="648" ht="15" customHeight="1" s="78">
      <c r="A648" s="152" t="n">
        <v>3658250</v>
      </c>
      <c r="B648" s="152" t="inlineStr">
        <is>
          <t>Deck of Stabs</t>
        </is>
      </c>
      <c r="C648" s="152" t="n">
        <v>2026</v>
      </c>
      <c r="D648" s="153" t="n">
        <v>14.99</v>
      </c>
      <c r="E648" s="154" t="n">
        <v>315</v>
      </c>
      <c r="F648" s="152" t="n">
        <v>86</v>
      </c>
      <c r="G648" s="152" t="inlineStr">
        <is>
          <t>RetroAction Games</t>
        </is>
      </c>
      <c r="H648" s="152" t="inlineStr">
        <is>
          <t>Roguelike Deckbuilder · Card Game · Card Battler · Dungeon Crawler · Retro · Deckbuilding · Roguelike · Turn-Based Strategy</t>
        </is>
      </c>
    </row>
    <row r="649" ht="15" customHeight="1" s="78">
      <c r="A649" s="149" t="n">
        <v>4165060</v>
      </c>
      <c r="B649" s="149" t="inlineStr">
        <is>
          <t>Youth Academy</t>
        </is>
      </c>
      <c r="C649" s="149" t="n">
        <v>2026</v>
      </c>
      <c r="D649" s="150" t="n">
        <v>5.99</v>
      </c>
      <c r="E649" s="151" t="n">
        <v>315</v>
      </c>
      <c r="F649" s="149" t="n">
        <v>64</v>
      </c>
      <c r="G649" s="149" t="inlineStr">
        <is>
          <t>Oba Games</t>
        </is>
      </c>
      <c r="H649" s="149" t="inlineStr">
        <is>
          <t>Auto Battler · Football (Soccer) · Relaxing · Arcade · Management · Card Game · Roguelike · Card Battler</t>
        </is>
      </c>
    </row>
    <row r="650" ht="15" customHeight="1" s="78">
      <c r="A650" s="152" t="n">
        <v>4090730</v>
      </c>
      <c r="B650" s="152" t="inlineStr">
        <is>
          <t>Sengodai</t>
        </is>
      </c>
      <c r="C650" s="152" t="n">
        <v>2025</v>
      </c>
      <c r="D650" s="153" t="n">
        <v>9.99</v>
      </c>
      <c r="E650" s="154" t="n">
        <v>314</v>
      </c>
      <c r="F650" s="152" t="n">
        <v>93</v>
      </c>
      <c r="G650" s="152" t="inlineStr">
        <is>
          <t>Tsunoa Games</t>
        </is>
      </c>
      <c r="H650" s="152" t="inlineStr">
        <is>
          <t>Roguelike Deckbuilder · Strategy · Creature Collector · RPG · Card Battler · Trading Card Game · Roguelike · Deckbuilding</t>
        </is>
      </c>
    </row>
    <row r="651" ht="15" customHeight="1" s="78">
      <c r="A651" s="149" t="n">
        <v>2529010</v>
      </c>
      <c r="B651" s="149" t="inlineStr">
        <is>
          <t>One More Try: Prologue</t>
        </is>
      </c>
      <c r="C651" s="149" t="n">
        <v>2026</v>
      </c>
      <c r="D651" s="150" t="n">
        <v>0</v>
      </c>
      <c r="E651" s="151" t="n">
        <v>312</v>
      </c>
      <c r="F651" s="149" t="n">
        <v>50</v>
      </c>
      <c r="G651" s="149" t="inlineStr">
        <is>
          <t>4Cats</t>
        </is>
      </c>
      <c r="H651" s="149" t="inlineStr">
        <is>
          <t>Deckbuilding · Roguelike Deckbuilder · Strategy · RPG · Adventure · Singleplayer · 2D · Card Game</t>
        </is>
      </c>
    </row>
    <row r="652" ht="15" customHeight="1" s="78">
      <c r="A652" s="152" t="n">
        <v>3319720</v>
      </c>
      <c r="B652" s="152" t="inlineStr">
        <is>
          <t>Kernel</t>
        </is>
      </c>
      <c r="C652" s="152" t="n">
        <v>2025</v>
      </c>
      <c r="D652" s="153" t="n">
        <v>5.99</v>
      </c>
      <c r="E652" s="154" t="n">
        <v>310</v>
      </c>
      <c r="F652" s="152" t="n">
        <v>89</v>
      </c>
      <c r="G652" s="152" t="inlineStr">
        <is>
          <t>ArchZoDo</t>
        </is>
      </c>
      <c r="H652" s="152" t="inlineStr">
        <is>
          <t>Strategy · Card Game · Indie · Roguelike · Auto Battler · Card Battler · Roguelite · Singleplayer</t>
        </is>
      </c>
    </row>
    <row r="653" ht="15" customHeight="1" s="78">
      <c r="A653" s="149" t="n">
        <v>3889600</v>
      </c>
      <c r="B653" s="149" t="inlineStr">
        <is>
          <t>Gridfall</t>
        </is>
      </c>
      <c r="C653" s="149" t="n">
        <v>2025</v>
      </c>
      <c r="D653" s="150" t="n">
        <v>6.99</v>
      </c>
      <c r="E653" s="151" t="n">
        <v>309</v>
      </c>
      <c r="F653" s="149" t="n">
        <v>100</v>
      </c>
      <c r="G653" s="149" t="inlineStr">
        <is>
          <t>Lucerna Frameworks</t>
        </is>
      </c>
      <c r="H653" s="149" t="inlineStr">
        <is>
          <t>Card Game · Roguelike · Roguelike Deckbuilder · Deckbuilding · Singleplayer · Pixel Graphics · Strategy · Replay Value</t>
        </is>
      </c>
    </row>
    <row r="654" ht="15" customHeight="1" s="78">
      <c r="A654" s="152" t="n">
        <v>3608900</v>
      </c>
      <c r="B654" s="152" t="inlineStr">
        <is>
          <t>NOMIA</t>
        </is>
      </c>
      <c r="C654" s="152" t="n">
        <v>2026</v>
      </c>
      <c r="D654" s="153" t="n">
        <v>19.99</v>
      </c>
      <c r="E654" s="154" t="n">
        <v>304</v>
      </c>
      <c r="F654" s="152" t="n">
        <v>100</v>
      </c>
      <c r="G654" s="152" t="inlineStr">
        <is>
          <t>Magnesium Ninja</t>
        </is>
      </c>
      <c r="H654" s="152" t="inlineStr">
        <is>
          <t>Turn-Based Tactics · Roguelike Deckbuilder · Tactical RPG · Card Battler · Story Rich · Fantasy · Isometric · Female Protagonist</t>
        </is>
      </c>
    </row>
    <row r="655" ht="15" customHeight="1" s="78">
      <c r="A655" s="149" t="n">
        <v>3458600</v>
      </c>
      <c r="B655" s="149" t="inlineStr">
        <is>
          <t>NINDO Guardian of the Starlit Shadow</t>
        </is>
      </c>
      <c r="C655" s="149" t="n">
        <v>2025</v>
      </c>
      <c r="D655" s="150" t="n">
        <v>9.99</v>
      </c>
      <c r="E655" s="151" t="n">
        <v>301</v>
      </c>
      <c r="F655" s="149" t="n">
        <v>100</v>
      </c>
      <c r="G655" s="149" t="inlineStr">
        <is>
          <t>MORIKICHIDO</t>
        </is>
      </c>
      <c r="H655" s="149" t="inlineStr">
        <is>
          <t>Roguelike Deckbuilder · Card Game · Card Battler · Roguelike · Deckbuilding · Strategy · Singleplayer · Replay Value</t>
        </is>
      </c>
    </row>
    <row r="656" ht="15" customHeight="1" s="78">
      <c r="A656" s="152" t="n">
        <v>2730820</v>
      </c>
      <c r="B656" s="152" t="inlineStr">
        <is>
          <t>Aliosso</t>
        </is>
      </c>
      <c r="C656" s="152" t="n">
        <v>2026</v>
      </c>
      <c r="D656" s="153" t="n">
        <v>8.99</v>
      </c>
      <c r="E656" s="154" t="n">
        <v>300</v>
      </c>
      <c r="F656" s="152" t="n">
        <v>91</v>
      </c>
      <c r="G656" s="152" t="inlineStr">
        <is>
          <t>Fioretto Studios</t>
        </is>
      </c>
      <c r="H656" s="152" t="inlineStr">
        <is>
          <t>Strategy · Roguelike Deckbuilder · Card Game · Roguelike · Deckbuilding · Singleplayer · Card Battler · Turn-Based</t>
        </is>
      </c>
    </row>
    <row r="657" ht="15" customHeight="1" s="78">
      <c r="A657" s="149" t="n">
        <v>3941030</v>
      </c>
      <c r="B657" s="149" t="inlineStr">
        <is>
          <t>SOLARFLARE</t>
        </is>
      </c>
      <c r="C657" s="149" t="n">
        <v>2026</v>
      </c>
      <c r="D657" s="150" t="n">
        <v>4</v>
      </c>
      <c r="E657" s="151" t="n">
        <v>300</v>
      </c>
      <c r="F657" s="149" t="n">
        <v>100</v>
      </c>
      <c r="G657" s="149" t="inlineStr">
        <is>
          <t>Swarmforge</t>
        </is>
      </c>
      <c r="H657" s="149" t="inlineStr">
        <is>
          <t>Auto Battler · Character Customization · Roguelike Deckbuilder · Sci-fi · Card Battler · Singleplayer · Turn-Based · Dungeon Crawler</t>
        </is>
      </c>
    </row>
    <row r="658" ht="15" customHeight="1" s="78">
      <c r="A658" s="152" t="n">
        <v>1440350</v>
      </c>
      <c r="B658" s="152" t="inlineStr">
        <is>
          <t>Staff Only</t>
        </is>
      </c>
      <c r="C658" s="152" t="n">
        <v>2020</v>
      </c>
      <c r="D658" s="153" t="n">
        <v>9.99</v>
      </c>
      <c r="E658" s="154" t="n">
        <v>295</v>
      </c>
      <c r="F658" s="152" t="n">
        <v>95</v>
      </c>
      <c r="G658" s="152" t="inlineStr">
        <is>
          <t>Exilland</t>
        </is>
      </c>
      <c r="H658" s="152" t="inlineStr">
        <is>
          <t>Solitaire · Card Battler · Roguelite · Puzzle · PvE · Card Game · Roguelike · Strategy</t>
        </is>
      </c>
    </row>
    <row r="659" ht="15" customHeight="1" s="78">
      <c r="A659" s="149" t="n">
        <v>2822690</v>
      </c>
      <c r="B659" s="149" t="inlineStr">
        <is>
          <t>Tiles &amp; Vials</t>
        </is>
      </c>
      <c r="C659" s="149" t="n">
        <v>2026</v>
      </c>
      <c r="D659" s="150" t="n">
        <v>6.99</v>
      </c>
      <c r="E659" s="151" t="n">
        <v>295</v>
      </c>
      <c r="F659" s="149" t="n">
        <v>100</v>
      </c>
      <c r="G659" s="149" t="inlineStr">
        <is>
          <t>Iron Axe Games</t>
        </is>
      </c>
      <c r="H659" s="149" t="inlineStr">
        <is>
          <t>Strategy · Roguelike · Deckbuilding · Puzzle · Turn-Based Combat · Roguelite · Roguelike Deckbuilder · Fantasy</t>
        </is>
      </c>
    </row>
    <row r="660" ht="15" customHeight="1" s="78">
      <c r="A660" s="152" t="n">
        <v>2665030</v>
      </c>
      <c r="B660" s="152" t="inlineStr">
        <is>
          <t>Code Has Price</t>
        </is>
      </c>
      <c r="C660" s="152" t="n">
        <v>2024</v>
      </c>
      <c r="D660" s="153" t="n">
        <v>3.99</v>
      </c>
      <c r="E660" s="154" t="n">
        <v>295</v>
      </c>
      <c r="F660" s="152" t="n">
        <v>78</v>
      </c>
      <c r="G660" s="152" t="inlineStr">
        <is>
          <t>Fewjix</t>
        </is>
      </c>
      <c r="H660" s="152" t="inlineStr">
        <is>
          <t>Automation · Turn-Based Tactics · Point &amp; Click · Simulation · Sokoban · Deckbuilding · Pixel Graphics · Logic</t>
        </is>
      </c>
    </row>
    <row r="661" ht="15" customHeight="1" s="78">
      <c r="A661" s="149" t="n">
        <v>2456130</v>
      </c>
      <c r="B661" s="149" t="inlineStr">
        <is>
          <t>Demon's Bane</t>
        </is>
      </c>
      <c r="C661" s="149" t="n">
        <v>2023</v>
      </c>
      <c r="D661" s="150" t="n">
        <v>2.99</v>
      </c>
      <c r="E661" s="151" t="n">
        <v>294</v>
      </c>
      <c r="F661" s="149" t="n">
        <v>86</v>
      </c>
      <c r="G661" s="149" t="inlineStr">
        <is>
          <t>JD van Dingenen</t>
        </is>
      </c>
      <c r="H661" s="149" t="inlineStr">
        <is>
          <t>Roguelike Deckbuilder · Card Battler · Indie · Deckbuilding · Fantasy · RPG · Turn-Based Combat · Roguelite</t>
        </is>
      </c>
    </row>
    <row r="662" ht="15" customHeight="1" s="78">
      <c r="A662" s="152" t="n">
        <v>3063960</v>
      </c>
      <c r="B662" s="152" t="inlineStr">
        <is>
          <t>Do You Have a Moment to Talk About Our Lord and Savior?</t>
        </is>
      </c>
      <c r="C662" s="152" t="n">
        <v>2024</v>
      </c>
      <c r="D662" s="153" t="n">
        <v>3.99</v>
      </c>
      <c r="E662" s="154" t="n">
        <v>286</v>
      </c>
      <c r="F662" s="152" t="n">
        <v>75</v>
      </c>
      <c r="G662" s="152" t="inlineStr">
        <is>
          <t>Worst Event</t>
        </is>
      </c>
      <c r="H662" s="152" t="inlineStr">
        <is>
          <t>Roguelike Deckbuilder · Card Battler · Psychological Horror · Card Game · Horror · Gambling · Deckbuilding · Story Rich</t>
        </is>
      </c>
    </row>
    <row r="663" ht="15" customHeight="1" s="78">
      <c r="A663" s="149" t="n">
        <v>2971390</v>
      </c>
      <c r="B663" s="149" t="inlineStr">
        <is>
          <t>Roll Five</t>
        </is>
      </c>
      <c r="C663" s="149" t="n">
        <v>2024</v>
      </c>
      <c r="D663" s="150" t="n">
        <v>10.99</v>
      </c>
      <c r="E663" s="151" t="n">
        <v>285</v>
      </c>
      <c r="F663" s="149" t="n">
        <v>95</v>
      </c>
      <c r="G663" s="149" t="inlineStr">
        <is>
          <t>One Family Army</t>
        </is>
      </c>
      <c r="H663" s="149" t="inlineStr">
        <is>
          <t>Roguelike Deckbuilder · Deckbuilding · Dice · Strategy · Replay Value · Roguelike · Turn-Based Tactics · Singleplayer</t>
        </is>
      </c>
    </row>
    <row r="664" ht="15" customHeight="1" s="78">
      <c r="A664" s="152" t="n">
        <v>4152060</v>
      </c>
      <c r="B664" s="152" t="inlineStr">
        <is>
          <t>Boardfall zero</t>
        </is>
      </c>
      <c r="C664" s="152" t="n">
        <v>2025</v>
      </c>
      <c r="D664" s="153" t="n">
        <v>0</v>
      </c>
      <c r="E664" s="154" t="n">
        <v>285</v>
      </c>
      <c r="F664" s="152" t="n">
        <v>100</v>
      </c>
      <c r="G664" s="152" t="inlineStr">
        <is>
          <t>Follow the fun</t>
        </is>
      </c>
      <c r="H664" s="152" t="inlineStr">
        <is>
          <t>Roguelite · Choices Matter · Chess · Replay Value · Turn-Based Strategy · Deckbuilding · Roguelike · Strategy</t>
        </is>
      </c>
    </row>
    <row r="665" ht="15" customHeight="1" s="78">
      <c r="A665" s="149" t="n">
        <v>3155780</v>
      </c>
      <c r="B665" s="149" t="inlineStr">
        <is>
          <t>The Valley: XuGu</t>
        </is>
      </c>
      <c r="C665" s="149" t="n">
        <v>2024</v>
      </c>
      <c r="D665" s="150" t="n">
        <v>6.99</v>
      </c>
      <c r="E665" s="151" t="n">
        <v>280</v>
      </c>
      <c r="F665" s="149" t="n">
        <v>81</v>
      </c>
      <c r="G665" s="149" t="inlineStr">
        <is>
          <t>7 Funny</t>
        </is>
      </c>
      <c r="H665" s="149" t="inlineStr">
        <is>
          <t>Casual · Strategy · Indie · Roguelike Deckbuilder · Card Game · Roguelike · Roguelite · 2D</t>
        </is>
      </c>
    </row>
    <row r="666" ht="15" customHeight="1" s="78">
      <c r="A666" s="152" t="n">
        <v>3043320</v>
      </c>
      <c r="B666" s="152" t="inlineStr">
        <is>
          <t>Mage Food Truck</t>
        </is>
      </c>
      <c r="C666" s="152" t="n">
        <v>2025</v>
      </c>
      <c r="D666" s="153" t="n">
        <v>9.99</v>
      </c>
      <c r="E666" s="154" t="n">
        <v>278</v>
      </c>
      <c r="F666" s="152" t="n">
        <v>100</v>
      </c>
      <c r="G666" s="152" t="inlineStr">
        <is>
          <t>One Man Left Studios</t>
        </is>
      </c>
      <c r="H666" s="152" t="inlineStr">
        <is>
          <t>Roguelike Deckbuilder · Cooking · Deckbuilding · Card Game · Fantasy · Tabletop · Board Game · Score Attack</t>
        </is>
      </c>
    </row>
    <row r="667" ht="15" customHeight="1" s="78">
      <c r="A667" s="149" t="n">
        <v>3215240</v>
      </c>
      <c r="B667" s="149" t="inlineStr">
        <is>
          <t>Probability Dungeon</t>
        </is>
      </c>
      <c r="C667" s="149" t="n">
        <v>2025</v>
      </c>
      <c r="D667" s="150" t="n">
        <v>9.99</v>
      </c>
      <c r="E667" s="151" t="n">
        <v>275</v>
      </c>
      <c r="F667" s="149" t="n">
        <v>89</v>
      </c>
      <c r="G667" s="149" t="inlineStr">
        <is>
          <t>NiNauk</t>
        </is>
      </c>
      <c r="H667" s="149" t="inlineStr">
        <is>
          <t>Dice · Turn-Based · Deckbuilding · Mouse Only · Replay Value · Roguelike · 2D · Dungeon Crawler</t>
        </is>
      </c>
    </row>
    <row r="668" ht="15" customHeight="1" s="78">
      <c r="A668" s="152" t="n">
        <v>4002350</v>
      </c>
      <c r="B668" s="152" t="inlineStr">
        <is>
          <t>DUNGEON WALK4－蟲毒の魔蟲姫－</t>
        </is>
      </c>
      <c r="C668" s="152" t="n">
        <v>2026</v>
      </c>
      <c r="D668" s="153" t="n">
        <v>4.99</v>
      </c>
      <c r="E668" s="154" t="n">
        <v>270</v>
      </c>
      <c r="F668" s="152" t="n">
        <v>73</v>
      </c>
      <c r="G668" s="152" t="inlineStr">
        <is>
          <t>InuiNanGames</t>
        </is>
      </c>
      <c r="H668" s="152" t="inlineStr">
        <is>
          <t>Strategy · Card Game · Roguelike · Card Battler · Dark Fantasy · Fantasy · Deckbuilding · Indie</t>
        </is>
      </c>
    </row>
    <row r="669" ht="15" customHeight="1" s="78">
      <c r="A669" s="149" t="n">
        <v>2633860</v>
      </c>
      <c r="B669" s="149" t="inlineStr">
        <is>
          <t>Guild of Rogues</t>
        </is>
      </c>
      <c r="C669" s="149" t="n">
        <v>2024</v>
      </c>
      <c r="D669" s="150" t="n">
        <v>9.99</v>
      </c>
      <c r="E669" s="151" t="n">
        <v>267</v>
      </c>
      <c r="F669" s="149" t="n">
        <v>63</v>
      </c>
      <c r="G669" s="149" t="inlineStr">
        <is>
          <t>Roots Games</t>
        </is>
      </c>
      <c r="H669" s="149" t="inlineStr">
        <is>
          <t>Roguelike · Strategy · Auto Battler · Card Battler · RPG · Deckbuilding · Casual · Card Game</t>
        </is>
      </c>
    </row>
    <row r="670" ht="15" customHeight="1" s="78">
      <c r="A670" s="152" t="n">
        <v>4333220</v>
      </c>
      <c r="B670" s="152" t="inlineStr">
        <is>
          <t>Rummy Odyssey</t>
        </is>
      </c>
      <c r="C670" s="152" t="n">
        <v>2026</v>
      </c>
      <c r="D670" s="153" t="n">
        <v>2.99</v>
      </c>
      <c r="E670" s="154" t="n">
        <v>266</v>
      </c>
      <c r="F670" s="152" t="n">
        <v>90</v>
      </c>
      <c r="G670" s="152" t="inlineStr">
        <is>
          <t>Anarres Interactive</t>
        </is>
      </c>
      <c r="H670" s="152" t="inlineStr">
        <is>
          <t>Casual · Strategy · Board Game · Card Game · Roguelike · Indie · Tabletop · Mahjong</t>
        </is>
      </c>
    </row>
    <row r="671" ht="15" customHeight="1" s="78">
      <c r="A671" s="149" t="n">
        <v>3705150</v>
      </c>
      <c r="B671" s="149" t="inlineStr">
        <is>
          <t>Into The Depths</t>
        </is>
      </c>
      <c r="C671" s="149" t="n">
        <v>2026</v>
      </c>
      <c r="D671" s="150" t="n">
        <v>14.99</v>
      </c>
      <c r="E671" s="151" t="n">
        <v>261</v>
      </c>
      <c r="F671" s="149" t="n">
        <v>100</v>
      </c>
      <c r="G671" s="149" t="inlineStr">
        <is>
          <t>SmelJey</t>
        </is>
      </c>
      <c r="H671" s="149" t="inlineStr">
        <is>
          <t>City Builder · Strategy · Turn-Based · Roguelike Deckbuilder · Turn-Based Strategy · Roguelite · Exploration · Base Building</t>
        </is>
      </c>
    </row>
    <row r="672" ht="15" customHeight="1" s="78">
      <c r="A672" s="152" t="n">
        <v>2473410</v>
      </c>
      <c r="B672" s="152" t="inlineStr">
        <is>
          <t>Deckbane</t>
        </is>
      </c>
      <c r="C672" s="152" t="n">
        <v>2026</v>
      </c>
      <c r="D672" s="153" t="n">
        <v>9.99</v>
      </c>
      <c r="E672" s="154" t="n">
        <v>260</v>
      </c>
      <c r="F672" s="152" t="n">
        <v>67</v>
      </c>
      <c r="G672" s="152" t="inlineStr">
        <is>
          <t>Soong</t>
        </is>
      </c>
      <c r="H672" s="152" t="inlineStr">
        <is>
          <t>Roguelike Deckbuilder · Deckbuilding · Turn-Based Tactics · Card Battler · Tactical RPG · Roguelite · Solitaire · Traditional Roguelike</t>
        </is>
      </c>
    </row>
    <row r="673" ht="15" customHeight="1" s="78">
      <c r="A673" s="149" t="n">
        <v>3126090</v>
      </c>
      <c r="B673" s="149" t="inlineStr">
        <is>
          <t>Arcane Board</t>
        </is>
      </c>
      <c r="C673" s="149" t="n">
        <v>2025</v>
      </c>
      <c r="D673" s="150" t="n">
        <v>9.99</v>
      </c>
      <c r="E673" s="151" t="n">
        <v>256</v>
      </c>
      <c r="F673" s="149" t="n">
        <v>86</v>
      </c>
      <c r="G673" s="149" t="inlineStr">
        <is>
          <t>Arnolds Ostrovskis; Elena Nazarenko</t>
        </is>
      </c>
      <c r="H673" s="149" t="inlineStr">
        <is>
          <t>Board Game · RPG · Roguelike · 2D · Pixel Graphics · Fantasy · Singleplayer · Roguelike Deckbuilder</t>
        </is>
      </c>
    </row>
    <row r="674" ht="15" customHeight="1" s="78">
      <c r="A674" s="152" t="n">
        <v>4134230</v>
      </c>
      <c r="B674" s="152" t="inlineStr">
        <is>
          <t>Snack Escort</t>
        </is>
      </c>
      <c r="C674" s="152" t="n">
        <v>2026</v>
      </c>
      <c r="D674" s="153" t="n">
        <v>5.99</v>
      </c>
      <c r="E674" s="154" t="n">
        <v>254</v>
      </c>
      <c r="F674" s="152" t="n">
        <v>71</v>
      </c>
      <c r="G674" s="152" t="inlineStr">
        <is>
          <t>JuTek Pixel</t>
        </is>
      </c>
      <c r="H674" s="152" t="inlineStr">
        <is>
          <t>Roguelike Deckbuilder · Tower Defense · Card Game · Card Battler · Fantasy · Indie · Strategy · 2D</t>
        </is>
      </c>
    </row>
    <row r="675" ht="15" customHeight="1" s="78">
      <c r="A675" s="149" t="n">
        <v>2631650</v>
      </c>
      <c r="B675" s="149" t="inlineStr">
        <is>
          <t>Nif Nif</t>
        </is>
      </c>
      <c r="C675" s="149" t="n">
        <v>2025</v>
      </c>
      <c r="D675" s="150" t="n">
        <v>19.99</v>
      </c>
      <c r="E675" s="151" t="n">
        <v>250</v>
      </c>
      <c r="F675" s="149" t="n">
        <v>0</v>
      </c>
      <c r="G675" s="149" t="inlineStr">
        <is>
          <t>Springfox Games</t>
        </is>
      </c>
      <c r="H675" s="149" t="inlineStr">
        <is>
          <t>Roguelike Deckbuilder · Family Friendly · Card Game · Roguelike · Strategy · Cute · Cozy · Wholesome</t>
        </is>
      </c>
    </row>
    <row r="676" ht="15" customHeight="1" s="78">
      <c r="A676" s="152" t="n">
        <v>2153900</v>
      </c>
      <c r="B676" s="152" t="inlineStr">
        <is>
          <t>Ember's Love</t>
        </is>
      </c>
      <c r="C676" s="152" t="n">
        <v>2023</v>
      </c>
      <c r="D676" s="153" t="n">
        <v>0.99</v>
      </c>
      <c r="E676" s="154" t="n">
        <v>250</v>
      </c>
      <c r="F676" s="152" t="n">
        <v>70</v>
      </c>
      <c r="G676" s="152" t="inlineStr">
        <is>
          <t>LeeBbunsik</t>
        </is>
      </c>
      <c r="H676" s="152" t="inlineStr">
        <is>
          <t>Card Game · Deckbuilding · Roguelike Deckbuilder · Female Protagonist · Roguelike · Card Battler · Strategy · RPG</t>
        </is>
      </c>
    </row>
    <row r="677" ht="15" customHeight="1" s="78">
      <c r="A677" s="149" t="n">
        <v>2975040</v>
      </c>
      <c r="B677" s="149" t="inlineStr">
        <is>
          <t>Gate Guardian</t>
        </is>
      </c>
      <c r="C677" s="149" t="n">
        <v>2026</v>
      </c>
      <c r="D677" s="150" t="n">
        <v>4.99</v>
      </c>
      <c r="E677" s="151" t="n">
        <v>249</v>
      </c>
      <c r="F677" s="149" t="n">
        <v>91</v>
      </c>
      <c r="G677" s="149" t="inlineStr">
        <is>
          <t>Dmitriy Zakharov; Andrey Zakharov</t>
        </is>
      </c>
      <c r="H677" s="149" t="inlineStr">
        <is>
          <t>Roguelike · Deckbuilding · Auto Battler · Replay Value · Roguelike Deckbuilder · Difficult · Fantasy · Roguelite</t>
        </is>
      </c>
    </row>
    <row r="678" ht="15" customHeight="1" s="78">
      <c r="A678" s="152" t="n">
        <v>4023970</v>
      </c>
      <c r="B678" s="152" t="inlineStr">
        <is>
          <t>Scriver: A Word Game</t>
        </is>
      </c>
      <c r="C678" s="152" t="n">
        <v>2026</v>
      </c>
      <c r="D678" s="153" t="n">
        <v>7.99</v>
      </c>
      <c r="E678" s="154" t="n">
        <v>246</v>
      </c>
      <c r="F678" s="152" t="n">
        <v>100</v>
      </c>
      <c r="G678" s="152" t="inlineStr">
        <is>
          <t>doughbody</t>
        </is>
      </c>
      <c r="H678" s="152" t="inlineStr">
        <is>
          <t>Roguelike Deckbuilder · Casual · Strategy · Roguelike · Deckbuilding · Word Game · Hand-drawn · Roguelite</t>
        </is>
      </c>
    </row>
    <row r="679" ht="15" customHeight="1" s="78">
      <c r="A679" s="149" t="n">
        <v>3813260</v>
      </c>
      <c r="B679" s="149" t="inlineStr">
        <is>
          <t>连杀地牢（Dungeon Killing）</t>
        </is>
      </c>
      <c r="C679" s="149" t="n">
        <v>2025</v>
      </c>
      <c r="D679" s="150" t="n">
        <v>2.99</v>
      </c>
      <c r="E679" s="151" t="n">
        <v>245</v>
      </c>
      <c r="F679" s="149" t="n">
        <v>94</v>
      </c>
      <c r="G679" s="149" t="inlineStr">
        <is>
          <t>HuAngLiii GAME</t>
        </is>
      </c>
      <c r="H679" s="149" t="inlineStr">
        <is>
          <t>Strategy · Turn-Based Tactics · Roguelike · Mystery Dungeon · Turn-Based Strategy · 2D · Casual · Pixel Graphics</t>
        </is>
      </c>
    </row>
    <row r="680" ht="15" customHeight="1" s="78">
      <c r="A680" s="152" t="n">
        <v>3232520</v>
      </c>
      <c r="B680" s="152" t="inlineStr">
        <is>
          <t>Blasted Dice</t>
        </is>
      </c>
      <c r="C680" s="152" t="n">
        <v>2025</v>
      </c>
      <c r="D680" s="153" t="n">
        <v>7.99</v>
      </c>
      <c r="E680" s="154" t="n">
        <v>240</v>
      </c>
      <c r="F680" s="152" t="n">
        <v>77</v>
      </c>
      <c r="G680" s="152" t="inlineStr">
        <is>
          <t>Rodrigo Serôdio</t>
        </is>
      </c>
      <c r="H680" s="152" t="inlineStr">
        <is>
          <t>Roguelike Deckbuilder · Dice · Roguelike · Deckbuilding · Replay Value · Roguelite · Turn-Based · Strategy</t>
        </is>
      </c>
    </row>
    <row r="681" ht="15" customHeight="1" s="78">
      <c r="A681" s="149" t="n">
        <v>2117960</v>
      </c>
      <c r="B681" s="149" t="inlineStr">
        <is>
          <t>Slay The Zone</t>
        </is>
      </c>
      <c r="C681" s="149" t="n">
        <v>2022</v>
      </c>
      <c r="D681" s="150" t="n">
        <v>5.99</v>
      </c>
      <c r="E681" s="151" t="n">
        <v>240</v>
      </c>
      <c r="F681" s="149" t="n">
        <v>82</v>
      </c>
      <c r="G681" s="149" t="inlineStr">
        <is>
          <t>To Mayhem</t>
        </is>
      </c>
      <c r="H681" s="149" t="inlineStr">
        <is>
          <t>Action Roguelike · Bullet Hell · Arcade · RPG · Roguelike Deckbuilder · Shoot 'Em Up · Action RPG · Top-Down Shooter</t>
        </is>
      </c>
    </row>
    <row r="682" ht="15" customHeight="1" s="78">
      <c r="A682" s="152" t="n">
        <v>4529660</v>
      </c>
      <c r="B682" s="152" t="inlineStr">
        <is>
          <t>Greedy Spin: Reel Roguelike</t>
        </is>
      </c>
      <c r="C682" s="152" t="n">
        <v>2026</v>
      </c>
      <c r="D682" s="153" t="n">
        <v>7.99</v>
      </c>
      <c r="E682" s="154" t="n">
        <v>238</v>
      </c>
      <c r="F682" s="152" t="n">
        <v>100</v>
      </c>
      <c r="G682" s="152" t="inlineStr">
        <is>
          <t>Spinach Studio</t>
        </is>
      </c>
      <c r="H682" s="152" t="inlineStr">
        <is>
          <t>Roguelike · Gambling · Arcade · Roguelike Deckbuilder · Replay Value · Retro · Card Game · Strategy</t>
        </is>
      </c>
    </row>
    <row r="683" ht="15" customHeight="1" s="78">
      <c r="A683" s="149" t="n">
        <v>3327710</v>
      </c>
      <c r="B683" s="149" t="inlineStr">
        <is>
          <t>Shadows of Wyrmwood</t>
        </is>
      </c>
      <c r="C683" s="149" t="n">
        <v>2026</v>
      </c>
      <c r="D683" s="150" t="n">
        <v>14.99</v>
      </c>
      <c r="E683" s="151" t="n">
        <v>236</v>
      </c>
      <c r="F683" s="149" t="n">
        <v>50</v>
      </c>
      <c r="G683" s="149" t="inlineStr">
        <is>
          <t>Dream Foundry Games</t>
        </is>
      </c>
      <c r="H683" s="149" t="inlineStr">
        <is>
          <t>Early Access · Roguelike Deckbuilder · RPG · Roguelike · Turn-Based Strategy · Strategy · Dungeon Crawler · Procedural Generation</t>
        </is>
      </c>
    </row>
    <row r="684" ht="15" customHeight="1" s="78">
      <c r="A684" s="152" t="n">
        <v>2259380</v>
      </c>
      <c r="B684" s="152" t="inlineStr">
        <is>
          <t>Backroom</t>
        </is>
      </c>
      <c r="C684" s="152" t="n">
        <v>2024</v>
      </c>
      <c r="D684" s="153" t="n">
        <v>2.99</v>
      </c>
      <c r="E684" s="154" t="n">
        <v>236</v>
      </c>
      <c r="F684" s="152" t="n">
        <v>17</v>
      </c>
      <c r="G684" s="152" t="inlineStr">
        <is>
          <t>Molance Games</t>
        </is>
      </c>
      <c r="H684" s="152" t="inlineStr">
        <is>
          <t>Roguelike Deckbuilder · Strategy · Horror · Simulation · Roguelite · Roguelike · Deckbuilding · Turn-Based Strategy</t>
        </is>
      </c>
    </row>
    <row r="685" ht="15" customHeight="1" s="78">
      <c r="A685" s="149" t="n">
        <v>3822720</v>
      </c>
      <c r="B685" s="149" t="inlineStr">
        <is>
          <t>Deepest Well</t>
        </is>
      </c>
      <c r="C685" s="149" t="n">
        <v>2025</v>
      </c>
      <c r="D685" s="150" t="n">
        <v>4.99</v>
      </c>
      <c r="E685" s="151" t="n">
        <v>235</v>
      </c>
      <c r="F685" s="149" t="n">
        <v>75</v>
      </c>
      <c r="G685" s="149" t="inlineStr">
        <is>
          <t>Smoking Cartridge</t>
        </is>
      </c>
      <c r="H685" s="149" t="inlineStr">
        <is>
          <t>Action Roguelike · Roguelike Deckbuilder · Bullet Hell · Roguelike · Fantasy · Deckbuilding · Magic · Retro</t>
        </is>
      </c>
    </row>
    <row r="686" ht="15" customHeight="1" s="78">
      <c r="A686" s="152" t="n">
        <v>3909120</v>
      </c>
      <c r="B686" s="152" t="inlineStr">
        <is>
          <t>Picaro</t>
        </is>
      </c>
      <c r="C686" s="152" t="n">
        <v>2025</v>
      </c>
      <c r="D686" s="153" t="n">
        <v>6.99</v>
      </c>
      <c r="E686" s="154" t="n">
        <v>234</v>
      </c>
      <c r="F686" s="152" t="n">
        <v>100</v>
      </c>
      <c r="G686" s="152" t="inlineStr">
        <is>
          <t>Nightforge Studios</t>
        </is>
      </c>
      <c r="H686" s="152" t="inlineStr">
        <is>
          <t>Strategy · Card Game · Card Battler · Roguelike · Turn-Based Combat · Indie · Dungeon Crawler · Solitaire</t>
        </is>
      </c>
    </row>
    <row r="687" ht="15" customHeight="1" s="78">
      <c r="A687" s="149" t="n">
        <v>1371220</v>
      </c>
      <c r="B687" s="149" t="inlineStr">
        <is>
          <t>Death: The Ascension</t>
        </is>
      </c>
      <c r="C687" s="149" t="n">
        <v>2020</v>
      </c>
      <c r="D687" s="150" t="n">
        <v>4.99</v>
      </c>
      <c r="E687" s="151" t="n">
        <v>233</v>
      </c>
      <c r="F687" s="149" t="n">
        <v>70</v>
      </c>
      <c r="G687" s="149" t="inlineStr">
        <is>
          <t>Dystopian Ruler</t>
        </is>
      </c>
      <c r="H687" s="149" t="inlineStr">
        <is>
          <t>Roguelike Deckbuilder · Tabletop · Management · Medieval · Card Game · Capitalism · Roguelite · Strategy</t>
        </is>
      </c>
    </row>
    <row r="688" ht="15" customHeight="1" s="78">
      <c r="A688" s="152" t="n">
        <v>2271110</v>
      </c>
      <c r="B688" s="152" t="inlineStr">
        <is>
          <t>RogueViz Collection</t>
        </is>
      </c>
      <c r="C688" s="152" t="n">
        <v>2025</v>
      </c>
      <c r="D688" s="153" t="n">
        <v>6.99</v>
      </c>
      <c r="E688" s="154" t="n">
        <v>231</v>
      </c>
      <c r="F688" s="152" t="n">
        <v>91</v>
      </c>
      <c r="G688" s="152" t="inlineStr">
        <is>
          <t>Zeno Rogue</t>
        </is>
      </c>
      <c r="H688" s="152" t="inlineStr">
        <is>
          <t>Experimental · Racing · Psychedelic · Casual · Education · Science · Strategy · Arcade</t>
        </is>
      </c>
    </row>
    <row r="689" ht="15" customHeight="1" s="78">
      <c r="A689" s="149" t="n">
        <v>2183210</v>
      </c>
      <c r="B689" s="149" t="inlineStr">
        <is>
          <t>Fairy Card Rogue</t>
        </is>
      </c>
      <c r="C689" s="149" t="n">
        <v>2022</v>
      </c>
      <c r="D689" s="150" t="n">
        <v>9.99</v>
      </c>
      <c r="E689" s="151" t="n">
        <v>230</v>
      </c>
      <c r="F689" s="149" t="n">
        <v>80</v>
      </c>
      <c r="G689" s="149" t="inlineStr">
        <is>
          <t>46flare.net</t>
        </is>
      </c>
      <c r="H689" s="149" t="inlineStr">
        <is>
          <t>Strategy · Roguelite · Roguelike · 2D · Procedural Generation · Singleplayer · Roguelike Deckbuilder · Card Game</t>
        </is>
      </c>
    </row>
    <row r="690" ht="15" customHeight="1" s="78">
      <c r="A690" s="152" t="n">
        <v>2939570</v>
      </c>
      <c r="B690" s="152" t="inlineStr">
        <is>
          <t>Tower Knight</t>
        </is>
      </c>
      <c r="C690" s="152" t="n">
        <v>2024</v>
      </c>
      <c r="D690" s="153" t="n">
        <v>4.99</v>
      </c>
      <c r="E690" s="154" t="n">
        <v>230</v>
      </c>
      <c r="F690" s="152" t="n">
        <v>94</v>
      </c>
      <c r="G690" s="152" t="inlineStr">
        <is>
          <t>Sweet Apple Games</t>
        </is>
      </c>
      <c r="H690" s="152" t="inlineStr">
        <is>
          <t>Tower Defense · Roguelike · Puzzle · Deckbuilding · Strategy · Choices Matter · Building · Procedural Generation</t>
        </is>
      </c>
    </row>
    <row r="691" ht="15" customHeight="1" s="78">
      <c r="A691" s="149" t="n">
        <v>3054470</v>
      </c>
      <c r="B691" s="149" t="inlineStr">
        <is>
          <t>Rogue Zodiacs</t>
        </is>
      </c>
      <c r="C691" s="149" t="n">
        <v>2025</v>
      </c>
      <c r="D691" s="150" t="n">
        <v>19.99</v>
      </c>
      <c r="E691" s="151" t="n">
        <v>224</v>
      </c>
      <c r="F691" s="149" t="n">
        <v>91</v>
      </c>
      <c r="G691" s="149" t="inlineStr">
        <is>
          <t>QueL Games</t>
        </is>
      </c>
      <c r="H691" s="149" t="inlineStr">
        <is>
          <t>Roguelite · Turn-Based Combat · JRPG · Party-Based RPG · Turn-Based Strategy · Turn-Based Tactics · Replay Value · Roguelike</t>
        </is>
      </c>
    </row>
    <row r="692" ht="15" customHeight="1" s="78">
      <c r="A692" s="152" t="n">
        <v>3824090</v>
      </c>
      <c r="B692" s="152" t="inlineStr">
        <is>
          <t>Peganomics</t>
        </is>
      </c>
      <c r="C692" s="152" t="n">
        <v>2026</v>
      </c>
      <c r="D692" s="153" t="n">
        <v>2.99</v>
      </c>
      <c r="E692" s="154" t="n">
        <v>221</v>
      </c>
      <c r="F692" s="152" t="n">
        <v>14</v>
      </c>
      <c r="G692" s="152" t="inlineStr">
        <is>
          <t>Brian; Albie the seagull</t>
        </is>
      </c>
      <c r="H692" s="152" t="inlineStr">
        <is>
          <t>Strategy · Roguelite · Physics · Roguelike Deckbuilder · Deckbuilding · Pinball · Arcade · Gambling</t>
        </is>
      </c>
    </row>
    <row r="693" ht="15" customHeight="1" s="78">
      <c r="A693" s="149" t="n">
        <v>3737550</v>
      </c>
      <c r="B693" s="149" t="inlineStr">
        <is>
          <t>Spin Royale</t>
        </is>
      </c>
      <c r="C693" s="149" t="n">
        <v>2026</v>
      </c>
      <c r="D693" s="150" t="n">
        <v>5.99</v>
      </c>
      <c r="E693" s="151" t="n">
        <v>218</v>
      </c>
      <c r="F693" s="149" t="n">
        <v>100</v>
      </c>
      <c r="G693" s="149" t="inlineStr">
        <is>
          <t>Family Devs</t>
        </is>
      </c>
      <c r="H693" s="149" t="inlineStr">
        <is>
          <t>Idler · Incremental · Automation · Casual · Strategy · Management · Economy · Capitalism</t>
        </is>
      </c>
    </row>
    <row r="694" ht="15" customHeight="1" s="78">
      <c r="A694" s="152" t="n">
        <v>3225940</v>
      </c>
      <c r="B694" s="152" t="inlineStr">
        <is>
          <t>Tower of Jank</t>
        </is>
      </c>
      <c r="C694" s="152" t="n">
        <v>2026</v>
      </c>
      <c r="D694" s="153" t="n">
        <v>6.99</v>
      </c>
      <c r="E694" s="154" t="n">
        <v>216</v>
      </c>
      <c r="F694" s="152" t="n">
        <v>93</v>
      </c>
      <c r="G694" s="152" t="inlineStr">
        <is>
          <t>Matas Dragūnas</t>
        </is>
      </c>
      <c r="H694" s="152" t="inlineStr">
        <is>
          <t>Deckbuilding · Action · Bullet Hell · Roguelike · Auto Battler · PvE · Card Game · Action Roguelike</t>
        </is>
      </c>
    </row>
    <row r="695" ht="15" customHeight="1" s="78">
      <c r="A695" s="149" t="n">
        <v>4776160</v>
      </c>
      <c r="B695" s="149" t="inlineStr">
        <is>
          <t>Rutrum</t>
        </is>
      </c>
      <c r="C695" s="149" t="n">
        <v>2026</v>
      </c>
      <c r="D695" s="150" t="n">
        <v>14.99</v>
      </c>
      <c r="E695" s="151" t="n">
        <v>213</v>
      </c>
      <c r="F695" s="149" t="n">
        <v>100</v>
      </c>
      <c r="G695" s="149" t="inlineStr">
        <is>
          <t>uncertainkey</t>
        </is>
      </c>
      <c r="H695" s="149" t="inlineStr">
        <is>
          <t>Roguelite · Roguelike Deckbuilder · Physics · Falling Blocks · Replay Value · Roguelike · Indie · PvE</t>
        </is>
      </c>
    </row>
    <row r="696" ht="15" customHeight="1" s="78">
      <c r="A696" s="152" t="n">
        <v>2125490</v>
      </c>
      <c r="B696" s="152" t="inlineStr">
        <is>
          <t>蓬莱之旅</t>
        </is>
      </c>
      <c r="C696" s="152" t="n">
        <v>2026</v>
      </c>
      <c r="D696" s="153" t="n">
        <v>7.99</v>
      </c>
      <c r="E696" s="154" t="n">
        <v>208</v>
      </c>
      <c r="F696" s="152" t="n">
        <v>100</v>
      </c>
      <c r="G696" s="152" t="inlineStr">
        <is>
          <t>Nayuta Studio</t>
        </is>
      </c>
      <c r="H696" s="152" t="inlineStr">
        <is>
          <t>Roguelike Deckbuilder · Strategy · Card Battler · Card Game · Deckbuilding · Replay Value · Roguelike · Procedural Generation</t>
        </is>
      </c>
    </row>
    <row r="697" ht="15" customHeight="1" s="78">
      <c r="A697" s="149" t="n">
        <v>4827940</v>
      </c>
      <c r="B697" s="149" t="inlineStr">
        <is>
          <t>Wasteland Messenger</t>
        </is>
      </c>
      <c r="C697" s="149" t="n">
        <v>2026</v>
      </c>
      <c r="D697" s="150" t="n">
        <v>9.99</v>
      </c>
      <c r="E697" s="151" t="n">
        <v>207</v>
      </c>
      <c r="F697" s="149" t="n">
        <v>100</v>
      </c>
      <c r="G697" s="149" t="inlineStr">
        <is>
          <t>Qingyuan PixelBox Network Co., Ltd.</t>
        </is>
      </c>
      <c r="H697" s="149" t="inlineStr">
        <is>
          <t>Early Access · Card Battler · Roguelike Deckbuilder · Roguelite · Interactive Fiction · Female Protagonist · Strategy · Inventory Management</t>
        </is>
      </c>
    </row>
    <row r="698" ht="15" customHeight="1" s="78">
      <c r="A698" s="152" t="n">
        <v>2748770</v>
      </c>
      <c r="B698" s="152" t="inlineStr">
        <is>
          <t>Dala and the Cursed Forest</t>
        </is>
      </c>
      <c r="C698" s="152" t="n">
        <v>2026</v>
      </c>
      <c r="D698" s="153" t="n">
        <v>7.99</v>
      </c>
      <c r="E698" s="154" t="n">
        <v>207</v>
      </c>
      <c r="F698" s="152" t="n">
        <v>100</v>
      </c>
      <c r="G698" s="152" t="inlineStr">
        <is>
          <t>Zai Studio</t>
        </is>
      </c>
      <c r="H698" s="152" t="inlineStr">
        <is>
          <t>Roguelike Deckbuilder · Roguelike · Card Game · Card Battler · Deckbuilding · Strategy · Mythology · Female Protagonist</t>
        </is>
      </c>
    </row>
    <row r="699" ht="15" customHeight="1" s="78">
      <c r="A699" s="149" t="n">
        <v>4236830</v>
      </c>
      <c r="B699" s="149" t="inlineStr">
        <is>
          <t>Card Colony</t>
        </is>
      </c>
      <c r="C699" s="149" t="n">
        <v>2026</v>
      </c>
      <c r="D699" s="150" t="n">
        <v>0</v>
      </c>
      <c r="E699" s="151" t="n">
        <v>207</v>
      </c>
      <c r="F699" s="149" t="n">
        <v>90</v>
      </c>
      <c r="G699" s="149" t="inlineStr">
        <is>
          <t>iKiNG</t>
        </is>
      </c>
      <c r="H699" s="149" t="inlineStr">
        <is>
          <t>Action · Deckbuilding · Roguelike Deckbuilder · Card Game · Incremental · 2D · Singleplayer · Free to Play</t>
        </is>
      </c>
    </row>
    <row r="700" ht="15" customHeight="1" s="78">
      <c r="A700" s="152" t="n">
        <v>4638590</v>
      </c>
      <c r="B700" s="152" t="inlineStr">
        <is>
          <t>Goaldeck</t>
        </is>
      </c>
      <c r="C700" s="152" t="n">
        <v>2026</v>
      </c>
      <c r="D700" s="153" t="n">
        <v>9.99</v>
      </c>
      <c r="E700" s="154" t="n">
        <v>206</v>
      </c>
      <c r="F700" s="152" t="n">
        <v>93</v>
      </c>
      <c r="G700" s="152" t="inlineStr">
        <is>
          <t>Pro Nobis Studio</t>
        </is>
      </c>
      <c r="H700" s="152" t="inlineStr">
        <is>
          <t>Deckbuilding · Strategy · Roguelike Deckbuilder · Card Battler · Roguelite · Card Game · Football (Soccer) · Turn-Based Tactics</t>
        </is>
      </c>
    </row>
    <row r="701" ht="15" customHeight="1" s="78">
      <c r="A701" s="149" t="n">
        <v>4810320</v>
      </c>
      <c r="B701" s="149" t="inlineStr">
        <is>
          <t>RailRogue</t>
        </is>
      </c>
      <c r="C701" s="149" t="n">
        <v>2026</v>
      </c>
      <c r="D701" s="150" t="n">
        <v>14.99</v>
      </c>
      <c r="E701" s="151" t="n">
        <v>205</v>
      </c>
      <c r="F701" s="149" t="n">
        <v>95</v>
      </c>
      <c r="G701" s="149" t="inlineStr">
        <is>
          <t>Brain Boost Ninja</t>
        </is>
      </c>
      <c r="H701" s="149" t="inlineStr">
        <is>
          <t>Roguelite · Roguelike Deckbuilder · Dice · Trains · Cozy · Roguelike · Score Attack · Typing</t>
        </is>
      </c>
    </row>
    <row r="702" ht="15" customHeight="1" s="78">
      <c r="A702" s="152" t="n">
        <v>2065870</v>
      </c>
      <c r="B702" s="152" t="inlineStr">
        <is>
          <t>Prescience</t>
        </is>
      </c>
      <c r="C702" s="152" t="n">
        <v>2024</v>
      </c>
      <c r="D702" s="153" t="n">
        <v>11.99</v>
      </c>
      <c r="E702" s="154" t="n">
        <v>205</v>
      </c>
      <c r="F702" s="152" t="n">
        <v>100</v>
      </c>
      <c r="G702" s="152" t="inlineStr">
        <is>
          <t>Ruan Hang</t>
        </is>
      </c>
      <c r="H702" s="152" t="inlineStr">
        <is>
          <t>Roguelike Deckbuilder · Card Battler · Deckbuilding · Roguelike · Card Game · Strategy · Turn-Based · Roguelite</t>
        </is>
      </c>
    </row>
    <row r="703" ht="15" customHeight="1" s="78">
      <c r="A703" s="149" t="n">
        <v>4157070</v>
      </c>
      <c r="B703" s="149" t="inlineStr">
        <is>
          <t>QPopGirl</t>
        </is>
      </c>
      <c r="C703" s="149" t="n">
        <v>2026</v>
      </c>
      <c r="D703" s="150" t="n">
        <v>4.99</v>
      </c>
      <c r="E703" s="151" t="n">
        <v>203</v>
      </c>
      <c r="F703" s="149" t="n">
        <v>100</v>
      </c>
      <c r="G703" s="149" t="inlineStr">
        <is>
          <t>Emotion Dynamics</t>
        </is>
      </c>
      <c r="H703" s="149" t="inlineStr">
        <is>
          <t>Puzzle Platformer · Roguelite · Puzzle · Roguelike · Female Protagonist · Strategy · 2D · Cute</t>
        </is>
      </c>
    </row>
    <row r="704" ht="15" customHeight="1" s="78">
      <c r="A704" s="152" t="n">
        <v>3725870</v>
      </c>
      <c r="B704" s="152" t="inlineStr">
        <is>
          <t>Crossed Tiles</t>
        </is>
      </c>
      <c r="C704" s="152" t="n">
        <v>2026</v>
      </c>
      <c r="D704" s="153" t="n">
        <v>0</v>
      </c>
      <c r="E704" s="154" t="n">
        <v>201</v>
      </c>
      <c r="F704" s="152" t="n">
        <v>75</v>
      </c>
      <c r="G704" s="152" t="inlineStr">
        <is>
          <t>doughnutworks</t>
        </is>
      </c>
      <c r="H704" s="152" t="inlineStr">
        <is>
          <t>Strategy · Auto Battler · Inventory Management · PvP · Roguelike Deckbuilder · Tactical · Roguelike · Hex Grid</t>
        </is>
      </c>
    </row>
    <row r="705" ht="15" customHeight="1" s="78">
      <c r="A705" s="149" t="n">
        <v>1909260</v>
      </c>
      <c r="B705" s="149" t="inlineStr">
        <is>
          <t>Looping Bravery</t>
        </is>
      </c>
      <c r="C705" s="149" t="n">
        <v>2022</v>
      </c>
      <c r="D705" s="150" t="n">
        <v>4.99</v>
      </c>
      <c r="E705" s="151" t="n">
        <v>200</v>
      </c>
      <c r="F705" s="149" t="n">
        <v>100</v>
      </c>
      <c r="G705" s="149" t="inlineStr">
        <is>
          <t>Purisic Games</t>
        </is>
      </c>
      <c r="H705" s="149" t="inlineStr">
        <is>
          <t>Card Game · Roguelike Deckbuilder · Card Battler · Deckbuilding · Roguelite · Turn-Based Strategy · Strategy · Turn-Based Tactics</t>
        </is>
      </c>
    </row>
    <row r="706" ht="15" customHeight="1" s="78">
      <c r="A706" s="152" t="n">
        <v>2958670</v>
      </c>
      <c r="B706" s="152" t="inlineStr">
        <is>
          <t>NUNNA</t>
        </is>
      </c>
      <c r="C706" s="152" t="n">
        <v>2024</v>
      </c>
      <c r="D706" s="153" t="n">
        <v>0.99</v>
      </c>
      <c r="E706" s="154" t="n">
        <v>199</v>
      </c>
      <c r="F706" s="152" t="n">
        <v>70</v>
      </c>
      <c r="G706" s="152" t="inlineStr">
        <is>
          <t>SAME QUBE</t>
        </is>
      </c>
      <c r="H706" s="152" t="inlineStr">
        <is>
          <t>Card Battler · Strategy · Turn-Based Tactics · Roguelite · Card Game · 2D · Procedural Generation · Pixel Graphics</t>
        </is>
      </c>
    </row>
    <row r="707" ht="15" customHeight="1" s="78">
      <c r="A707" s="149" t="n">
        <v>4415040</v>
      </c>
      <c r="B707" s="149" t="inlineStr">
        <is>
          <t>CatCha</t>
        </is>
      </c>
      <c r="C707" s="149" t="n">
        <v>2026</v>
      </c>
      <c r="D707" s="150" t="n">
        <v>9.99</v>
      </c>
      <c r="E707" s="151" t="n">
        <v>196</v>
      </c>
      <c r="F707" s="149" t="n">
        <v>100</v>
      </c>
      <c r="G707" s="149" t="inlineStr">
        <is>
          <t>Claw Games</t>
        </is>
      </c>
      <c r="H707" s="149" t="inlineStr">
        <is>
          <t>Roguelike · Cats · Strategy · Score Attack · Roguelike Deckbuilder · Singleplayer · Hand-drawn · Replay Value</t>
        </is>
      </c>
    </row>
    <row r="708" ht="15" customHeight="1" s="78">
      <c r="A708" s="152" t="n">
        <v>4291760</v>
      </c>
      <c r="B708" s="152" t="inlineStr">
        <is>
          <t>RogueFlip</t>
        </is>
      </c>
      <c r="C708" s="152" t="n">
        <v>2026</v>
      </c>
      <c r="D708" s="153" t="n">
        <v>0.99</v>
      </c>
      <c r="E708" s="154" t="n">
        <v>195</v>
      </c>
      <c r="F708" s="152" t="n">
        <v>100</v>
      </c>
      <c r="G708" s="152" t="inlineStr">
        <is>
          <t>Runt9 Productions</t>
        </is>
      </c>
      <c r="H708" s="152" t="inlineStr">
        <is>
          <t>Roguelite · Puzzle · Roguelike Deckbuilder · Logic · Roguelike · Minimalist · Strategy · 2D</t>
        </is>
      </c>
    </row>
    <row r="709" ht="15" customHeight="1" s="78">
      <c r="A709" s="149" t="n">
        <v>4246340</v>
      </c>
      <c r="B709" s="149" t="inlineStr">
        <is>
          <t>Gorotsuki Paradise</t>
        </is>
      </c>
      <c r="C709" s="149" t="n">
        <v>2026</v>
      </c>
      <c r="D709" s="150" t="n">
        <v>0</v>
      </c>
      <c r="E709" s="151" t="n">
        <v>193</v>
      </c>
      <c r="F709" s="149" t="n">
        <v>50</v>
      </c>
      <c r="G709" s="149" t="inlineStr">
        <is>
          <t>Kojika Games</t>
        </is>
      </c>
      <c r="H709" s="149" t="inlineStr">
        <is>
          <t>PvP · Card Battler · Card Game · Multiplayer · Deckbuilding · Strategy · Roguelike Deckbuilder · Crime</t>
        </is>
      </c>
    </row>
    <row r="710" ht="15" customHeight="1" s="78">
      <c r="A710" s="152" t="n">
        <v>3930110</v>
      </c>
      <c r="B710" s="152" t="inlineStr">
        <is>
          <t>Dice Card Heroes</t>
        </is>
      </c>
      <c r="C710" s="152" t="n">
        <v>2026</v>
      </c>
      <c r="D710" s="153" t="n">
        <v>7.99</v>
      </c>
      <c r="E710" s="154" t="n">
        <v>190</v>
      </c>
      <c r="F710" s="152" t="n">
        <v>91</v>
      </c>
      <c r="G710" s="152" t="inlineStr">
        <is>
          <t>David Skoko</t>
        </is>
      </c>
      <c r="H710" s="152" t="inlineStr">
        <is>
          <t>Deckbuilding · Roguelike Deckbuilder · Dice · Card Game · Difficult · Strategy · Roguelike · Card Battler</t>
        </is>
      </c>
    </row>
    <row r="711" ht="15" customHeight="1" s="78">
      <c r="A711" s="149" t="n">
        <v>2632650</v>
      </c>
      <c r="B711" s="149" t="inlineStr">
        <is>
          <t>Daemon Sigil</t>
        </is>
      </c>
      <c r="C711" s="149" t="n">
        <v>2025</v>
      </c>
      <c r="D711" s="150" t="n">
        <v>9.99</v>
      </c>
      <c r="E711" s="151" t="n">
        <v>190</v>
      </c>
      <c r="F711" s="149" t="n">
        <v>0</v>
      </c>
      <c r="G711" s="149" t="inlineStr">
        <is>
          <t>Ember Light Interactive</t>
        </is>
      </c>
      <c r="H711" s="149" t="inlineStr">
        <is>
          <t>Card Battler · Creature Collector · Roguelite · Strategy · Card Game · Roguelike Deckbuilder · Roguelike · Deckbuilding</t>
        </is>
      </c>
    </row>
    <row r="712" ht="15" customHeight="1" s="78">
      <c r="A712" s="152" t="n">
        <v>4245340</v>
      </c>
      <c r="B712" s="152" t="inlineStr">
        <is>
          <t>Dominocalypse</t>
        </is>
      </c>
      <c r="C712" s="152" t="n">
        <v>2026</v>
      </c>
      <c r="D712" s="153" t="n">
        <v>11.99</v>
      </c>
      <c r="E712" s="154" t="n">
        <v>188</v>
      </c>
      <c r="F712" s="152" t="n">
        <v>100</v>
      </c>
      <c r="G712" s="152" t="inlineStr">
        <is>
          <t>Barely Cohesive Games, LLC</t>
        </is>
      </c>
      <c r="H712" s="152" t="inlineStr">
        <is>
          <t>Roguelite · Puzzle · Board Game · Arcade · Turn-Based · Score Attack · Roguelike · Strategy</t>
        </is>
      </c>
    </row>
    <row r="713" ht="15" customHeight="1" s="78">
      <c r="A713" s="149" t="n">
        <v>2990670</v>
      </c>
      <c r="B713" s="149" t="inlineStr">
        <is>
          <t>Risk &amp; Riches</t>
        </is>
      </c>
      <c r="C713" s="149" t="n">
        <v>2025</v>
      </c>
      <c r="D713" s="150" t="n">
        <v>9.99</v>
      </c>
      <c r="E713" s="151" t="n">
        <v>188</v>
      </c>
      <c r="F713" s="149" t="n">
        <v>100</v>
      </c>
      <c r="G713" s="149" t="inlineStr">
        <is>
          <t>Growlery Games</t>
        </is>
      </c>
      <c r="H713" s="149" t="inlineStr">
        <is>
          <t>Roguelike Deckbuilder · Roguelite · Card Game · Deckbuilding · Card Battler · Strategy · Difficult · Dungeon Crawler</t>
        </is>
      </c>
    </row>
    <row r="714" ht="15" customHeight="1" s="78">
      <c r="A714" s="152" t="n">
        <v>3167610</v>
      </c>
      <c r="B714" s="152" t="inlineStr">
        <is>
          <t>Deck of Destiny: Battleforge</t>
        </is>
      </c>
      <c r="C714" s="152" t="n">
        <v>2026</v>
      </c>
      <c r="D714" s="153" t="n">
        <v>2.99</v>
      </c>
      <c r="E714" s="154" t="n">
        <v>187</v>
      </c>
      <c r="F714" s="152" t="n">
        <v>73</v>
      </c>
      <c r="G714" s="152" t="inlineStr">
        <is>
          <t>Furkan Selcuk</t>
        </is>
      </c>
      <c r="H714" s="152" t="inlineStr">
        <is>
          <t>Action Roguelike · Hack and Slash · Action · Roguelike · Roguelike Deckbuilder · Roguelite · Card Battler · Replay Value</t>
        </is>
      </c>
    </row>
    <row r="715" ht="15" customHeight="1" s="78">
      <c r="A715" s="149" t="n">
        <v>3778620</v>
      </c>
      <c r="B715" s="149" t="inlineStr">
        <is>
          <t>Raccoons to Riches</t>
        </is>
      </c>
      <c r="C715" s="149" t="n">
        <v>2026</v>
      </c>
      <c r="D715" s="150" t="n">
        <v>10.99</v>
      </c>
      <c r="E715" s="151" t="n">
        <v>185</v>
      </c>
      <c r="F715" s="149" t="n">
        <v>100</v>
      </c>
      <c r="G715" s="149" t="inlineStr">
        <is>
          <t>Secret Scroll Software</t>
        </is>
      </c>
      <c r="H715" s="149" t="inlineStr">
        <is>
          <t>Shop Keeper · Roguelike Deckbuilder · Animals · Roguelite · Deckbuilding · Medieval · Management · Cozy</t>
        </is>
      </c>
    </row>
    <row r="716" ht="15" customHeight="1" s="78">
      <c r="A716" s="152" t="n">
        <v>4529430</v>
      </c>
      <c r="B716" s="152" t="inlineStr">
        <is>
          <t>Ball, Fall, Dungeon Crawl</t>
        </is>
      </c>
      <c r="C716" s="152" t="n">
        <v>2026</v>
      </c>
      <c r="D716" s="153" t="n">
        <v>9.99</v>
      </c>
      <c r="E716" s="154" t="n">
        <v>183</v>
      </c>
      <c r="F716" s="152" t="n">
        <v>100</v>
      </c>
      <c r="G716" s="152" t="inlineStr">
        <is>
          <t>Moonroof Studios</t>
        </is>
      </c>
      <c r="H716" s="152" t="inlineStr">
        <is>
          <t>Physics · Roguelike Deckbuilder · Procedural Generation · Dungeon Crawler · Perma Death · RPG · Strategy · Roguelike</t>
        </is>
      </c>
    </row>
    <row r="717" ht="15" customHeight="1" s="78">
      <c r="A717" s="149" t="n">
        <v>3718740</v>
      </c>
      <c r="B717" s="149" t="inlineStr">
        <is>
          <t>FLAG-O-TRON</t>
        </is>
      </c>
      <c r="C717" s="149" t="n">
        <v>2026</v>
      </c>
      <c r="D717" s="150" t="n">
        <v>7.99</v>
      </c>
      <c r="E717" s="151" t="n">
        <v>183</v>
      </c>
      <c r="F717" s="149" t="n">
        <v>100</v>
      </c>
      <c r="G717" s="149" t="inlineStr">
        <is>
          <t>RubyRooster</t>
        </is>
      </c>
      <c r="H717" s="149" t="inlineStr">
        <is>
          <t>Strategy · Indie · Casual · Card Game · Roguelike · Turn-Based Strategy · 2D · Difficult</t>
        </is>
      </c>
    </row>
    <row r="718" ht="15" customHeight="1" s="78">
      <c r="A718" s="152" t="n">
        <v>3425390</v>
      </c>
      <c r="B718" s="152" t="inlineStr">
        <is>
          <t>Death and Ladders</t>
        </is>
      </c>
      <c r="C718" s="152" t="n">
        <v>2025</v>
      </c>
      <c r="D718" s="153" t="n">
        <v>4.99</v>
      </c>
      <c r="E718" s="154" t="n">
        <v>174</v>
      </c>
      <c r="F718" s="152" t="n">
        <v>100</v>
      </c>
      <c r="G718" s="152" t="inlineStr">
        <is>
          <t>Lema Games</t>
        </is>
      </c>
      <c r="H718" s="152" t="inlineStr">
        <is>
          <t>Multiplayer · Dark · Gambling · Horror · First-Person · Strategy · Singleplayer · 3D</t>
        </is>
      </c>
    </row>
    <row r="719" ht="15" customHeight="1" s="78">
      <c r="A719" s="149" t="n">
        <v>2284530</v>
      </c>
      <c r="B719" s="149" t="inlineStr">
        <is>
          <t>Tears RAIN: Tears of Goddess</t>
        </is>
      </c>
      <c r="C719" s="149" t="n">
        <v>2023</v>
      </c>
      <c r="D719" s="150" t="n">
        <v>6.99</v>
      </c>
      <c r="E719" s="151" t="n">
        <v>172</v>
      </c>
      <c r="F719" s="149" t="n">
        <v>67</v>
      </c>
      <c r="G719" s="149" t="inlineStr">
        <is>
          <t>NARAENC</t>
        </is>
      </c>
      <c r="H719" s="149" t="inlineStr">
        <is>
          <t>Strategy · Card Game · Roguelite · Turn-Based Combat · Deckbuilding · Action · Casual · Choices Matter</t>
        </is>
      </c>
    </row>
    <row r="720" ht="15" customHeight="1" s="78">
      <c r="A720" s="152" t="n">
        <v>3835670</v>
      </c>
      <c r="B720" s="152" t="inlineStr">
        <is>
          <t>TEKO</t>
        </is>
      </c>
      <c r="C720" s="152" t="n">
        <v>2026</v>
      </c>
      <c r="D720" s="153" t="n">
        <v>11.99</v>
      </c>
      <c r="E720" s="154" t="n">
        <v>171</v>
      </c>
      <c r="F720" s="152" t="n">
        <v>100</v>
      </c>
      <c r="G720" s="152" t="inlineStr">
        <is>
          <t>Talio Games</t>
        </is>
      </c>
      <c r="H720" s="152" t="inlineStr">
        <is>
          <t>Card Game · Strategy · Roguelike · Roguelike Deckbuilder · Deckbuilding · Singleplayer · Casual · Indie</t>
        </is>
      </c>
    </row>
    <row r="721" ht="15" customHeight="1" s="78">
      <c r="A721" s="149" t="n">
        <v>5020530</v>
      </c>
      <c r="B721" s="149" t="inlineStr">
        <is>
          <t>Joker Master</t>
        </is>
      </c>
      <c r="C721" s="149" t="n">
        <v>2026</v>
      </c>
      <c r="D721" s="150" t="n">
        <v>0</v>
      </c>
      <c r="E721" s="151" t="n">
        <v>171</v>
      </c>
      <c r="F721" s="149" t="n">
        <v>38</v>
      </c>
      <c r="G721" s="149" t="inlineStr">
        <is>
          <t>QuantumAI Solution</t>
        </is>
      </c>
      <c r="H721" s="149" t="inlineStr">
        <is>
          <t>Strategy · Roguelike Deckbuilder · Card Game · Cartoon · PvP · Score Attack · Turn-Based Tactics · Card Battler</t>
        </is>
      </c>
    </row>
    <row r="722" ht="15" customHeight="1" s="78">
      <c r="A722" s="152" t="n">
        <v>4018280</v>
      </c>
      <c r="B722" s="152" t="inlineStr">
        <is>
          <t>Star Dice</t>
        </is>
      </c>
      <c r="C722" s="152" t="n">
        <v>2026</v>
      </c>
      <c r="D722" s="153" t="n">
        <v>9.99</v>
      </c>
      <c r="E722" s="154" t="n">
        <v>170</v>
      </c>
      <c r="F722" s="152" t="n">
        <v>92</v>
      </c>
      <c r="G722" s="152" t="inlineStr">
        <is>
          <t>Just L Studio</t>
        </is>
      </c>
      <c r="H722" s="152" t="inlineStr">
        <is>
          <t>Strategy · Roguelike · Turn-Based Strategy · Dice · Roguelike Deckbuilder · Deckbuilding · Roguelite · Replay Value</t>
        </is>
      </c>
    </row>
    <row r="723" ht="15" customHeight="1" s="78">
      <c r="A723" s="149" t="n">
        <v>3964490</v>
      </c>
      <c r="B723" s="149" t="inlineStr">
        <is>
          <t>Ruina</t>
        </is>
      </c>
      <c r="C723" s="149" t="n">
        <v>2025</v>
      </c>
      <c r="D723" s="150" t="n">
        <v>9.99</v>
      </c>
      <c r="E723" s="151" t="n">
        <v>169</v>
      </c>
      <c r="F723" s="149" t="n">
        <v>100</v>
      </c>
      <c r="G723" s="149" t="inlineStr">
        <is>
          <t>Broken Down Software</t>
        </is>
      </c>
      <c r="H723" s="149" t="inlineStr">
        <is>
          <t>Roguelike Deckbuilder · Strategy · Roguelite · Deckbuilding · Score Attack · Puzzle · Singleplayer · Pixel Graphics</t>
        </is>
      </c>
    </row>
    <row r="724" ht="15" customHeight="1" s="78">
      <c r="A724" s="152" t="n">
        <v>5306270</v>
      </c>
      <c r="B724" s="152" t="inlineStr">
        <is>
          <t>Stancefolio</t>
        </is>
      </c>
      <c r="C724" s="152" t="n">
        <v>2026</v>
      </c>
      <c r="D724" s="153" t="n">
        <v>0</v>
      </c>
      <c r="E724" s="154" t="n">
        <v>169</v>
      </c>
      <c r="F724" s="152" t="n">
        <v>67</v>
      </c>
      <c r="G724" s="152" t="inlineStr">
        <is>
          <t>TarasFreund</t>
        </is>
      </c>
      <c r="H724" s="152" t="inlineStr">
        <is>
          <t>Adventure · Strategy · Card Game · Turn-Based Strategy · Roguelike · Card Battler · Turn-Based Tactics · Roguelike Deckbuilder</t>
        </is>
      </c>
    </row>
    <row r="725" ht="15" customHeight="1" s="78">
      <c r="A725" s="149" t="n">
        <v>1863170</v>
      </c>
      <c r="B725" s="149" t="inlineStr">
        <is>
          <t>From Dusk To Dawn</t>
        </is>
      </c>
      <c r="C725" s="149" t="n">
        <v>2022</v>
      </c>
      <c r="D725" s="150" t="n">
        <v>6.99</v>
      </c>
      <c r="E725" s="151" t="n">
        <v>168</v>
      </c>
      <c r="F725" s="149" t="n">
        <v>63</v>
      </c>
      <c r="G725" s="149" t="inlineStr">
        <is>
          <t>3P Studios</t>
        </is>
      </c>
      <c r="H725" s="149" t="inlineStr">
        <is>
          <t>Indie · Roguelike Deckbuilder · Strategy · Deckbuilding · Procedural Generation · Roguelite · Simulation · Singleplayer</t>
        </is>
      </c>
    </row>
    <row r="726" ht="15" customHeight="1" s="78">
      <c r="A726" s="152" t="n">
        <v>2216700</v>
      </c>
      <c r="B726" s="152" t="inlineStr">
        <is>
          <t>Decks Of Power</t>
        </is>
      </c>
      <c r="C726" s="152" t="n">
        <v>2023</v>
      </c>
      <c r="D726" s="153" t="n">
        <v>19.99</v>
      </c>
      <c r="E726" s="154" t="n">
        <v>166</v>
      </c>
      <c r="F726" s="152" t="n">
        <v>13</v>
      </c>
      <c r="G726" s="152" t="inlineStr">
        <is>
          <t>SmartOliveGames Ltd</t>
        </is>
      </c>
      <c r="H726" s="152" t="inlineStr">
        <is>
          <t>Action · Roguelike Deckbuilder · Card Battler · Turn-Based Strategy · Strategy · Singleplayer · Tactical</t>
        </is>
      </c>
    </row>
    <row r="727" ht="15" customHeight="1" s="78">
      <c r="A727" s="149" t="n">
        <v>2683590</v>
      </c>
      <c r="B727" s="149" t="inlineStr">
        <is>
          <t>LYMBUS</t>
        </is>
      </c>
      <c r="C727" s="149" t="n">
        <v>2025</v>
      </c>
      <c r="D727" s="150" t="n">
        <v>9.99</v>
      </c>
      <c r="E727" s="151" t="n">
        <v>165</v>
      </c>
      <c r="F727" s="149" t="n">
        <v>91</v>
      </c>
      <c r="G727" s="149" t="inlineStr">
        <is>
          <t>Happy Accident Studios</t>
        </is>
      </c>
      <c r="H727" s="149" t="inlineStr">
        <is>
          <t>Strategy · Action · Card Game · Roguelike · Roguelike Deckbuilder · Action Roguelike · Bullet Hell · Dungeon Crawler</t>
        </is>
      </c>
    </row>
    <row r="728" ht="15" customHeight="1" s="78">
      <c r="A728" s="152" t="n">
        <v>2209560</v>
      </c>
      <c r="B728" s="152" t="inlineStr">
        <is>
          <t>NoEL - Nothing on Elysion Line</t>
        </is>
      </c>
      <c r="C728" s="152" t="n">
        <v>2023</v>
      </c>
      <c r="D728" s="153" t="n">
        <v>24.99</v>
      </c>
      <c r="E728" s="154" t="n">
        <v>163</v>
      </c>
      <c r="F728" s="152" t="n">
        <v>58</v>
      </c>
      <c r="G728" s="152" t="inlineStr">
        <is>
          <t>Xenogames</t>
        </is>
      </c>
      <c r="H728" s="152" t="inlineStr">
        <is>
          <t>Card Game · Roguelike · Anime · Visual Novel · Roguelike Deckbuilder · Singleplayer · Turn-Based Strategy · Card Battler</t>
        </is>
      </c>
    </row>
    <row r="729" ht="15" customHeight="1" s="78">
      <c r="A729" s="149" t="n">
        <v>4718270</v>
      </c>
      <c r="B729" s="149" t="inlineStr">
        <is>
          <t>Blosharper: Battle of Blossoms</t>
        </is>
      </c>
      <c r="C729" s="149" t="n">
        <v>2026</v>
      </c>
      <c r="D729" s="150" t="n">
        <v>7.99</v>
      </c>
      <c r="E729" s="151" t="n">
        <v>161</v>
      </c>
      <c r="F729" s="149" t="n">
        <v>78</v>
      </c>
      <c r="G729" s="149" t="inlineStr">
        <is>
          <t>Joon x Jin Works</t>
        </is>
      </c>
      <c r="H729" s="149" t="inlineStr">
        <is>
          <t>Roguelike Deckbuilder · Deckbuilding · Roguelike · Card Battler · Gambling · Card Game · Roguelite · Dark Humor</t>
        </is>
      </c>
    </row>
    <row r="730" ht="15" customHeight="1" s="78">
      <c r="A730" s="152" t="n">
        <v>3691940</v>
      </c>
      <c r="B730" s="152" t="inlineStr">
        <is>
          <t>Solo Chess</t>
        </is>
      </c>
      <c r="C730" s="152" t="n">
        <v>2025</v>
      </c>
      <c r="D730" s="153" t="n">
        <v>9.99</v>
      </c>
      <c r="E730" s="154" t="n">
        <v>154</v>
      </c>
      <c r="F730" s="152" t="n">
        <v>60</v>
      </c>
      <c r="G730" s="152" t="inlineStr">
        <is>
          <t>NourSaiFR</t>
        </is>
      </c>
      <c r="H730" s="152" t="inlineStr">
        <is>
          <t>Card Game · Chess · Board Game · Roguelike Deckbuilder · Roguelike · Strategy · Deckbuilding · Singleplayer</t>
        </is>
      </c>
    </row>
    <row r="731" ht="15" customHeight="1" s="78">
      <c r="A731" s="149" t="n">
        <v>1408730</v>
      </c>
      <c r="B731" s="149" t="inlineStr">
        <is>
          <t>KindFolx</t>
        </is>
      </c>
      <c r="C731" s="149" t="n">
        <v>2025</v>
      </c>
      <c r="D731" s="150" t="n">
        <v>14.99</v>
      </c>
      <c r="E731" s="151" t="n">
        <v>153</v>
      </c>
      <c r="F731" s="149" t="n">
        <v>86</v>
      </c>
      <c r="G731" s="149" t="inlineStr">
        <is>
          <t>Tristan Barona</t>
        </is>
      </c>
      <c r="H731" s="149" t="inlineStr">
        <is>
          <t>Card Game · Roguelike Deckbuilder · Deckbuilding · Card Battler · Real Time Tactics · Dungeon Crawler · Action-Adventure · Choose Your Own Adventure</t>
        </is>
      </c>
    </row>
    <row r="732" ht="15" customHeight="1" s="78">
      <c r="A732" s="152" t="n">
        <v>3505230</v>
      </c>
      <c r="B732" s="152" t="inlineStr">
        <is>
          <t>Soulblaze</t>
        </is>
      </c>
      <c r="C732" s="152" t="n">
        <v>2026</v>
      </c>
      <c r="D732" s="153" t="n">
        <v>13.99</v>
      </c>
      <c r="E732" s="154" t="n">
        <v>152</v>
      </c>
      <c r="F732" s="152" t="n">
        <v>100</v>
      </c>
      <c r="G732" s="152" t="inlineStr">
        <is>
          <t>Cosmic Mocca</t>
        </is>
      </c>
      <c r="H732" s="152" t="inlineStr">
        <is>
          <t>Early Access · Turn-Based Tactics · Creature Collector · Roguelike Deckbuilder · Roguelite · Tabletop · Roguelike · Female Protagonist</t>
        </is>
      </c>
    </row>
    <row r="733" ht="15" customHeight="1" s="78">
      <c r="A733" s="149" t="n">
        <v>4306590</v>
      </c>
      <c r="B733" s="149" t="inlineStr">
        <is>
          <t>RogueHanafuda</t>
        </is>
      </c>
      <c r="C733" s="149" t="n">
        <v>2026</v>
      </c>
      <c r="D733" s="150" t="n">
        <v>7.99</v>
      </c>
      <c r="E733" s="151" t="n">
        <v>152</v>
      </c>
      <c r="F733" s="149" t="n">
        <v>91</v>
      </c>
      <c r="G733" s="149" t="inlineStr">
        <is>
          <t>WildBerry</t>
        </is>
      </c>
      <c r="H733" s="149" t="inlineStr">
        <is>
          <t>Card Game · Roguelike · Roguelike Deckbuilder · Deckbuilding · Strategy · Replay Value · Turn-Based Strategy · Roguelite</t>
        </is>
      </c>
    </row>
    <row r="734" ht="15" customHeight="1" s="78">
      <c r="A734" s="152" t="n">
        <v>4274210</v>
      </c>
      <c r="B734" s="152" t="inlineStr">
        <is>
          <t>Medieval Decklords</t>
        </is>
      </c>
      <c r="C734" s="152" t="n">
        <v>2026</v>
      </c>
      <c r="D734" s="153" t="n">
        <v>7.99</v>
      </c>
      <c r="E734" s="154" t="n">
        <v>151</v>
      </c>
      <c r="F734" s="152" t="n">
        <v>100</v>
      </c>
      <c r="G734" s="152" t="inlineStr">
        <is>
          <t>Oba Games</t>
        </is>
      </c>
      <c r="H734" s="152" t="inlineStr">
        <is>
          <t>Poker · Roguelike Deckbuilder · Deckbuilding · Replay Value · Card Game · Medieval · Turn-Based Strategy · Turn-Based Tactics</t>
        </is>
      </c>
    </row>
    <row r="735" ht="15" customHeight="1" s="78">
      <c r="A735" s="149" t="n">
        <v>2338040</v>
      </c>
      <c r="B735" s="149" t="inlineStr">
        <is>
          <t>Cards Survivors</t>
        </is>
      </c>
      <c r="C735" s="149" t="n">
        <v>2024</v>
      </c>
      <c r="D735" s="150" t="n">
        <v>9.99</v>
      </c>
      <c r="E735" s="151" t="n">
        <v>150</v>
      </c>
      <c r="F735" s="149" t="n">
        <v>69</v>
      </c>
      <c r="G735" s="149" t="inlineStr">
        <is>
          <t>Family Devs</t>
        </is>
      </c>
      <c r="H735" s="149" t="inlineStr">
        <is>
          <t>Action Roguelike · Card Battler · Bullet Hell · Roguelite · Difficult · Strategy · Card Game · Roguelike</t>
        </is>
      </c>
    </row>
    <row r="736" ht="15" customHeight="1" s="78">
      <c r="A736" s="152" t="n">
        <v>2764200</v>
      </c>
      <c r="B736" s="152" t="inlineStr">
        <is>
          <t>Chronicles Of Crystal: Turn-Basde Epoch</t>
        </is>
      </c>
      <c r="C736" s="152" t="n">
        <v>2024</v>
      </c>
      <c r="D736" s="153" t="n">
        <v>4.19</v>
      </c>
      <c r="E736" s="154" t="n">
        <v>148</v>
      </c>
      <c r="F736" s="152" t="n">
        <v>90</v>
      </c>
      <c r="G736" s="152" t="inlineStr">
        <is>
          <t>CanYing工作室</t>
        </is>
      </c>
      <c r="H736" s="152" t="inlineStr">
        <is>
          <t>Roguelike Deckbuilder · Card Game · Action Roguelike · Turn-Based Tactics · Turn-Based Strategy · Pixel Graphics · Roguelike · Strategy</t>
        </is>
      </c>
    </row>
    <row r="737" ht="15" customHeight="1" s="78">
      <c r="A737" s="149" t="n">
        <v>2846800</v>
      </c>
      <c r="B737" s="149" t="inlineStr">
        <is>
          <t>Becoming Captain - The Roguelike Deckbuilder</t>
        </is>
      </c>
      <c r="C737" s="149" t="n">
        <v>2026</v>
      </c>
      <c r="D737" s="150" t="n">
        <v>10.99</v>
      </c>
      <c r="E737" s="151" t="n">
        <v>145</v>
      </c>
      <c r="F737" s="149" t="n">
        <v>100</v>
      </c>
      <c r="G737" s="149" t="inlineStr">
        <is>
          <t>Le Havre Création</t>
        </is>
      </c>
      <c r="H737" s="149" t="inlineStr">
        <is>
          <t>Card Battler · Deckbuilding · Turn-Based Combat · Roguelite · Turn-Based Strategy · PvE · Card Game · Tabletop</t>
        </is>
      </c>
    </row>
    <row r="738" ht="15" customHeight="1" s="78">
      <c r="A738" s="152" t="n">
        <v>1997120</v>
      </c>
      <c r="B738" s="152" t="inlineStr">
        <is>
          <t>BountyHeart</t>
        </is>
      </c>
      <c r="C738" s="152" t="n">
        <v>2023</v>
      </c>
      <c r="D738" s="153" t="n">
        <v>4.99</v>
      </c>
      <c r="E738" s="154" t="n">
        <v>135</v>
      </c>
      <c r="F738" s="152" t="n">
        <v>100</v>
      </c>
      <c r="G738" s="152" t="inlineStr">
        <is>
          <t>BountyHeart Team; Larry Wu</t>
        </is>
      </c>
      <c r="H738" s="152" t="inlineStr">
        <is>
          <t>RPG · Hand-drawn · 2D · Indie · Roguelike · Anime · Strategy · Tactical RPG</t>
        </is>
      </c>
    </row>
    <row r="739" ht="15" customHeight="1" s="78">
      <c r="A739" s="149" t="n">
        <v>2714910</v>
      </c>
      <c r="B739" s="149" t="inlineStr">
        <is>
          <t>Stratum Descent</t>
        </is>
      </c>
      <c r="C739" s="149" t="n">
        <v>2024</v>
      </c>
      <c r="D739" s="150" t="n">
        <v>4.99</v>
      </c>
      <c r="E739" s="151" t="n">
        <v>133</v>
      </c>
      <c r="F739" s="149" t="n">
        <v>92</v>
      </c>
      <c r="G739" s="149" t="inlineStr">
        <is>
          <t>That Indie Studio</t>
        </is>
      </c>
      <c r="H739" s="149" t="inlineStr">
        <is>
          <t>Indie · Deckbuilding · Roguelike Deckbuilder · Card Game · Board Game · Roguelite · RPG · Strategy</t>
        </is>
      </c>
    </row>
    <row r="740" ht="15" customHeight="1" s="78">
      <c r="A740" s="152" t="n">
        <v>1447590</v>
      </c>
      <c r="B740" s="152" t="inlineStr">
        <is>
          <t>Rogue Cards</t>
        </is>
      </c>
      <c r="C740" s="152" t="n">
        <v>2023</v>
      </c>
      <c r="D740" s="153" t="n">
        <v>4.99</v>
      </c>
      <c r="E740" s="154" t="n">
        <v>131</v>
      </c>
      <c r="F740" s="152" t="n">
        <v>71</v>
      </c>
      <c r="G740" s="152" t="inlineStr">
        <is>
          <t>Dapper Grim Studios</t>
        </is>
      </c>
      <c r="H740" s="152" t="inlineStr">
        <is>
          <t>Roguelike Deckbuilder · Deckbuilding · Card Game · Tactical RPG · Roguelite · Dark Humor · Turn-Based Combat · Casual</t>
        </is>
      </c>
    </row>
    <row r="741" ht="15" customHeight="1" s="78">
      <c r="A741" s="149" t="n">
        <v>3553150</v>
      </c>
      <c r="B741" s="149" t="inlineStr">
        <is>
          <t>The Cascadier</t>
        </is>
      </c>
      <c r="C741" s="149" t="n">
        <v>2026</v>
      </c>
      <c r="D741" s="150" t="n">
        <v>10.99</v>
      </c>
      <c r="E741" s="151" t="n">
        <v>130</v>
      </c>
      <c r="F741" s="149" t="n">
        <v>70</v>
      </c>
      <c r="G741" s="149" t="inlineStr">
        <is>
          <t>Enchanted Arcade</t>
        </is>
      </c>
      <c r="H741" s="149" t="inlineStr">
        <is>
          <t>Early Access · Roguelike Deckbuilder · Arcade · Puzzle · Strategy · Casual · Roguelike · Roguelite</t>
        </is>
      </c>
    </row>
    <row r="742" ht="15" customHeight="1" s="78">
      <c r="A742" s="152" t="n">
        <v>4474960</v>
      </c>
      <c r="B742" s="152" t="inlineStr">
        <is>
          <t>Ratatouille Builder</t>
        </is>
      </c>
      <c r="C742" s="152" t="n">
        <v>2026</v>
      </c>
      <c r="D742" s="153" t="n">
        <v>5.79</v>
      </c>
      <c r="E742" s="154" t="n">
        <v>130</v>
      </c>
      <c r="F742" s="152" t="n">
        <v>100</v>
      </c>
      <c r="G742" s="152" t="inlineStr">
        <is>
          <t>Balrogames; Talenvin</t>
        </is>
      </c>
      <c r="H742" s="152" t="inlineStr">
        <is>
          <t>Strategy · Cooking · Roguelike Deckbuilder · Crafting · Roguelike · Roguelite · Nature · Inventory Management</t>
        </is>
      </c>
    </row>
    <row r="743" ht="15" customHeight="1" s="78">
      <c r="A743" s="149" t="n">
        <v>3320370</v>
      </c>
      <c r="B743" s="149" t="inlineStr">
        <is>
          <t>Little Adventure Tale</t>
        </is>
      </c>
      <c r="C743" s="149" t="n">
        <v>2025</v>
      </c>
      <c r="D743" s="150" t="n">
        <v>9.99</v>
      </c>
      <c r="E743" s="151" t="n">
        <v>129</v>
      </c>
      <c r="F743" s="149" t="n">
        <v>67</v>
      </c>
      <c r="G743" s="149" t="inlineStr">
        <is>
          <t>TheOilyGooseStudio</t>
        </is>
      </c>
      <c r="H743" s="149" t="inlineStr">
        <is>
          <t>Roguelike Deckbuilder · Card Battler · Card Game · Roguelike · Strategy · Deckbuilding · Turn-Based · Singleplayer</t>
        </is>
      </c>
    </row>
    <row r="744" ht="15" customHeight="1" s="78">
      <c r="A744" s="152" t="n">
        <v>3139270</v>
      </c>
      <c r="B744" s="152" t="inlineStr">
        <is>
          <t>Dice with the Devil</t>
        </is>
      </c>
      <c r="C744" s="152" t="n">
        <v>2024</v>
      </c>
      <c r="D744" s="153" t="n">
        <v>4.99</v>
      </c>
      <c r="E744" s="154" t="n">
        <v>128</v>
      </c>
      <c r="F744" s="152" t="n">
        <v>100</v>
      </c>
      <c r="G744" s="152" t="inlineStr">
        <is>
          <t>Krause Games</t>
        </is>
      </c>
      <c r="H744" s="152" t="inlineStr">
        <is>
          <t>Roguelike Deckbuilder · Dice · Turn-Based Combat · Roguelite · Dungeon Crawler · Replay Value · Dark Fantasy · Indie</t>
        </is>
      </c>
    </row>
    <row r="745" ht="15" customHeight="1" s="78">
      <c r="A745" s="149" t="n">
        <v>3963750</v>
      </c>
      <c r="B745" s="149" t="inlineStr">
        <is>
          <t>Invoker Tactics</t>
        </is>
      </c>
      <c r="C745" s="149" t="n">
        <v>2025</v>
      </c>
      <c r="D745" s="150" t="n">
        <v>4.99</v>
      </c>
      <c r="E745" s="151" t="n">
        <v>120</v>
      </c>
      <c r="F745" s="149" t="n">
        <v>100</v>
      </c>
      <c r="G745" s="149" t="inlineStr">
        <is>
          <t>IzayoiSora</t>
        </is>
      </c>
      <c r="H745" s="149" t="inlineStr">
        <is>
          <t>Grid-Based Movement · Deckbuilding · Turn-Based Tactics · Turn-Based Strategy · Strategy · Roguelike Deckbuilder · Fantasy · Tactical RPG</t>
        </is>
      </c>
    </row>
    <row r="746" ht="15" customHeight="1" s="78">
      <c r="A746" s="152" t="n">
        <v>1540740</v>
      </c>
      <c r="B746" s="152" t="inlineStr">
        <is>
          <t>Dungen</t>
        </is>
      </c>
      <c r="C746" s="152" t="n">
        <v>2021</v>
      </c>
      <c r="D746" s="153" t="n">
        <v>9.99</v>
      </c>
      <c r="E746" s="154" t="n">
        <v>118</v>
      </c>
      <c r="F746" s="152" t="n">
        <v>88</v>
      </c>
      <c r="G746" s="152" t="inlineStr">
        <is>
          <t>SVGames</t>
        </is>
      </c>
      <c r="H746" s="152" t="inlineStr">
        <is>
          <t>Cute · Roguelike Deckbuilder · Roguelike · Card Battler · Mystery Dungeon · Deckbuilding · Strategy · Card Game</t>
        </is>
      </c>
    </row>
    <row r="747" ht="15" customHeight="1" s="78">
      <c r="A747" s="149" t="n">
        <v>2942160</v>
      </c>
      <c r="B747" s="149" t="inlineStr">
        <is>
          <t>Sentry System</t>
        </is>
      </c>
      <c r="C747" s="149" t="n">
        <v>2024</v>
      </c>
      <c r="D747" s="150" t="n">
        <v>7.99</v>
      </c>
      <c r="E747" s="151" t="n">
        <v>117</v>
      </c>
      <c r="F747" s="149" t="n">
        <v>67</v>
      </c>
      <c r="G747" s="149" t="inlineStr">
        <is>
          <t>Penguinium</t>
        </is>
      </c>
      <c r="H747" s="149" t="inlineStr">
        <is>
          <t>Tower Defense · Roguelike · Strategy · Auto Battler · Tactical · Singleplayer · Perma Death · Real Time Tactics</t>
        </is>
      </c>
    </row>
    <row r="748" ht="15" customHeight="1" s="78">
      <c r="A748" s="152" t="n">
        <v>2243070</v>
      </c>
      <c r="B748" s="152" t="inlineStr">
        <is>
          <t>Kodama Battles</t>
        </is>
      </c>
      <c r="C748" s="152" t="n">
        <v>2023</v>
      </c>
      <c r="D748" s="153" t="n">
        <v>10.99</v>
      </c>
      <c r="E748" s="154" t="n">
        <v>116</v>
      </c>
      <c r="F748" s="152" t="n">
        <v>83</v>
      </c>
      <c r="G748" s="152" t="inlineStr">
        <is>
          <t>VicWaku</t>
        </is>
      </c>
      <c r="H748" s="152" t="inlineStr">
        <is>
          <t>Auto Battler · Roguelite · Creature Collector · PvE · Roguelike Deckbuilder · Replay Value · Tactical · Turn-Based Tactics</t>
        </is>
      </c>
    </row>
    <row r="749" ht="15" customHeight="1" s="78">
      <c r="A749" s="149" t="n">
        <v>4486090</v>
      </c>
      <c r="B749" s="149" t="inlineStr">
        <is>
          <t>Tyrants</t>
        </is>
      </c>
      <c r="C749" s="149" t="n">
        <v>2026</v>
      </c>
      <c r="D749" s="150" t="n">
        <v>6.99</v>
      </c>
      <c r="E749" s="151" t="n">
        <v>112</v>
      </c>
      <c r="F749" s="149" t="n">
        <v>33</v>
      </c>
      <c r="G749" s="149" t="inlineStr">
        <is>
          <t>Artifex Parvus</t>
        </is>
      </c>
      <c r="H749" s="149" t="inlineStr">
        <is>
          <t>Strategy · Card Game · Deckbuilding · Auto Battler · Roguelike Deckbuilder · Turn-Based Strategy · Card Battler · War</t>
        </is>
      </c>
    </row>
    <row r="750" ht="15" customHeight="1" s="78">
      <c r="A750" s="152" t="n">
        <v>4603750</v>
      </c>
      <c r="B750" s="152" t="inlineStr">
        <is>
          <t>Indomitus: Path of Ordeals</t>
        </is>
      </c>
      <c r="C750" s="152" t="n">
        <v>2026</v>
      </c>
      <c r="D750" s="153" t="n">
        <v>9.99</v>
      </c>
      <c r="E750" s="154" t="n">
        <v>112</v>
      </c>
      <c r="F750" s="152" t="n">
        <v>100</v>
      </c>
      <c r="G750" s="152" t="inlineStr">
        <is>
          <t>Aestone Studio</t>
        </is>
      </c>
      <c r="H750" s="152" t="inlineStr">
        <is>
          <t>Strategy · Roguelike · Roguelike Deckbuilder · Indie · RPG · Card Game · Auto Battler · RTS</t>
        </is>
      </c>
    </row>
    <row r="751" ht="15" customHeight="1" s="78">
      <c r="A751" s="149" t="n">
        <v>3532340</v>
      </c>
      <c r="B751" s="149" t="inlineStr">
        <is>
          <t>Bobo in Hell</t>
        </is>
      </c>
      <c r="C751" s="149" t="n">
        <v>2026</v>
      </c>
      <c r="D751" s="150" t="n">
        <v>6.99</v>
      </c>
      <c r="E751" s="151" t="n">
        <v>110</v>
      </c>
      <c r="F751" s="149" t="n">
        <v>92</v>
      </c>
      <c r="G751" s="149" t="inlineStr">
        <is>
          <t>Arcana Rebels</t>
        </is>
      </c>
      <c r="H751" s="149" t="inlineStr">
        <is>
          <t>Roguelike Deckbuilder · Card Game · Card Battler · Roguelike · Deckbuilding · Roguelite · RPG · Singleplayer</t>
        </is>
      </c>
    </row>
    <row r="752" ht="15" customHeight="1" s="78">
      <c r="A752" s="152" t="n">
        <v>4295100</v>
      </c>
      <c r="B752" s="152" t="inlineStr">
        <is>
          <t>PEGTURE: Peg Solitaire Roguelike</t>
        </is>
      </c>
      <c r="C752" s="152" t="n">
        <v>2026</v>
      </c>
      <c r="D752" s="153" t="n">
        <v>6.99</v>
      </c>
      <c r="E752" s="154" t="n">
        <v>110</v>
      </c>
      <c r="F752" s="152" t="n">
        <v>100</v>
      </c>
      <c r="G752" s="152" t="inlineStr">
        <is>
          <t>Puff Games</t>
        </is>
      </c>
      <c r="H752" s="152" t="inlineStr">
        <is>
          <t>Strategy · Roguelike Deckbuilder · Roguelite · Roguelike · Deckbuilding · Casual · Replay Value · Singleplayer</t>
        </is>
      </c>
    </row>
    <row r="753" ht="15" customHeight="1" s="78">
      <c r="A753" s="149" t="n">
        <v>4610000</v>
      </c>
      <c r="B753" s="149" t="inlineStr">
        <is>
          <t>kill -9</t>
        </is>
      </c>
      <c r="C753" s="149" t="n">
        <v>2026</v>
      </c>
      <c r="D753" s="150" t="n">
        <v>9.99</v>
      </c>
      <c r="E753" s="151" t="n">
        <v>109</v>
      </c>
      <c r="F753" s="149" t="n">
        <v>100</v>
      </c>
      <c r="G753" s="149" t="inlineStr">
        <is>
          <t>Jinwe</t>
        </is>
      </c>
      <c r="H753" s="149" t="inlineStr">
        <is>
          <t>Roguelike · Card Game · Singleplayer · Strategy · Card Battler · Deckbuilding · Roguelike Deckbuilder · Turn-Based Combat</t>
        </is>
      </c>
    </row>
    <row r="754" ht="15" customHeight="1" s="78">
      <c r="A754" s="152" t="n">
        <v>3764530</v>
      </c>
      <c r="B754" s="152" t="inlineStr">
        <is>
          <t>Vulcard</t>
        </is>
      </c>
      <c r="C754" s="152" t="n">
        <v>2025</v>
      </c>
      <c r="D754" s="153" t="n">
        <v>11.99</v>
      </c>
      <c r="E754" s="154" t="n">
        <v>109</v>
      </c>
      <c r="F754" s="152" t="n">
        <v>100</v>
      </c>
      <c r="G754" s="152" t="inlineStr">
        <is>
          <t>Goblin Games Studio</t>
        </is>
      </c>
      <c r="H754" s="152" t="inlineStr">
        <is>
          <t>Card Battler · Real Time Tactics · Roguelite · PvE · Card Game · Roguelike · Strategy · 2D</t>
        </is>
      </c>
    </row>
    <row r="755" ht="15" customHeight="1" s="78">
      <c r="A755" s="149" t="n">
        <v>4996780</v>
      </c>
      <c r="B755" s="149" t="inlineStr">
        <is>
          <t>BLACK STACK</t>
        </is>
      </c>
      <c r="C755" s="149" t="n">
        <v>2026</v>
      </c>
      <c r="D755" s="150" t="n">
        <v>8.99</v>
      </c>
      <c r="E755" s="151" t="n">
        <v>108</v>
      </c>
      <c r="F755" s="149" t="n">
        <v>67</v>
      </c>
      <c r="G755" s="149" t="inlineStr">
        <is>
          <t>BLACKGLASS ASSEMBLY</t>
        </is>
      </c>
      <c r="H755" s="149" t="inlineStr">
        <is>
          <t>Strategy · Roguelike · Card Battler · 2D · FMV · Cyberpunk · Dark · Horror</t>
        </is>
      </c>
    </row>
    <row r="756" ht="15" customHeight="1" s="78">
      <c r="A756" s="152" t="n">
        <v>3670600</v>
      </c>
      <c r="B756" s="152" t="inlineStr">
        <is>
          <t>Hexitten</t>
        </is>
      </c>
      <c r="C756" s="152" t="n">
        <v>2025</v>
      </c>
      <c r="D756" s="153" t="n">
        <v>14.99</v>
      </c>
      <c r="E756" s="154" t="n">
        <v>104</v>
      </c>
      <c r="F756" s="152" t="n">
        <v>100</v>
      </c>
      <c r="G756" s="152" t="inlineStr">
        <is>
          <t>Korkea Maki Studios</t>
        </is>
      </c>
      <c r="H756" s="152" t="inlineStr">
        <is>
          <t>Roguelike Deckbuilder · Strategy · Turn-Based Strategy · Roguelike · Card Battler · RPG · Tactical RPG · Turn-Based Combat</t>
        </is>
      </c>
    </row>
    <row r="757" ht="15" customHeight="1" s="78">
      <c r="A757" s="149" t="n">
        <v>3100640</v>
      </c>
      <c r="B757" s="149" t="inlineStr">
        <is>
          <t>Hexeract</t>
        </is>
      </c>
      <c r="C757" s="149" t="n">
        <v>2024</v>
      </c>
      <c r="D757" s="150" t="n">
        <v>3.99</v>
      </c>
      <c r="E757" s="151" t="n">
        <v>104</v>
      </c>
      <c r="F757" s="149" t="n">
        <v>57</v>
      </c>
      <c r="G757" s="149" t="inlineStr">
        <is>
          <t>earendil25; kukuku0517</t>
        </is>
      </c>
      <c r="H757" s="149" t="inlineStr">
        <is>
          <t>Roguelike Deckbuilder · Deckbuilding · Card Game · Puzzle · Solitaire · Logic · Strategy · Roguelike</t>
        </is>
      </c>
    </row>
    <row r="758" ht="15" customHeight="1" s="78">
      <c r="A758" s="152" t="n">
        <v>1602030</v>
      </c>
      <c r="B758" s="152" t="inlineStr">
        <is>
          <t>MegaBattle</t>
        </is>
      </c>
      <c r="C758" s="152" t="n">
        <v>2026</v>
      </c>
      <c r="D758" s="153" t="n">
        <v>13.99</v>
      </c>
      <c r="E758" s="154" t="n">
        <v>103</v>
      </c>
      <c r="F758" s="152" t="n">
        <v>100</v>
      </c>
      <c r="G758" s="152" t="inlineStr">
        <is>
          <t>MadCat Corp; Cavylabs</t>
        </is>
      </c>
      <c r="H758" s="152" t="inlineStr">
        <is>
          <t>Roguelike Deckbuilder · Card Battler · Deckbuilding · Turn-Based Tactics · Mechs · Roguelite · Turn-Based Combat · Turn-Based Strategy</t>
        </is>
      </c>
    </row>
    <row r="759" ht="15" customHeight="1" s="78">
      <c r="A759" s="149" t="n">
        <v>4482350</v>
      </c>
      <c r="B759" s="149" t="inlineStr">
        <is>
          <t>Tavrik</t>
        </is>
      </c>
      <c r="C759" s="149" t="n">
        <v>2026</v>
      </c>
      <c r="D759" s="150" t="n">
        <v>11.99</v>
      </c>
      <c r="E759" s="151" t="n">
        <v>103</v>
      </c>
      <c r="F759" s="149" t="n">
        <v>100</v>
      </c>
      <c r="G759" s="149" t="inlineStr">
        <is>
          <t>Nyra Games</t>
        </is>
      </c>
      <c r="H759" s="149" t="inlineStr">
        <is>
          <t>Tabletop · Turn-Based Strategy · Roguelike Deckbuilder · Exploration · Deckbuilding · Roguelike · Board Game · Adventure</t>
        </is>
      </c>
    </row>
    <row r="760" ht="15" customHeight="1" s="78">
      <c r="A760" s="152" t="n">
        <v>3106070</v>
      </c>
      <c r="B760" s="152" t="inlineStr">
        <is>
          <t>How Can a Joker Like Me Play Cards with a Beautiful Girl</t>
        </is>
      </c>
      <c r="C760" s="152" t="n">
        <v>2024</v>
      </c>
      <c r="D760" s="153" t="n">
        <v>2.99</v>
      </c>
      <c r="E760" s="154" t="n">
        <v>101</v>
      </c>
      <c r="F760" s="152" t="n">
        <v>80</v>
      </c>
      <c r="G760" s="152" t="inlineStr">
        <is>
          <t>可布和常常诶</t>
        </is>
      </c>
      <c r="H760" s="152" t="inlineStr">
        <is>
          <t>Roguelike Deckbuilder · Card Game · Card Battler · Roguelite · Roguelike · Replay Value · Strategy · Deckbuilding</t>
        </is>
      </c>
    </row>
    <row r="761" ht="15" customHeight="1" s="78">
      <c r="A761" s="149" t="n">
        <v>2490310</v>
      </c>
      <c r="B761" s="149" t="inlineStr">
        <is>
          <t>Runes of Aereal</t>
        </is>
      </c>
      <c r="C761" s="149" t="n">
        <v>2024</v>
      </c>
      <c r="D761" s="150" t="n">
        <v>4.99</v>
      </c>
      <c r="E761" s="151" t="n">
        <v>97</v>
      </c>
      <c r="F761" s="149" t="n">
        <v>40</v>
      </c>
      <c r="G761" s="149" t="inlineStr">
        <is>
          <t>Bart Alluyn</t>
        </is>
      </c>
      <c r="H761" s="149" t="inlineStr">
        <is>
          <t>Roguelike Deckbuilder · Strategy · RPG · Card Game · Roguelike · Card Battler · Roguelite · 2D</t>
        </is>
      </c>
    </row>
    <row r="762" ht="15" customHeight="1" s="78">
      <c r="A762" s="152" t="n">
        <v>3964420</v>
      </c>
      <c r="B762" s="152" t="inlineStr">
        <is>
          <t>Hell Dice Gambit</t>
        </is>
      </c>
      <c r="C762" s="152" t="n">
        <v>2026</v>
      </c>
      <c r="D762" s="153" t="n">
        <v>14.99</v>
      </c>
      <c r="E762" s="154" t="n">
        <v>95</v>
      </c>
      <c r="F762" s="152" t="n">
        <v>60</v>
      </c>
      <c r="G762" s="152" t="inlineStr">
        <is>
          <t>Bheismarque; PAVDUP</t>
        </is>
      </c>
      <c r="H762" s="152" t="inlineStr">
        <is>
          <t>Strategy · Dice · Roguelike · Roguelike Deckbuilder · Gambling · Turn-Based Strategy · Roguelite · 3D</t>
        </is>
      </c>
    </row>
    <row r="763" ht="15" customHeight="1" s="78">
      <c r="A763" s="149" t="n">
        <v>3481360</v>
      </c>
      <c r="B763" s="149" t="inlineStr">
        <is>
          <t>That Time I Found A Box</t>
        </is>
      </c>
      <c r="C763" s="149" t="n">
        <v>2025</v>
      </c>
      <c r="D763" s="150" t="n">
        <v>9.99</v>
      </c>
      <c r="E763" s="151" t="n">
        <v>95</v>
      </c>
      <c r="F763" s="149" t="n">
        <v>88</v>
      </c>
      <c r="G763" s="149" t="inlineStr">
        <is>
          <t>Otter Paw Press</t>
        </is>
      </c>
      <c r="H763" s="149" t="inlineStr">
        <is>
          <t>Roguelike Deckbuilder · Card Game · Strategy · Roguelike · Deckbuilding · Singleplayer · Card Battler · Turn-Based</t>
        </is>
      </c>
    </row>
    <row r="764" ht="15" customHeight="1" s="78">
      <c r="A764" s="152" t="n">
        <v>5248520</v>
      </c>
      <c r="B764" s="152" t="inlineStr">
        <is>
          <t>ORBIT: Bingo Roguelite</t>
        </is>
      </c>
      <c r="C764" s="152" t="n">
        <v>2026</v>
      </c>
      <c r="D764" s="153" t="n">
        <v>9.99</v>
      </c>
      <c r="E764" s="154" t="n">
        <v>93</v>
      </c>
      <c r="F764" s="152" t="n">
        <v>100</v>
      </c>
      <c r="G764" s="152" t="inlineStr">
        <is>
          <t>BeriaLabs Games</t>
        </is>
      </c>
      <c r="H764" s="152" t="inlineStr">
        <is>
          <t>Roguelike Deckbuilder · Roguelite · Board Game · Deckbuilding · Strategy · Card Game · Score Attack · Roguelike</t>
        </is>
      </c>
    </row>
    <row r="765" ht="15" customHeight="1" s="78">
      <c r="A765" s="149" t="n">
        <v>2650340</v>
      </c>
      <c r="B765" s="149" t="inlineStr">
        <is>
          <t>Genkai: Primal Awakening</t>
        </is>
      </c>
      <c r="C765" s="149" t="n">
        <v>2026</v>
      </c>
      <c r="D765" s="150" t="n">
        <v>13.99</v>
      </c>
      <c r="E765" s="151" t="n">
        <v>91</v>
      </c>
      <c r="F765" s="149" t="n">
        <v>67</v>
      </c>
      <c r="G765" s="149" t="inlineStr">
        <is>
          <t>Mega Game Studios</t>
        </is>
      </c>
      <c r="H765" s="149" t="inlineStr">
        <is>
          <t>Roguelike Deckbuilder · Card Game · Card Battler · Roguelike · Strategy · Deckbuilding · Turn-Based · Singleplayer</t>
        </is>
      </c>
    </row>
    <row r="766" ht="15" customHeight="1" s="78">
      <c r="A766" s="152" t="n">
        <v>3558240</v>
      </c>
      <c r="B766" s="152" t="inlineStr">
        <is>
          <t>Bonfire Barrage</t>
        </is>
      </c>
      <c r="C766" s="152" t="n">
        <v>2025</v>
      </c>
      <c r="D766" s="153" t="n">
        <v>4.99</v>
      </c>
      <c r="E766" s="154" t="n">
        <v>91</v>
      </c>
      <c r="F766" s="152" t="n">
        <v>80</v>
      </c>
      <c r="G766" s="152" t="inlineStr">
        <is>
          <t>Tiny Punch Games</t>
        </is>
      </c>
      <c r="H766" s="152" t="inlineStr">
        <is>
          <t>Action Roguelike · Bullet Hell · Shoot 'Em Up · Roguelite · Perma Death · Arcade · Roguelike · 2D</t>
        </is>
      </c>
    </row>
    <row r="767" ht="15" customHeight="1" s="78">
      <c r="A767" s="149" t="n">
        <v>2515520</v>
      </c>
      <c r="B767" s="149" t="inlineStr">
        <is>
          <t>Fall Of The Son</t>
        </is>
      </c>
      <c r="C767" s="149" t="n">
        <v>2023</v>
      </c>
      <c r="D767" s="150" t="n">
        <v>4.99</v>
      </c>
      <c r="E767" s="151" t="n">
        <v>90</v>
      </c>
      <c r="F767" s="149" t="n">
        <v>75</v>
      </c>
      <c r="G767" s="149" t="inlineStr">
        <is>
          <t>No More Games Studio</t>
        </is>
      </c>
      <c r="H767" s="149" t="inlineStr">
        <is>
          <t>Roguelike Deckbuilder · Card Battler · Deckbuilding · Card Game · Roguelite · Strategy · PvE · Roguelike</t>
        </is>
      </c>
    </row>
    <row r="768" ht="15" customHeight="1" s="78">
      <c r="A768" s="152" t="n">
        <v>867470</v>
      </c>
      <c r="B768" s="152" t="inlineStr">
        <is>
          <t>Albedon Wars</t>
        </is>
      </c>
      <c r="C768" s="152" t="n">
        <v>2019</v>
      </c>
      <c r="D768" s="153" t="n">
        <v>24.99</v>
      </c>
      <c r="E768" s="154" t="n">
        <v>88</v>
      </c>
      <c r="F768" s="152" t="n">
        <v>86</v>
      </c>
      <c r="G768" s="152" t="inlineStr">
        <is>
          <t>Firemill Games</t>
        </is>
      </c>
      <c r="H768" s="152" t="inlineStr">
        <is>
          <t>Roguelike Deckbuilder · Card Game · Early Access · Strategy · Indie · Turn-Based Tactics · Roguelite · RPG</t>
        </is>
      </c>
    </row>
    <row r="769" ht="15" customHeight="1" s="78">
      <c r="A769" s="149" t="n">
        <v>4642650</v>
      </c>
      <c r="B769" s="149" t="inlineStr">
        <is>
          <t>Souls Inferno</t>
        </is>
      </c>
      <c r="C769" s="149" t="n">
        <v>2026</v>
      </c>
      <c r="D769" s="150" t="n">
        <v>4.99</v>
      </c>
      <c r="E769" s="151" t="n">
        <v>88</v>
      </c>
      <c r="F769" s="149" t="n">
        <v>60</v>
      </c>
      <c r="G769" s="149" t="inlineStr">
        <is>
          <t>simulinati</t>
        </is>
      </c>
      <c r="H769" s="149" t="inlineStr">
        <is>
          <t>Dungeon Crawler · RPG · Turn-Based Combat · Roguelite · Roguelike Deckbuilder · Souls-like · Character Customization · Pixel Graphics</t>
        </is>
      </c>
    </row>
    <row r="770" ht="15" customHeight="1" s="78">
      <c r="A770" s="152" t="n">
        <v>4637960</v>
      </c>
      <c r="B770" s="152" t="inlineStr">
        <is>
          <t>Blessed To Die</t>
        </is>
      </c>
      <c r="C770" s="152" t="n">
        <v>2026</v>
      </c>
      <c r="D770" s="153" t="n">
        <v>13.99</v>
      </c>
      <c r="E770" s="154" t="n">
        <v>85</v>
      </c>
      <c r="F770" s="152" t="n">
        <v>100</v>
      </c>
      <c r="G770" s="152" t="inlineStr">
        <is>
          <t>Frame Forge Studios LLC</t>
        </is>
      </c>
      <c r="H770" s="152" t="inlineStr">
        <is>
          <t>Strategy · RPG · Card Game · Roguelike · Card Battler · Roguelite · Tactical RPG · 2D</t>
        </is>
      </c>
    </row>
    <row r="771" ht="15" customHeight="1" s="78">
      <c r="A771" s="149" t="n">
        <v>3070040</v>
      </c>
      <c r="B771" s="149" t="inlineStr">
        <is>
          <t>Kemotaku</t>
        </is>
      </c>
      <c r="C771" s="149" t="n">
        <v>2024</v>
      </c>
      <c r="D771" s="150" t="n">
        <v>15.99</v>
      </c>
      <c r="E771" s="151" t="n">
        <v>83</v>
      </c>
      <c r="F771" s="149" t="n">
        <v>100</v>
      </c>
      <c r="G771" s="149" t="inlineStr">
        <is>
          <t>Kojika Games</t>
        </is>
      </c>
      <c r="H771" s="149" t="inlineStr">
        <is>
          <t>Card Game · Card Battler · Puzzle · Roguelike Deckbuilder · Tower Defense · Roguelike · Strategy · Deckbuilding</t>
        </is>
      </c>
    </row>
    <row r="772" ht="15" customHeight="1" s="78">
      <c r="A772" s="152" t="n">
        <v>4224320</v>
      </c>
      <c r="B772" s="152" t="inlineStr">
        <is>
          <t>Padoria</t>
        </is>
      </c>
      <c r="C772" s="152" t="n">
        <v>2026</v>
      </c>
      <c r="D772" s="153" t="n">
        <v>6.99</v>
      </c>
      <c r="E772" s="154" t="n">
        <v>82</v>
      </c>
      <c r="F772" s="152" t="n">
        <v>100</v>
      </c>
      <c r="G772" s="152" t="inlineStr">
        <is>
          <t>DSgames</t>
        </is>
      </c>
      <c r="H772" s="152" t="inlineStr">
        <is>
          <t>Deckbuilding · Strategy · Roguelike Deckbuilder · Card Battler · Indie · Card Game · Roguelike · Roguelite</t>
        </is>
      </c>
    </row>
    <row r="773" ht="15" customHeight="1" s="78">
      <c r="A773" s="149" t="n">
        <v>2483630</v>
      </c>
      <c r="B773" s="149" t="inlineStr">
        <is>
          <t>God of Stickfights</t>
        </is>
      </c>
      <c r="C773" s="149" t="n">
        <v>2024</v>
      </c>
      <c r="D773" s="150" t="n">
        <v>4.99</v>
      </c>
      <c r="E773" s="151" t="n">
        <v>82</v>
      </c>
      <c r="F773" s="149" t="n">
        <v>100</v>
      </c>
      <c r="G773" s="149" t="inlineStr">
        <is>
          <t>Darksoulx</t>
        </is>
      </c>
      <c r="H773" s="149" t="inlineStr">
        <is>
          <t>2D Fighter · Roguelike Deckbuilder · Action Roguelike · Spectacle fighter · Real Time Tactics · PvP · Roguelike · 2D</t>
        </is>
      </c>
    </row>
    <row r="774" ht="15" customHeight="1" s="78">
      <c r="A774" s="152" t="n">
        <v>3312330</v>
      </c>
      <c r="B774" s="152" t="inlineStr">
        <is>
          <t>Burn The Witch: Toll of the Bell Bearer</t>
        </is>
      </c>
      <c r="C774" s="152" t="n">
        <v>2026</v>
      </c>
      <c r="D774" s="153" t="n">
        <v>4.99</v>
      </c>
      <c r="E774" s="154" t="n">
        <v>81</v>
      </c>
      <c r="F774" s="152" t="n">
        <v>40</v>
      </c>
      <c r="G774" s="152" t="inlineStr">
        <is>
          <t>Grayfox</t>
        </is>
      </c>
      <c r="H774" s="152" t="inlineStr">
        <is>
          <t>Roguelike Deckbuilder · Deckbuilding · Card Battler · Card Game · Roguelike · Turn-Based Strategy · Turn-Based Combat · Procedural Generation</t>
        </is>
      </c>
    </row>
    <row r="775" ht="15" customHeight="1" s="78">
      <c r="A775" s="149" t="n">
        <v>3679070</v>
      </c>
      <c r="B775" s="149" t="inlineStr">
        <is>
          <t>Unsealed Pact</t>
        </is>
      </c>
      <c r="C775" s="149" t="n">
        <v>2025</v>
      </c>
      <c r="D775" s="150" t="n">
        <v>12.99</v>
      </c>
      <c r="E775" s="151" t="n">
        <v>80</v>
      </c>
      <c r="F775" s="149" t="n">
        <v>71</v>
      </c>
      <c r="G775" s="149" t="inlineStr">
        <is>
          <t>Rockbench Studio</t>
        </is>
      </c>
      <c r="H775" s="149" t="inlineStr">
        <is>
          <t>Roguelike Deckbuilder · Trading Card Game · Singleplayer · Difficult · Choices Matter · Deckbuilding · Card Game · Roguelike</t>
        </is>
      </c>
    </row>
    <row r="776" ht="15" customHeight="1" s="78">
      <c r="A776" s="152" t="n">
        <v>3302460</v>
      </c>
      <c r="B776" s="152" t="inlineStr">
        <is>
          <t>Enerdusk</t>
        </is>
      </c>
      <c r="C776" s="152" t="n">
        <v>2025</v>
      </c>
      <c r="D776" s="153" t="n">
        <v>4.99</v>
      </c>
      <c r="E776" s="154" t="n">
        <v>79</v>
      </c>
      <c r="F776" s="152" t="n">
        <v>75</v>
      </c>
      <c r="G776" s="152" t="inlineStr">
        <is>
          <t>tortoiseUGS</t>
        </is>
      </c>
      <c r="H776" s="152" t="inlineStr">
        <is>
          <t>Strategy · Roguelike · Card Game · Deckbuilding · Anime · Indie · Card Battler · Turn-Based Tactics</t>
        </is>
      </c>
    </row>
    <row r="777" ht="15" customHeight="1" s="78">
      <c r="A777" s="149" t="n">
        <v>2289550</v>
      </c>
      <c r="B777" s="149" t="inlineStr">
        <is>
          <t>Space Recall</t>
        </is>
      </c>
      <c r="C777" s="149" t="n">
        <v>2023</v>
      </c>
      <c r="D777" s="150" t="n">
        <v>2.99</v>
      </c>
      <c r="E777" s="151" t="n">
        <v>79</v>
      </c>
      <c r="F777" s="149" t="n">
        <v>91</v>
      </c>
      <c r="G777" s="149" t="inlineStr">
        <is>
          <t>JohnHang</t>
        </is>
      </c>
      <c r="H777" s="149" t="inlineStr">
        <is>
          <t>Action · Adventure · 2D Platformer · Roguelike · Space · Action Roguelike · Roguelite · 2D</t>
        </is>
      </c>
    </row>
    <row r="778" ht="15" customHeight="1" s="78">
      <c r="A778" s="152" t="n">
        <v>2142040</v>
      </c>
      <c r="B778" s="152" t="inlineStr">
        <is>
          <t>In the Dark</t>
        </is>
      </c>
      <c r="C778" s="152" t="n">
        <v>2023</v>
      </c>
      <c r="D778" s="153" t="n">
        <v>11.99</v>
      </c>
      <c r="E778" s="154" t="n">
        <v>77</v>
      </c>
      <c r="F778" s="152" t="n">
        <v>20</v>
      </c>
      <c r="G778" s="152" t="inlineStr">
        <is>
          <t>teamkamakiri</t>
        </is>
      </c>
      <c r="H778" s="152" t="inlineStr">
        <is>
          <t>Roguelike Deckbuilder · Strategy · Card Game · Survival Horror · Deckbuilding · Roguelite · Singleplayer · Gore</t>
        </is>
      </c>
    </row>
    <row r="779" ht="15" customHeight="1" s="78">
      <c r="A779" s="149" t="n">
        <v>1135860</v>
      </c>
      <c r="B779" s="149" t="inlineStr">
        <is>
          <t>Corpoct</t>
        </is>
      </c>
      <c r="C779" s="149" t="n">
        <v>2019</v>
      </c>
      <c r="D779" s="150" t="n">
        <v>4.99</v>
      </c>
      <c r="E779" s="151" t="n">
        <v>77</v>
      </c>
      <c r="F779" s="149" t="n">
        <v>100</v>
      </c>
      <c r="G779" s="149" t="inlineStr">
        <is>
          <t>Wolderado; Belaniax</t>
        </is>
      </c>
      <c r="H779" s="149" t="inlineStr">
        <is>
          <t>Sci-fi · Space · Roguelike · Strategy · Resource Management · Dungeon Crawler · Auto Battler · Real-Time with Pause</t>
        </is>
      </c>
    </row>
    <row r="780" ht="15" customHeight="1" s="78">
      <c r="A780" s="152" t="n">
        <v>5020610</v>
      </c>
      <c r="B780" s="152" t="inlineStr">
        <is>
          <t>Record of Chaos - Korean Chapter</t>
        </is>
      </c>
      <c r="C780" s="152" t="n">
        <v>2026</v>
      </c>
      <c r="D780" s="153" t="n">
        <v>4.99</v>
      </c>
      <c r="E780" s="154" t="n">
        <v>77</v>
      </c>
      <c r="F780" s="152" t="n">
        <v>100</v>
      </c>
      <c r="G780" s="152" t="inlineStr">
        <is>
          <t>Sixstone Games</t>
        </is>
      </c>
      <c r="H780" s="152" t="inlineStr">
        <is>
          <t>Indie · Card Game · Roguelike · Dungeon Crawler · Turn-Based Strategy · 2D · Historical · Atmospheric</t>
        </is>
      </c>
    </row>
    <row r="781" ht="15" customHeight="1" s="78">
      <c r="A781" s="149" t="n">
        <v>1880310</v>
      </c>
      <c r="B781" s="149" t="inlineStr">
        <is>
          <t>Oogy: Can You Help</t>
        </is>
      </c>
      <c r="C781" s="149" t="n">
        <v>2022</v>
      </c>
      <c r="D781" s="150" t="n">
        <v>19.99</v>
      </c>
      <c r="E781" s="151" t="n">
        <v>75</v>
      </c>
      <c r="F781" s="149" t="n">
        <v>67</v>
      </c>
      <c r="G781" s="149" t="inlineStr">
        <is>
          <t>Julian Weiss</t>
        </is>
      </c>
      <c r="H781" s="149" t="inlineStr">
        <is>
          <t>Roguelite · Card Game · Dark Comedy · Choices Matter · Controller · Dialogue Heavy · Deckbuilding · Multiple Endings</t>
        </is>
      </c>
    </row>
    <row r="782" ht="15" customHeight="1" s="78">
      <c r="A782" s="152" t="n">
        <v>3212290</v>
      </c>
      <c r="B782" s="152" t="inlineStr">
        <is>
          <t>Bumble Rumble</t>
        </is>
      </c>
      <c r="C782" s="152" t="n">
        <v>2026</v>
      </c>
      <c r="D782" s="153" t="n">
        <v>7.99</v>
      </c>
      <c r="E782" s="154" t="n">
        <v>73</v>
      </c>
      <c r="F782" s="152" t="n">
        <v>100</v>
      </c>
      <c r="G782" s="152" t="inlineStr">
        <is>
          <t>Studio Pouffy</t>
        </is>
      </c>
      <c r="H782" s="152" t="inlineStr">
        <is>
          <t>Strategy · Roguelike · Tower Defense · Deckbuilding · Cute · 2D · Pixel Graphics · Turn-Based Tactics</t>
        </is>
      </c>
    </row>
    <row r="783" ht="15" customHeight="1" s="78">
      <c r="A783" s="149" t="n">
        <v>2469890</v>
      </c>
      <c r="B783" s="149" t="inlineStr">
        <is>
          <t>The Wand Wizard</t>
        </is>
      </c>
      <c r="C783" s="149" t="n">
        <v>2023</v>
      </c>
      <c r="D783" s="150" t="n">
        <v>0.99</v>
      </c>
      <c r="E783" s="151" t="n">
        <v>73</v>
      </c>
      <c r="F783" s="149" t="n">
        <v>67</v>
      </c>
      <c r="G783" s="149" t="inlineStr">
        <is>
          <t>PX Studio</t>
        </is>
      </c>
      <c r="H783" s="149" t="inlineStr">
        <is>
          <t>Action · Casual · Arcade · Action Roguelike · Bullet Hell · Roguelite · 2D · Fantasy</t>
        </is>
      </c>
    </row>
    <row r="784" ht="15" customHeight="1" s="78">
      <c r="A784" s="152" t="n">
        <v>1966810</v>
      </c>
      <c r="B784" s="152" t="inlineStr">
        <is>
          <t>Sentinel Point Heroes</t>
        </is>
      </c>
      <c r="C784" s="152" t="n">
        <v>2025</v>
      </c>
      <c r="D784" s="153" t="n">
        <v>10.99</v>
      </c>
      <c r="E784" s="154" t="n">
        <v>72</v>
      </c>
      <c r="F784" s="152" t="n">
        <v>100</v>
      </c>
      <c r="G784" s="152" t="inlineStr">
        <is>
          <t>Jellybane</t>
        </is>
      </c>
      <c r="H784" s="152" t="inlineStr">
        <is>
          <t>Turn-Based Tactics · Card Battler · Roguelike Deckbuilder · Roguelite · Moddable · Superhero · Strategy · Time Manipulation</t>
        </is>
      </c>
    </row>
    <row r="785" ht="15" customHeight="1" s="78">
      <c r="A785" s="149" t="n">
        <v>4251280</v>
      </c>
      <c r="B785" s="149" t="inlineStr">
        <is>
          <t>Escape Ruin</t>
        </is>
      </c>
      <c r="C785" s="149" t="n">
        <v>2026</v>
      </c>
      <c r="D785" s="150" t="n">
        <v>10.99</v>
      </c>
      <c r="E785" s="151" t="n">
        <v>71</v>
      </c>
      <c r="F785" s="149" t="n">
        <v>75</v>
      </c>
      <c r="G785" s="149" t="inlineStr">
        <is>
          <t>To The Core Games</t>
        </is>
      </c>
      <c r="H785" s="149" t="inlineStr">
        <is>
          <t>Deckbuilding · Roguelike Deckbuilder · Card Game · Turn-Based Tactics · Roguelite · Strategy · Perma Death · Singleplayer</t>
        </is>
      </c>
    </row>
    <row r="786" ht="15" customHeight="1" s="78">
      <c r="A786" s="152" t="n">
        <v>3402160</v>
      </c>
      <c r="B786" s="152" t="inlineStr">
        <is>
          <t>Prisoners of Ulag'Bol: A Dungeon Crawling Deckbuilder</t>
        </is>
      </c>
      <c r="C786" s="152" t="n">
        <v>2025</v>
      </c>
      <c r="D786" s="153" t="n">
        <v>9.99</v>
      </c>
      <c r="E786" s="154" t="n">
        <v>71</v>
      </c>
      <c r="F786" s="152" t="n">
        <v>67</v>
      </c>
      <c r="G786" s="152" t="inlineStr">
        <is>
          <t>DF Games</t>
        </is>
      </c>
      <c r="H786" s="152" t="inlineStr">
        <is>
          <t>Deckbuilding · RPG · Strategy · Dungeon Crawler · Roguelite · Card Battler · Card Game · Roguelike</t>
        </is>
      </c>
    </row>
    <row r="787" ht="15" customHeight="1" s="78">
      <c r="A787" s="149" t="n">
        <v>2479070</v>
      </c>
      <c r="B787" s="149" t="inlineStr">
        <is>
          <t>Shadows of Revenge</t>
        </is>
      </c>
      <c r="C787" s="149" t="n">
        <v>2023</v>
      </c>
      <c r="D787" s="150" t="n">
        <v>0.99</v>
      </c>
      <c r="E787" s="151" t="n">
        <v>70</v>
      </c>
      <c r="F787" s="149" t="n">
        <v>50</v>
      </c>
      <c r="G787" s="149" t="inlineStr">
        <is>
          <t>Bedrock Fungi Games</t>
        </is>
      </c>
      <c r="H787" s="149" t="inlineStr">
        <is>
          <t>Roguelike Deckbuilder · Strategy · Deckbuilding · Card Battler · Card Game · Roguelite · Roguelike · 2D</t>
        </is>
      </c>
    </row>
    <row r="788" ht="15" customHeight="1" s="78">
      <c r="A788" s="152" t="n">
        <v>3217480</v>
      </c>
      <c r="B788" s="152" t="inlineStr">
        <is>
          <t>Waystones</t>
        </is>
      </c>
      <c r="C788" s="152" t="n">
        <v>2025</v>
      </c>
      <c r="D788" s="153" t="n">
        <v>17.99</v>
      </c>
      <c r="E788" s="154" t="n">
        <v>68</v>
      </c>
      <c r="F788" s="152" t="n">
        <v>80</v>
      </c>
      <c r="G788" s="152" t="inlineStr">
        <is>
          <t>Athyran Studios</t>
        </is>
      </c>
      <c r="H788" s="152" t="inlineStr">
        <is>
          <t>Roguelike Deckbuilder · Card Game · Strategy · Card Battler · Deckbuilding · Turn-Based · Roguelike · Singleplayer</t>
        </is>
      </c>
    </row>
    <row r="789" ht="15" customHeight="1" s="78">
      <c r="A789" s="149" t="n">
        <v>3980980</v>
      </c>
      <c r="B789" s="149" t="inlineStr">
        <is>
          <t>Politiks - Satirical Roguelite Deckbuilder</t>
        </is>
      </c>
      <c r="C789" s="149" t="n">
        <v>2026</v>
      </c>
      <c r="D789" s="150" t="n">
        <v>4.99</v>
      </c>
      <c r="E789" s="151" t="n">
        <v>68</v>
      </c>
      <c r="F789" s="149" t="n">
        <v>100</v>
      </c>
      <c r="G789" s="149" t="inlineStr">
        <is>
          <t>myradann</t>
        </is>
      </c>
      <c r="H789" s="149" t="inlineStr">
        <is>
          <t>Early Access · Deckbuilding · Strategy · Roguelike Deckbuilder · Casual · Card Game · Card Battler · Turn-Based Strategy</t>
        </is>
      </c>
    </row>
    <row r="790" ht="15" customHeight="1" s="78">
      <c r="A790" s="152" t="n">
        <v>5343970</v>
      </c>
      <c r="B790" s="152" t="inlineStr">
        <is>
          <t>PINDEMONIUM</t>
        </is>
      </c>
      <c r="C790" s="152" t="n">
        <v>2026</v>
      </c>
      <c r="D790" s="153" t="n">
        <v>0</v>
      </c>
      <c r="E790" s="154" t="n">
        <v>68</v>
      </c>
      <c r="F790" s="152" t="n">
        <v>100</v>
      </c>
      <c r="G790" s="152" t="inlineStr">
        <is>
          <t>Drypoint</t>
        </is>
      </c>
      <c r="H790" s="152" t="inlineStr">
        <is>
          <t>Casual · Action · Arcade · Board Game · Roguelike · Tabletop · Action Roguelike · Incremental</t>
        </is>
      </c>
    </row>
    <row r="791" ht="15" customHeight="1" s="78">
      <c r="A791" s="149" t="n">
        <v>2880080</v>
      </c>
      <c r="B791" s="149" t="inlineStr">
        <is>
          <t>Hadarot</t>
        </is>
      </c>
      <c r="C791" s="149" t="n">
        <v>2024</v>
      </c>
      <c r="D791" s="150" t="n">
        <v>4.99</v>
      </c>
      <c r="E791" s="151" t="n">
        <v>66</v>
      </c>
      <c r="F791" s="149" t="n">
        <v>89</v>
      </c>
      <c r="G791" s="149" t="inlineStr">
        <is>
          <t>Abel Martín</t>
        </is>
      </c>
      <c r="H791" s="149" t="inlineStr">
        <is>
          <t>Early Access · Roguelike Deckbuilder · Card Game · Card Battler · Roguelike · Turn-Based · Deckbuilding · Turn-Based Tactics</t>
        </is>
      </c>
    </row>
    <row r="792" ht="15" customHeight="1" s="78">
      <c r="A792" s="152" t="n">
        <v>2720540</v>
      </c>
      <c r="B792" s="152" t="inlineStr">
        <is>
          <t>陨铁山 Falling Mountains</t>
        </is>
      </c>
      <c r="C792" s="152" t="n">
        <v>2024</v>
      </c>
      <c r="D792" s="153" t="n">
        <v>2.99</v>
      </c>
      <c r="E792" s="154" t="n">
        <v>66</v>
      </c>
      <c r="F792" s="152" t="n">
        <v>100</v>
      </c>
      <c r="G792" s="152" t="inlineStr">
        <is>
          <t>Harbinger</t>
        </is>
      </c>
      <c r="H792" s="152" t="inlineStr">
        <is>
          <t>Roguelike Deckbuilder · Card Game · Deckbuilding · Roguelite · Perma Death · Strategy · 2D · Procedural Generation</t>
        </is>
      </c>
    </row>
    <row r="793" ht="15" customHeight="1" s="78">
      <c r="A793" s="149" t="n">
        <v>2360440</v>
      </c>
      <c r="B793" s="149" t="inlineStr">
        <is>
          <t>Dreamians: Card Battle</t>
        </is>
      </c>
      <c r="C793" s="149" t="n">
        <v>2025</v>
      </c>
      <c r="D793" s="150" t="n">
        <v>4.99</v>
      </c>
      <c r="E793" s="151" t="n">
        <v>65</v>
      </c>
      <c r="F793" s="149" t="n">
        <v>89</v>
      </c>
      <c r="G793" s="149" t="inlineStr">
        <is>
          <t>White Vortex Games</t>
        </is>
      </c>
      <c r="H793" s="149" t="inlineStr">
        <is>
          <t>Roguelike Deckbuilder · Card Game · Roguelike · Casual · Trading Card Game · Card Battler · Creature Collector · RPG</t>
        </is>
      </c>
    </row>
    <row r="794" ht="15" customHeight="1" s="78">
      <c r="A794" s="152" t="n">
        <v>3665300</v>
      </c>
      <c r="B794" s="152" t="inlineStr">
        <is>
          <t>Rogue Ninjas</t>
        </is>
      </c>
      <c r="C794" s="152" t="n">
        <v>2025</v>
      </c>
      <c r="D794" s="153" t="n">
        <v>2.99</v>
      </c>
      <c r="E794" s="154" t="n">
        <v>65</v>
      </c>
      <c r="F794" s="152" t="n">
        <v>100</v>
      </c>
      <c r="G794" s="152" t="inlineStr">
        <is>
          <t>Mobmonks</t>
        </is>
      </c>
      <c r="H794" s="152" t="inlineStr">
        <is>
          <t>Roguelite · RPG · Turn-Based Tactics · Roguelike · Deckbuilding · Roguelike Deckbuilder · Singleplayer · Strategy</t>
        </is>
      </c>
    </row>
    <row r="795" ht="15" customHeight="1" s="78">
      <c r="A795" s="149" t="n">
        <v>3292920</v>
      </c>
      <c r="B795" s="149" t="inlineStr">
        <is>
          <t>Lucky Hand: Roguelike Deck Builder</t>
        </is>
      </c>
      <c r="C795" s="149" t="n">
        <v>2025</v>
      </c>
      <c r="D795" s="150" t="n">
        <v>7.99</v>
      </c>
      <c r="E795" s="151" t="n">
        <v>64</v>
      </c>
      <c r="F795" s="149" t="n">
        <v>67</v>
      </c>
      <c r="G795" s="149" t="inlineStr">
        <is>
          <t>Hard Shark Games</t>
        </is>
      </c>
      <c r="H795" s="149" t="inlineStr">
        <is>
          <t>Roguelike Deckbuilder · Strategy · Card Game · Card Battler · Roguelike · Procedural Generation · Indie · Singleplayer</t>
        </is>
      </c>
    </row>
    <row r="796" ht="15" customHeight="1" s="78">
      <c r="A796" s="152" t="n">
        <v>3878980</v>
      </c>
      <c r="B796" s="152" t="inlineStr">
        <is>
          <t>Waterjacked!</t>
        </is>
      </c>
      <c r="C796" s="152" t="n">
        <v>2026</v>
      </c>
      <c r="D796" s="153" t="n">
        <v>4.99</v>
      </c>
      <c r="E796" s="154" t="n">
        <v>64</v>
      </c>
      <c r="F796" s="152" t="n">
        <v>100</v>
      </c>
      <c r="G796" s="152" t="inlineStr">
        <is>
          <t>A Frog's Pond</t>
        </is>
      </c>
      <c r="H796" s="152" t="inlineStr">
        <is>
          <t>Early Access · Traditional Roguelike · Roguelike Deckbuilder · Puzzle · Turn-Based Strategy · Turn-Based Combat · Turn-Based · Deckbuilding</t>
        </is>
      </c>
    </row>
    <row r="797" ht="15" customHeight="1" s="78">
      <c r="A797" s="149" t="n">
        <v>4575140</v>
      </c>
      <c r="B797" s="149" t="inlineStr">
        <is>
          <t>Project Uncover</t>
        </is>
      </c>
      <c r="C797" s="149" t="n">
        <v>2026</v>
      </c>
      <c r="D797" s="150" t="n">
        <v>3.99</v>
      </c>
      <c r="E797" s="151" t="n">
        <v>63</v>
      </c>
      <c r="F797" s="149" t="n">
        <v>60</v>
      </c>
      <c r="G797" s="149" t="inlineStr">
        <is>
          <t>KUANG</t>
        </is>
      </c>
      <c r="H797" s="149" t="inlineStr">
        <is>
          <t>Deckbuilding · Arcade · Casual · Roguelite · Roguelike Deckbuilder · 2D · Sexual Content · Nudity</t>
        </is>
      </c>
    </row>
    <row r="798" ht="15" customHeight="1" s="78">
      <c r="A798" s="152" t="n">
        <v>4458510</v>
      </c>
      <c r="B798" s="152" t="inlineStr">
        <is>
          <t>The Bible Roguelike Deckbuilder</t>
        </is>
      </c>
      <c r="C798" s="152" t="n">
        <v>2026</v>
      </c>
      <c r="D798" s="153" t="n">
        <v>4.99</v>
      </c>
      <c r="E798" s="154" t="n">
        <v>63</v>
      </c>
      <c r="F798" s="152" t="n">
        <v>50</v>
      </c>
      <c r="G798" s="152" t="inlineStr">
        <is>
          <t>Entertainment Software International</t>
        </is>
      </c>
      <c r="H798" s="152" t="inlineStr">
        <is>
          <t>Roguelike Deckbuilder · Card Battler · Dungeon Crawler · Card Game · Roguelike · Strategy · 2D · Historical</t>
        </is>
      </c>
    </row>
    <row r="799" ht="15" customHeight="1" s="78">
      <c r="A799" s="149" t="n">
        <v>2798690</v>
      </c>
      <c r="B799" s="149" t="inlineStr">
        <is>
          <t>Another Round</t>
        </is>
      </c>
      <c r="C799" s="149" t="n">
        <v>2025</v>
      </c>
      <c r="D799" s="150" t="n">
        <v>4.99</v>
      </c>
      <c r="E799" s="151" t="n">
        <v>62</v>
      </c>
      <c r="F799" s="149" t="n">
        <v>100</v>
      </c>
      <c r="G799" s="149" t="inlineStr">
        <is>
          <t>Triple Eye Games</t>
        </is>
      </c>
      <c r="H799" s="149" t="inlineStr">
        <is>
          <t>Roguelike Deckbuilder · Turn-Based · Cyberpunk · Card Game · Turn-Based Strategy · RPG · Story Rich · Procedural Generation</t>
        </is>
      </c>
    </row>
    <row r="800" ht="15" customHeight="1" s="78">
      <c r="A800" s="152" t="n">
        <v>4026180</v>
      </c>
      <c r="B800" s="152" t="inlineStr">
        <is>
          <t>REDTAPE</t>
        </is>
      </c>
      <c r="C800" s="152" t="n">
        <v>2025</v>
      </c>
      <c r="D800" s="153" t="n">
        <v>9.99</v>
      </c>
      <c r="E800" s="154" t="n">
        <v>61</v>
      </c>
      <c r="F800" s="152" t="n">
        <v>25</v>
      </c>
      <c r="G800" s="152" t="inlineStr">
        <is>
          <t>HAKDU</t>
        </is>
      </c>
      <c r="H800" s="152" t="inlineStr">
        <is>
          <t>Card Game · Strategy · Roguelike · Roguelike Deckbuilder · Deckbuilding · Casual · Indie · Singleplayer</t>
        </is>
      </c>
    </row>
    <row r="801" ht="15" customHeight="1" s="78">
      <c r="A801" s="149" t="n">
        <v>4262070</v>
      </c>
      <c r="B801" s="149" t="inlineStr">
        <is>
          <t>Chart Weaver</t>
        </is>
      </c>
      <c r="C801" s="149" t="n">
        <v>2026</v>
      </c>
      <c r="D801" s="150" t="n">
        <v>6.99</v>
      </c>
      <c r="E801" s="151" t="n">
        <v>56</v>
      </c>
      <c r="F801" s="149" t="n">
        <v>100</v>
      </c>
      <c r="G801" s="149" t="inlineStr">
        <is>
          <t>Skahd</t>
        </is>
      </c>
      <c r="H801" s="149" t="inlineStr">
        <is>
          <t>Score Attack · Strategy · Casual · Card Battler · Deckbuilding · Roguelike Deckbuilder · Roguelite · Roguelike</t>
        </is>
      </c>
    </row>
    <row r="802" ht="15" customHeight="1" s="78">
      <c r="A802" s="152" t="n">
        <v>4397160</v>
      </c>
      <c r="B802" s="152" t="inlineStr">
        <is>
          <t>Apocalypse: The Hunger</t>
        </is>
      </c>
      <c r="C802" s="152" t="n">
        <v>2026</v>
      </c>
      <c r="D802" s="153" t="n">
        <v>1.99</v>
      </c>
      <c r="E802" s="154" t="n">
        <v>56</v>
      </c>
      <c r="F802" s="152" t="n">
        <v>33</v>
      </c>
      <c r="G802" s="152" t="inlineStr">
        <is>
          <t>Bit Boy Games</t>
        </is>
      </c>
      <c r="H802" s="152" t="inlineStr">
        <is>
          <t>Roguelike Deckbuilder · Card Game · Roguelike · Roguelite · Indie · Mystery Dungeon · Trading Card Game · Crafting</t>
        </is>
      </c>
    </row>
    <row r="803" ht="15" customHeight="1" s="78">
      <c r="A803" s="149" t="n">
        <v>3941130</v>
      </c>
      <c r="B803" s="149" t="inlineStr">
        <is>
          <t>Queue Queen</t>
        </is>
      </c>
      <c r="C803" s="149" t="n">
        <v>2026</v>
      </c>
      <c r="D803" s="150" t="n">
        <v>4.99</v>
      </c>
      <c r="E803" s="151" t="n">
        <v>53</v>
      </c>
      <c r="F803" s="149" t="n">
        <v>100</v>
      </c>
      <c r="G803" s="149" t="inlineStr">
        <is>
          <t>Lisisoft</t>
        </is>
      </c>
      <c r="H803" s="149" t="inlineStr">
        <is>
          <t>Card Game · Procedural Generation · Roguelike · Gambling · Roguelike Deckbuilder · Choices Matter · Inventory Management · Automation</t>
        </is>
      </c>
    </row>
    <row r="804" ht="15" customHeight="1" s="78">
      <c r="A804" s="152" t="n">
        <v>1954440</v>
      </c>
      <c r="B804" s="152" t="inlineStr">
        <is>
          <t>OneShotRogue</t>
        </is>
      </c>
      <c r="C804" s="152" t="n">
        <v>2022</v>
      </c>
      <c r="D804" s="153" t="n">
        <v>7.99</v>
      </c>
      <c r="E804" s="154" t="n">
        <v>50</v>
      </c>
      <c r="F804" s="152" t="n">
        <v>100</v>
      </c>
      <c r="G804" s="152" t="inlineStr">
        <is>
          <t>Nelfold Works</t>
        </is>
      </c>
      <c r="H804" s="152" t="inlineStr">
        <is>
          <t>Strategy · Roguelike Deckbuilder · Difficult · Deckbuilding · Roguelite · Card Game · Roguelike · 2D</t>
        </is>
      </c>
    </row>
    <row r="805" ht="15" customHeight="1" s="78">
      <c r="A805" s="149" t="n">
        <v>4380280</v>
      </c>
      <c r="B805" s="149" t="inlineStr">
        <is>
          <t>Slay the Horde</t>
        </is>
      </c>
      <c r="C805" s="149" t="n">
        <v>2026</v>
      </c>
      <c r="D805" s="150" t="n">
        <v>9.99</v>
      </c>
      <c r="E805" s="151" t="n">
        <v>50</v>
      </c>
      <c r="F805" s="149" t="n">
        <v>100</v>
      </c>
      <c r="G805" s="149" t="inlineStr">
        <is>
          <t>Regretware</t>
        </is>
      </c>
      <c r="H805" s="149" t="inlineStr">
        <is>
          <t>Bullet Heaven · Action Roguelike · Roguelite · Bullet Hell · Pixel Graphics · Action · Top-Down · Roguelike Deckbuilder</t>
        </is>
      </c>
    </row>
    <row r="806" ht="15" customHeight="1" s="78">
      <c r="A806" s="152" t="n">
        <v>2117190</v>
      </c>
      <c r="B806" s="152" t="inlineStr">
        <is>
          <t>Spliced</t>
        </is>
      </c>
      <c r="C806" s="152" t="n">
        <v>2022</v>
      </c>
      <c r="D806" s="153" t="n">
        <v>6.99</v>
      </c>
      <c r="E806" s="154" t="n">
        <v>50</v>
      </c>
      <c r="F806" s="152" t="n">
        <v>100</v>
      </c>
      <c r="G806" s="152" t="inlineStr">
        <is>
          <t>Orrito</t>
        </is>
      </c>
      <c r="H806" s="152" t="inlineStr">
        <is>
          <t>Roguelike Deckbuilder · Card Game · Turn-Based · Roguelite · Indie · Roguelike · Colorful · Deckbuilding</t>
        </is>
      </c>
    </row>
    <row r="807" ht="15" customHeight="1" s="78">
      <c r="A807" s="149" t="n">
        <v>4571100</v>
      </c>
      <c r="B807" s="149" t="inlineStr">
        <is>
          <t>English Vocab Rush</t>
        </is>
      </c>
      <c r="C807" s="149" t="n">
        <v>2026</v>
      </c>
      <c r="D807" s="150" t="n">
        <v>6.99</v>
      </c>
      <c r="E807" s="151" t="n">
        <v>49</v>
      </c>
      <c r="F807" s="149" t="n">
        <v>80</v>
      </c>
      <c r="G807" s="149" t="inlineStr">
        <is>
          <t>Binary Logic Games</t>
        </is>
      </c>
      <c r="H807" s="149" t="inlineStr">
        <is>
          <t>Solitaire · Card Battler · Roguelite · Education · Tutorial · Card Game · Strategy · 2D</t>
        </is>
      </c>
    </row>
    <row r="808" ht="15" customHeight="1" s="78">
      <c r="A808" s="152" t="n">
        <v>4676400</v>
      </c>
      <c r="B808" s="152" t="inlineStr">
        <is>
          <t>Mom, I'm Really Learning English</t>
        </is>
      </c>
      <c r="C808" s="152" t="n">
        <v>2026</v>
      </c>
      <c r="D808" s="153" t="n">
        <v>3.99</v>
      </c>
      <c r="E808" s="154" t="n">
        <v>46</v>
      </c>
      <c r="F808" s="152" t="n">
        <v>50</v>
      </c>
      <c r="G808" s="152" t="inlineStr">
        <is>
          <t>MiracleHeart Studio</t>
        </is>
      </c>
      <c r="H808" s="152" t="inlineStr">
        <is>
          <t>Strategy · Education · Card Game · Turn-Based Tactics · Trading Card Game · 2D · Anime · Fantasy</t>
        </is>
      </c>
    </row>
    <row r="809" ht="15" customHeight="1" s="78">
      <c r="A809" s="149" t="n">
        <v>5312040</v>
      </c>
      <c r="B809" s="149" t="inlineStr">
        <is>
          <t>Galdr Inkblade</t>
        </is>
      </c>
      <c r="C809" s="149" t="n">
        <v>2026</v>
      </c>
      <c r="D809" s="150" t="n">
        <v>6.99</v>
      </c>
      <c r="E809" s="151" t="n">
        <v>45</v>
      </c>
      <c r="F809" s="149" t="n">
        <v>100</v>
      </c>
      <c r="G809" s="149" t="inlineStr">
        <is>
          <t>Ravenom</t>
        </is>
      </c>
      <c r="H809" s="149" t="inlineStr">
        <is>
          <t>Spelling · Roguelike Deckbuilder · Strategy · Word Game · Education · Card Game · Casual · Roguelike</t>
        </is>
      </c>
    </row>
    <row r="810" ht="15" customHeight="1" s="78">
      <c r="A810" s="152" t="n">
        <v>2141180</v>
      </c>
      <c r="B810" s="152" t="inlineStr">
        <is>
          <t>Servants of Sumomon</t>
        </is>
      </c>
      <c r="C810" s="152" t="n">
        <v>2023</v>
      </c>
      <c r="D810" s="153" t="n">
        <v>2.99</v>
      </c>
      <c r="E810" s="154" t="n">
        <v>44</v>
      </c>
      <c r="F810" s="152" t="n">
        <v>100</v>
      </c>
      <c r="G810" s="152" t="inlineStr">
        <is>
          <t>10-2 Knees</t>
        </is>
      </c>
      <c r="H810" s="152" t="inlineStr">
        <is>
          <t>Roguelike Deckbuilder · Casual · Card Game · Deckbuilding · Turn-Based Combat · Hand-drawn · Fantasy · 2D</t>
        </is>
      </c>
    </row>
    <row r="811" ht="15" customHeight="1" s="78">
      <c r="A811" s="149" t="n">
        <v>2458370</v>
      </c>
      <c r="B811" s="149" t="inlineStr">
        <is>
          <t>Zankoi's Chronicles</t>
        </is>
      </c>
      <c r="C811" s="149" t="n">
        <v>2026</v>
      </c>
      <c r="D811" s="150" t="n">
        <v>14.99</v>
      </c>
      <c r="E811" s="151" t="n">
        <v>43</v>
      </c>
      <c r="F811" s="149" t="n">
        <v>100</v>
      </c>
      <c r="G811" s="149" t="inlineStr">
        <is>
          <t>Ledian Digital</t>
        </is>
      </c>
      <c r="H811" s="149" t="inlineStr">
        <is>
          <t>Action Roguelike · Roguelike Deckbuilder · Deckbuilding · 2D Fighter · Action · Martial Arts · Dark Fantasy · Singleplayer</t>
        </is>
      </c>
    </row>
    <row r="812" ht="15" customHeight="1" s="78">
      <c r="A812" s="152" t="n">
        <v>4127450</v>
      </c>
      <c r="B812" s="152" t="inlineStr">
        <is>
          <t>Mixatro</t>
        </is>
      </c>
      <c r="C812" s="152" t="n">
        <v>2026</v>
      </c>
      <c r="D812" s="153" t="n">
        <v>1.99</v>
      </c>
      <c r="E812" s="154" t="n">
        <v>43</v>
      </c>
      <c r="F812" s="152" t="n">
        <v>100</v>
      </c>
      <c r="G812" s="152" t="inlineStr">
        <is>
          <t>Davopia Games</t>
        </is>
      </c>
      <c r="H812" s="152" t="inlineStr">
        <is>
          <t>Casual · Arcade · Puzzle · Indie · Roguelike · 2D · Cartoony · Family Friendly</t>
        </is>
      </c>
    </row>
    <row r="813" ht="15" customHeight="1" s="78">
      <c r="A813" s="149" t="n">
        <v>3870620</v>
      </c>
      <c r="B813" s="149" t="inlineStr">
        <is>
          <t>Hand-me-downs</t>
        </is>
      </c>
      <c r="C813" s="149" t="n">
        <v>2026</v>
      </c>
      <c r="D813" s="150" t="n">
        <v>7.99</v>
      </c>
      <c r="E813" s="151" t="n">
        <v>42</v>
      </c>
      <c r="F813" s="149" t="n">
        <v>100</v>
      </c>
      <c r="G813" s="149" t="inlineStr">
        <is>
          <t>Buggy Deduck</t>
        </is>
      </c>
      <c r="H813" s="149" t="inlineStr">
        <is>
          <t>Early Access · Card Game · Roguelike · Roguelike Deckbuilder · Strategy · Deckbuilding · Card Battler · Singleplayer</t>
        </is>
      </c>
    </row>
    <row r="814" ht="15" customHeight="1" s="78">
      <c r="A814" s="152" t="n">
        <v>4556750</v>
      </c>
      <c r="B814" s="152" t="inlineStr">
        <is>
          <t>Slots &amp; Sword &amp; Magic</t>
        </is>
      </c>
      <c r="C814" s="152" t="n">
        <v>2026</v>
      </c>
      <c r="D814" s="153" t="n">
        <v>5.99</v>
      </c>
      <c r="E814" s="154" t="n">
        <v>41</v>
      </c>
      <c r="F814" s="152" t="n">
        <v>100</v>
      </c>
      <c r="G814" s="152" t="inlineStr">
        <is>
          <t>JL studio</t>
        </is>
      </c>
      <c r="H814" s="152" t="inlineStr">
        <is>
          <t>Strategy · Roguelike · Roguelike Deckbuilder · Casual · Gambling · Deckbuilding · Card Battler · Pixel Graphics</t>
        </is>
      </c>
    </row>
    <row r="815" ht="15" customHeight="1" s="78">
      <c r="A815" s="149" t="n">
        <v>4363410</v>
      </c>
      <c r="B815" s="149" t="inlineStr">
        <is>
          <t>No Luck In Dice</t>
        </is>
      </c>
      <c r="C815" s="149" t="n">
        <v>2026</v>
      </c>
      <c r="D815" s="150" t="n">
        <v>3.99</v>
      </c>
      <c r="E815" s="151" t="n">
        <v>40</v>
      </c>
      <c r="F815" s="149" t="n">
        <v>100</v>
      </c>
      <c r="G815" s="149" t="inlineStr">
        <is>
          <t>Evil Eric Game Studios</t>
        </is>
      </c>
      <c r="H815" s="149" t="inlineStr">
        <is>
          <t>Card Battler · Roguelite · Difficult · Turn-Based · Card Game · Turn-Based Strategy · Arcade · Strategy</t>
        </is>
      </c>
    </row>
    <row r="816" ht="15" customHeight="1" s="78">
      <c r="A816" s="152" t="n">
        <v>3145680</v>
      </c>
      <c r="B816" s="152" t="inlineStr">
        <is>
          <t>Double Barrel Desperado</t>
        </is>
      </c>
      <c r="C816" s="152" t="n">
        <v>2024</v>
      </c>
      <c r="D816" s="153" t="n">
        <v>2.99</v>
      </c>
      <c r="E816" s="154" t="n">
        <v>40</v>
      </c>
      <c r="F816" s="152" t="n">
        <v>100</v>
      </c>
      <c r="G816" s="152" t="inlineStr">
        <is>
          <t>Gentoo Games</t>
        </is>
      </c>
      <c r="H816" s="152" t="inlineStr">
        <is>
          <t>Roguelike Deckbuilder · Casual · Card Game · Roguelike · Strategy · Singleplayer · 2D · Arcade</t>
        </is>
      </c>
    </row>
    <row r="817" ht="15" customHeight="1" s="78">
      <c r="A817" s="149" t="n">
        <v>4982640</v>
      </c>
      <c r="B817" s="149" t="inlineStr">
        <is>
          <t>Groober</t>
        </is>
      </c>
      <c r="C817" s="149" t="n">
        <v>2026</v>
      </c>
      <c r="D817" s="150" t="n">
        <v>1.99</v>
      </c>
      <c r="E817" s="151" t="n">
        <v>39</v>
      </c>
      <c r="F817" s="149" t="n">
        <v>67</v>
      </c>
      <c r="G817" s="149" t="inlineStr">
        <is>
          <t>SMART PUNK GAMES</t>
        </is>
      </c>
      <c r="H817" s="149" t="inlineStr">
        <is>
          <t>Political Sim · Roguelite · Roguelike Deckbuilder · Puzzle · Visual Novel · 2D · Cyberpunk · Parody</t>
        </is>
      </c>
    </row>
    <row r="818" ht="15" customHeight="1" s="78">
      <c r="A818" s="152" t="n">
        <v>4566390</v>
      </c>
      <c r="B818" s="152" t="inlineStr">
        <is>
          <t>CROUPIERED</t>
        </is>
      </c>
      <c r="C818" s="152" t="n">
        <v>2026</v>
      </c>
      <c r="D818" s="153" t="n">
        <v>9.99</v>
      </c>
      <c r="E818" s="154" t="n">
        <v>38</v>
      </c>
      <c r="F818" s="152" t="n">
        <v>100</v>
      </c>
      <c r="G818" s="152" t="inlineStr">
        <is>
          <t>Variazioni Games</t>
        </is>
      </c>
      <c r="H818" s="152" t="inlineStr">
        <is>
          <t>Strategy · Casual · Deckbuilding · Roguelike · Roguelike Deckbuilder · Board Game · 2D · Western</t>
        </is>
      </c>
    </row>
    <row r="819" ht="15" customHeight="1" s="78">
      <c r="A819" s="149" t="n">
        <v>4859440</v>
      </c>
      <c r="B819" s="149" t="inlineStr">
        <is>
          <t>Enchanted Blackjack</t>
        </is>
      </c>
      <c r="C819" s="149" t="n">
        <v>2026</v>
      </c>
      <c r="D819" s="150" t="n">
        <v>6.99</v>
      </c>
      <c r="E819" s="151" t="n">
        <v>37</v>
      </c>
      <c r="F819" s="149" t="n">
        <v>100</v>
      </c>
      <c r="G819" s="149" t="inlineStr">
        <is>
          <t>drikdrok</t>
        </is>
      </c>
      <c r="H819" s="149" t="inlineStr">
        <is>
          <t>Roguelike Deckbuilder · Turn-Based Tactics · Incremental · Roguelite · Deckbuilding · Economy · Card Game · Tabletop</t>
        </is>
      </c>
    </row>
    <row r="820" ht="15" customHeight="1" s="78">
      <c r="A820" s="152" t="n">
        <v>4957150</v>
      </c>
      <c r="B820" s="152" t="inlineStr">
        <is>
          <t>Glyphrune</t>
        </is>
      </c>
      <c r="C820" s="152" t="n">
        <v>2026</v>
      </c>
      <c r="D820" s="153" t="n">
        <v>4.99</v>
      </c>
      <c r="E820" s="154" t="n">
        <v>37</v>
      </c>
      <c r="F820" s="152" t="n">
        <v>100</v>
      </c>
      <c r="G820" s="152" t="inlineStr">
        <is>
          <t>Caitlyn Walsh (CaveBit Studios)</t>
        </is>
      </c>
      <c r="H820" s="152" t="inlineStr">
        <is>
          <t>Roguelite · Roguelike Deckbuilder · Card Battler · Deckbuilding · RPG · Strategy RPG · Class-Based · Turn-Based Combat</t>
        </is>
      </c>
    </row>
    <row r="821" ht="15" customHeight="1" s="78">
      <c r="A821" s="149" t="n">
        <v>5222360</v>
      </c>
      <c r="B821" s="149" t="inlineStr">
        <is>
          <t>Pay your Deeds</t>
        </is>
      </c>
      <c r="C821" s="149" t="n">
        <v>2026</v>
      </c>
      <c r="D821" s="150" t="n">
        <v>9.99</v>
      </c>
      <c r="E821" s="151" t="n">
        <v>36</v>
      </c>
      <c r="F821" s="149" t="n">
        <v>50</v>
      </c>
      <c r="G821" s="149" t="inlineStr">
        <is>
          <t>Insiders Games</t>
        </is>
      </c>
      <c r="H821" s="149" t="inlineStr">
        <is>
          <t>Casual · Strategy · Roguelike Deckbuilder · Roguelike · Arcade · Card Game · Incremental · Roguelite</t>
        </is>
      </c>
    </row>
    <row r="822" ht="15" customHeight="1" s="78">
      <c r="A822" s="152" t="n">
        <v>5178000</v>
      </c>
      <c r="B822" s="152" t="inlineStr">
        <is>
          <t>Oath of Stigmata</t>
        </is>
      </c>
      <c r="C822" s="152" t="n">
        <v>2026</v>
      </c>
      <c r="D822" s="153" t="n">
        <v>6.99</v>
      </c>
      <c r="E822" s="154" t="n">
        <v>36</v>
      </c>
      <c r="F822" s="152" t="n">
        <v>50</v>
      </c>
      <c r="G822" s="152" t="inlineStr">
        <is>
          <t>LI SHUANG</t>
        </is>
      </c>
      <c r="H822" s="152" t="inlineStr">
        <is>
          <t>Roguelike Deckbuilder · Turn-Based Tactics · Deckbuilding · Strategy · Card Battler · Roguelite · Roguelike · Tactical RPG</t>
        </is>
      </c>
    </row>
    <row r="823" ht="15" customHeight="1" s="78">
      <c r="A823" s="149" t="n">
        <v>3953500</v>
      </c>
      <c r="B823" s="149" t="inlineStr">
        <is>
          <t>Funkels</t>
        </is>
      </c>
      <c r="C823" s="149" t="n">
        <v>2025</v>
      </c>
      <c r="D823" s="150" t="n">
        <v>5.99</v>
      </c>
      <c r="E823" s="151" t="n">
        <v>36</v>
      </c>
      <c r="F823" s="149" t="n">
        <v>50</v>
      </c>
      <c r="G823" s="149" t="inlineStr">
        <is>
          <t>Merovingio</t>
        </is>
      </c>
      <c r="H823" s="149" t="inlineStr">
        <is>
          <t>Strategy · Card Game · Roguelike · Creature Collector · Card Battler · 2D · Cartoony · Stylized</t>
        </is>
      </c>
    </row>
    <row r="824" ht="15" customHeight="1" s="78">
      <c r="A824" s="152" t="n">
        <v>4016940</v>
      </c>
      <c r="B824" s="152" t="inlineStr">
        <is>
          <t>Dystopia Girls : Countdown</t>
        </is>
      </c>
      <c r="C824" s="152" t="n">
        <v>2026</v>
      </c>
      <c r="D824" s="153" t="n">
        <v>3.99</v>
      </c>
      <c r="E824" s="154" t="n">
        <v>36</v>
      </c>
      <c r="F824" s="152" t="n">
        <v>50</v>
      </c>
      <c r="G824" s="152" t="inlineStr">
        <is>
          <t>Jeremy Kim</t>
        </is>
      </c>
      <c r="H824" s="152" t="inlineStr">
        <is>
          <t>Roguelite · 2D · Anime · RPG · Cyberpunk · Dystopian · Post-apocalyptic · Sci-fi</t>
        </is>
      </c>
    </row>
    <row r="825" ht="15" customHeight="1" s="78">
      <c r="A825" s="149" t="n">
        <v>1494780</v>
      </c>
      <c r="B825" s="149" t="inlineStr">
        <is>
          <t>Mage Mountain</t>
        </is>
      </c>
      <c r="C825" s="149" t="n">
        <v>2021</v>
      </c>
      <c r="D825" s="150" t="n">
        <v>9.99</v>
      </c>
      <c r="E825" s="151" t="n">
        <v>35</v>
      </c>
      <c r="F825" s="149" t="n">
        <v>100</v>
      </c>
      <c r="G825" s="149" t="inlineStr">
        <is>
          <t>Wonderbounce Games</t>
        </is>
      </c>
      <c r="H825" s="149" t="inlineStr">
        <is>
          <t>Early Access · Card Battler · Turn-Based Tactics · Deckbuilding · Roguelite · Perma Death · Card Game · Point &amp; Click</t>
        </is>
      </c>
    </row>
    <row r="826" ht="15" customHeight="1" s="78">
      <c r="A826" s="152" t="n">
        <v>3968300</v>
      </c>
      <c r="B826" s="152" t="inlineStr">
        <is>
          <t>The Hollow Alchemist</t>
        </is>
      </c>
      <c r="C826" s="152" t="n">
        <v>2026</v>
      </c>
      <c r="D826" s="153" t="n">
        <v>9.99</v>
      </c>
      <c r="E826" s="154" t="n">
        <v>34</v>
      </c>
      <c r="F826" s="152" t="n">
        <v>100</v>
      </c>
      <c r="G826" s="152" t="inlineStr">
        <is>
          <t>Soul in a flask</t>
        </is>
      </c>
      <c r="H826" s="152" t="inlineStr">
        <is>
          <t>Early Access · Roguelike Deckbuilder · Deckbuilding · Turn-Based Strategy · Card Battler · Card Game · Turn-Based Tactics · Strategy</t>
        </is>
      </c>
    </row>
    <row r="827" ht="15" customHeight="1" s="78">
      <c r="A827" s="149" t="n">
        <v>3830240</v>
      </c>
      <c r="B827" s="149" t="inlineStr">
        <is>
          <t>Untitled Car Game</t>
        </is>
      </c>
      <c r="C827" s="149" t="n">
        <v>2025</v>
      </c>
      <c r="D827" s="150" t="n">
        <v>4.99</v>
      </c>
      <c r="E827" s="151" t="n">
        <v>34</v>
      </c>
      <c r="F827" s="149" t="n">
        <v>100</v>
      </c>
      <c r="G827" s="149" t="inlineStr">
        <is>
          <t>SlipShot</t>
        </is>
      </c>
      <c r="H827" s="149" t="inlineStr">
        <is>
          <t>Multiplayer · Local Multiplayer · Action Roguelike · Deckbuilding · Party Game · Stylized · Indie · Action</t>
        </is>
      </c>
    </row>
    <row r="828" ht="15" customHeight="1" s="78">
      <c r="A828" s="152" t="n">
        <v>2794280</v>
      </c>
      <c r="B828" s="152" t="inlineStr">
        <is>
          <t>Deck Defense</t>
        </is>
      </c>
      <c r="C828" s="152" t="n">
        <v>2025</v>
      </c>
      <c r="D828" s="153" t="n">
        <v>9.99</v>
      </c>
      <c r="E828" s="154" t="n">
        <v>33</v>
      </c>
      <c r="F828" s="152" t="n">
        <v>100</v>
      </c>
      <c r="G828" s="152" t="inlineStr">
        <is>
          <t>CactusJock</t>
        </is>
      </c>
      <c r="H828" s="152" t="inlineStr">
        <is>
          <t>Strategy · Tower Defense · Deckbuilding · Roguelike · 3D · Roguelite · Singleplayer · Controller</t>
        </is>
      </c>
    </row>
    <row r="829" ht="15" customHeight="1" s="78">
      <c r="A829" s="149" t="n">
        <v>3347610</v>
      </c>
      <c r="B829" s="149" t="inlineStr">
        <is>
          <t>DreamBreaker</t>
        </is>
      </c>
      <c r="C829" s="149" t="n">
        <v>2025</v>
      </c>
      <c r="D829" s="150" t="n">
        <v>9.99</v>
      </c>
      <c r="E829" s="151" t="n">
        <v>33</v>
      </c>
      <c r="F829" s="149" t="n">
        <v>100</v>
      </c>
      <c r="G829" s="149" t="inlineStr">
        <is>
          <t>MOYUN Game</t>
        </is>
      </c>
      <c r="H829" s="149" t="inlineStr">
        <is>
          <t>Roguelike Deckbuilder · Card Game · Card Battler · Strategy · Deckbuilding · Turn-Based · Singleplayer · 2D</t>
        </is>
      </c>
    </row>
    <row r="830" ht="15" customHeight="1" s="78">
      <c r="A830" s="152" t="n">
        <v>4744730</v>
      </c>
      <c r="B830" s="152" t="inlineStr">
        <is>
          <t>Monke Brain</t>
        </is>
      </c>
      <c r="C830" s="152" t="n">
        <v>2026</v>
      </c>
      <c r="D830" s="153" t="n">
        <v>0.99</v>
      </c>
      <c r="E830" s="154" t="n">
        <v>33</v>
      </c>
      <c r="F830" s="152" t="n">
        <v>100</v>
      </c>
      <c r="G830" s="152" t="inlineStr">
        <is>
          <t>PIRI PIRI INTERACTIVE.</t>
        </is>
      </c>
      <c r="H830" s="152" t="inlineStr">
        <is>
          <t>Strategy · Card Game · Roguelike · 2D · Relaxing · Deckbuilding · Singleplayer · Roguelite</t>
        </is>
      </c>
    </row>
    <row r="831" ht="15" customHeight="1" s="78">
      <c r="A831" s="149" t="n">
        <v>3963830</v>
      </c>
      <c r="B831" s="149" t="inlineStr">
        <is>
          <t>The Drowned Deal</t>
        </is>
      </c>
      <c r="C831" s="149" t="n">
        <v>2025</v>
      </c>
      <c r="D831" s="150" t="n">
        <v>3.99</v>
      </c>
      <c r="E831" s="151" t="n">
        <v>32</v>
      </c>
      <c r="F831" s="149" t="n">
        <v>50</v>
      </c>
      <c r="G831" s="149" t="inlineStr">
        <is>
          <t>RB Games Studio</t>
        </is>
      </c>
      <c r="H831" s="149" t="inlineStr">
        <is>
          <t>Card Game · Roguelike · Roguelike Deckbuilder · Deckbuilding · Singleplayer · Strategy · Replay Value · Card Battler</t>
        </is>
      </c>
    </row>
    <row r="832" ht="15" customHeight="1" s="78">
      <c r="A832" s="152" t="n">
        <v>4417700</v>
      </c>
      <c r="B832" s="152" t="inlineStr">
        <is>
          <t>PentaPip</t>
        </is>
      </c>
      <c r="C832" s="152" t="n">
        <v>2026</v>
      </c>
      <c r="D832" s="153" t="n">
        <v>6.99</v>
      </c>
      <c r="E832" s="154" t="n">
        <v>31</v>
      </c>
      <c r="F832" s="152" t="n">
        <v>100</v>
      </c>
      <c r="G832" s="152" t="inlineStr">
        <is>
          <t>Sander Hilven</t>
        </is>
      </c>
      <c r="H832" s="152" t="inlineStr">
        <is>
          <t>Roguelite · Dice · Strategy · Tabletop · Casual · Deckbuilding · Board Game · Roguelike</t>
        </is>
      </c>
    </row>
    <row r="833" ht="15" customHeight="1" s="78">
      <c r="A833" s="149" t="n">
        <v>4334020</v>
      </c>
      <c r="B833" s="149" t="inlineStr">
        <is>
          <t>SUITE:The Automated Card Engine</t>
        </is>
      </c>
      <c r="C833" s="149" t="n">
        <v>2026</v>
      </c>
      <c r="D833" s="150" t="n">
        <v>5.99</v>
      </c>
      <c r="E833" s="151" t="n">
        <v>31</v>
      </c>
      <c r="F833" s="149" t="n">
        <v>100</v>
      </c>
      <c r="G833" s="149" t="inlineStr">
        <is>
          <t>2D100</t>
        </is>
      </c>
      <c r="H833" s="149" t="inlineStr">
        <is>
          <t>Roguelike Deckbuilder · Roguelike · Deckbuilding · Card Battler · Roguelite · Card Game · Turn-Based Strategy · Strategy</t>
        </is>
      </c>
    </row>
    <row r="834" ht="15" customHeight="1" s="78">
      <c r="A834" s="152" t="n">
        <v>2823630</v>
      </c>
      <c r="B834" s="152" t="inlineStr">
        <is>
          <t>Tech Disorder</t>
        </is>
      </c>
      <c r="C834" s="152" t="n">
        <v>2024</v>
      </c>
      <c r="D834" s="153" t="n">
        <v>0.99</v>
      </c>
      <c r="E834" s="154" t="n">
        <v>30</v>
      </c>
      <c r="F834" s="152" t="n">
        <v>100</v>
      </c>
      <c r="G834" s="152" t="inlineStr">
        <is>
          <t>Danil Koliada</t>
        </is>
      </c>
      <c r="H834" s="152" t="inlineStr">
        <is>
          <t>Early Access · Roguelike Deckbuilder · Turn-Based Combat · Cyberpunk · Turn-Based Tactics · Strategy · Card Game · Deckbuilding</t>
        </is>
      </c>
    </row>
    <row r="835" ht="15" customHeight="1" s="78">
      <c r="A835" s="149" t="n">
        <v>3962850</v>
      </c>
      <c r="B835" s="149" t="inlineStr">
        <is>
          <t>Fairy Circle</t>
        </is>
      </c>
      <c r="C835" s="149" t="n">
        <v>2026</v>
      </c>
      <c r="D835" s="150" t="n">
        <v>9.99</v>
      </c>
      <c r="E835" s="151" t="n">
        <v>30</v>
      </c>
      <c r="F835" s="149" t="n">
        <v>100</v>
      </c>
      <c r="G835" s="149" t="inlineStr">
        <is>
          <t>Play Hooky</t>
        </is>
      </c>
      <c r="H835" s="149" t="inlineStr">
        <is>
          <t>Strategy · Card Game · Roguelike · Turn-Based Strategy · Turn-Based Tactics · Roguelike Deckbuilder · Fantasy · Deckbuilding</t>
        </is>
      </c>
    </row>
    <row r="836" ht="15" customHeight="1" s="78">
      <c r="A836" s="152" t="n">
        <v>3295430</v>
      </c>
      <c r="B836" s="152" t="inlineStr">
        <is>
          <t>Type Ride</t>
        </is>
      </c>
      <c r="C836" s="152" t="n">
        <v>2026</v>
      </c>
      <c r="D836" s="153" t="n">
        <v>8.99</v>
      </c>
      <c r="E836" s="154" t="n">
        <v>30</v>
      </c>
      <c r="F836" s="152" t="n">
        <v>100</v>
      </c>
      <c r="G836" s="152" t="inlineStr">
        <is>
          <t>NOT__OK''</t>
        </is>
      </c>
      <c r="H836" s="152" t="inlineStr">
        <is>
          <t>Typing · Deckbuilding · Tower Defense · Card Game · Roguelike Deckbuilder · Roguelite · 2D · Strategy</t>
        </is>
      </c>
    </row>
    <row r="837" ht="15" customHeight="1" s="78">
      <c r="A837" s="149" t="n">
        <v>4617070</v>
      </c>
      <c r="B837" s="149" t="inlineStr">
        <is>
          <t>Sklesh</t>
        </is>
      </c>
      <c r="C837" s="149" t="n">
        <v>2026</v>
      </c>
      <c r="D837" s="150" t="n">
        <v>9.99</v>
      </c>
      <c r="E837" s="151" t="n">
        <v>30</v>
      </c>
      <c r="F837" s="149" t="n">
        <v>100</v>
      </c>
      <c r="G837" s="149" t="inlineStr">
        <is>
          <t>Three Hands Co</t>
        </is>
      </c>
      <c r="H837" s="149" t="inlineStr">
        <is>
          <t>Auto Battler · Card Game · Roguelike · Card Battler · Roguelite · 2D · 3D · Casual</t>
        </is>
      </c>
    </row>
    <row r="838" ht="15" customHeight="1" s="78">
      <c r="A838" s="152" t="n">
        <v>3498550</v>
      </c>
      <c r="B838" s="152" t="inlineStr">
        <is>
          <t>Questwood</t>
        </is>
      </c>
      <c r="C838" s="152" t="n">
        <v>2025</v>
      </c>
      <c r="D838" s="153" t="n">
        <v>9.99</v>
      </c>
      <c r="E838" s="154" t="n">
        <v>30</v>
      </c>
      <c r="F838" s="152" t="n">
        <v>100</v>
      </c>
      <c r="G838" s="152" t="inlineStr">
        <is>
          <t>Lyrical Games</t>
        </is>
      </c>
      <c r="H838" s="152" t="inlineStr">
        <is>
          <t>Roguelite · Action Roguelike · Class-Based · Replay Value · Co-op Campaign · Stylized · Bullet Hell · Fantasy</t>
        </is>
      </c>
    </row>
    <row r="839" ht="15" customHeight="1" s="78">
      <c r="A839" s="149" t="n">
        <v>2081790</v>
      </c>
      <c r="B839" s="149" t="inlineStr">
        <is>
          <t>Cards from the West</t>
        </is>
      </c>
      <c r="C839" s="149" t="n">
        <v>2026</v>
      </c>
      <c r="D839" s="150" t="n">
        <v>4.99</v>
      </c>
      <c r="E839" s="151" t="n">
        <v>30</v>
      </c>
      <c r="F839" s="149" t="n">
        <v>100</v>
      </c>
      <c r="G839" s="149" t="inlineStr">
        <is>
          <t>guilemus</t>
        </is>
      </c>
      <c r="H839" s="149" t="inlineStr">
        <is>
          <t>Early Access · Roguelike Deckbuilder · Card Game · Card Battler · Roguelike · Deckbuilding · Western · Strategy</t>
        </is>
      </c>
    </row>
    <row r="840" ht="15" customHeight="1" s="78">
      <c r="A840" s="152" t="n">
        <v>3006780</v>
      </c>
      <c r="B840" s="152" t="inlineStr">
        <is>
          <t>Deck of Defense</t>
        </is>
      </c>
      <c r="C840" s="152" t="n">
        <v>2024</v>
      </c>
      <c r="D840" s="153" t="n">
        <v>4.99</v>
      </c>
      <c r="E840" s="154" t="n">
        <v>30</v>
      </c>
      <c r="F840" s="152" t="n">
        <v>100</v>
      </c>
      <c r="G840" s="152" t="inlineStr">
        <is>
          <t>Midnight Shores</t>
        </is>
      </c>
      <c r="H840" s="152" t="inlineStr">
        <is>
          <t>Strategy · Tower Defense · Roguelike Deckbuilder · Roguelite · Card Game · Deckbuilding · Roguelike · Cartoony</t>
        </is>
      </c>
    </row>
    <row r="841" ht="15" customHeight="1" s="78">
      <c r="A841" s="149" t="n">
        <v>3290010</v>
      </c>
      <c r="B841" s="149" t="inlineStr">
        <is>
          <t>Great Adventure: Alice's wonderland</t>
        </is>
      </c>
      <c r="C841" s="149" t="n">
        <v>2024</v>
      </c>
      <c r="D841" s="150" t="n">
        <v>7.99</v>
      </c>
      <c r="E841" s="151" t="n">
        <v>30</v>
      </c>
      <c r="F841" s="149" t="n">
        <v>0</v>
      </c>
      <c r="G841" s="149" t="inlineStr">
        <is>
          <t>jesliwang</t>
        </is>
      </c>
      <c r="H841" s="149" t="inlineStr">
        <is>
          <t>Strategy · Card Battler · Card Game · Roguelike Deckbuilder · Singleplayer · Adventure · Indie</t>
        </is>
      </c>
    </row>
    <row r="842" ht="15" customHeight="1" s="78">
      <c r="A842" s="152" t="n">
        <v>3682060</v>
      </c>
      <c r="B842" s="152" t="inlineStr">
        <is>
          <t>Vocator</t>
        </is>
      </c>
      <c r="C842" s="152" t="n">
        <v>2026</v>
      </c>
      <c r="D842" s="153" t="n">
        <v>5.99</v>
      </c>
      <c r="E842" s="154" t="n">
        <v>30</v>
      </c>
      <c r="F842" s="152" t="n">
        <v>100</v>
      </c>
      <c r="G842" s="152" t="inlineStr">
        <is>
          <t>Ion Software</t>
        </is>
      </c>
      <c r="H842" s="152" t="inlineStr">
        <is>
          <t>Strategy · Roguelike Deckbuilder · Card Battler · Auto Battler · Card Game · Roguelike · Deckbuilding · Turn-Based Tactics</t>
        </is>
      </c>
    </row>
    <row r="843" ht="15" customHeight="1" s="78">
      <c r="A843" s="149" t="n">
        <v>4228900</v>
      </c>
      <c r="B843" s="149" t="inlineStr">
        <is>
          <t>BreakLoop</t>
        </is>
      </c>
      <c r="C843" s="149" t="n">
        <v>2026</v>
      </c>
      <c r="D843" s="150" t="n">
        <v>5</v>
      </c>
      <c r="E843" s="151" t="n">
        <v>30</v>
      </c>
      <c r="F843" s="149" t="n">
        <v>100</v>
      </c>
      <c r="G843" s="149" t="inlineStr">
        <is>
          <t>Xavier Marseille</t>
        </is>
      </c>
      <c r="H843" s="149" t="inlineStr">
        <is>
          <t>Roguelike · Strategy · Bullet Hell · Roguelike Deckbuilder · Action · Deckbuilding · Retro · Indie</t>
        </is>
      </c>
    </row>
    <row r="844" ht="15" customHeight="1" s="78">
      <c r="A844" s="152" t="n">
        <v>4155880</v>
      </c>
      <c r="B844" s="152" t="inlineStr">
        <is>
          <t>Lucky Break</t>
        </is>
      </c>
      <c r="C844" s="152" t="n">
        <v>2026</v>
      </c>
      <c r="D844" s="153" t="n">
        <v>4.99</v>
      </c>
      <c r="E844" s="154" t="n">
        <v>30</v>
      </c>
      <c r="F844" s="152" t="n">
        <v>100</v>
      </c>
      <c r="G844" s="152" t="inlineStr">
        <is>
          <t>Ian Durra</t>
        </is>
      </c>
      <c r="H844" s="152" t="inlineStr">
        <is>
          <t>Deckbuilding · Strategy · Gambling · Horror · Resource Management · Dark · Roguelike · Roguelite</t>
        </is>
      </c>
    </row>
    <row r="845" ht="15" customHeight="1" s="78">
      <c r="A845" s="149" t="n">
        <v>3523760</v>
      </c>
      <c r="B845" s="149" t="inlineStr">
        <is>
          <t>イーシャの魔法書解読室</t>
        </is>
      </c>
      <c r="C845" s="149" t="n">
        <v>2025</v>
      </c>
      <c r="D845" s="150" t="n">
        <v>5.99</v>
      </c>
      <c r="E845" s="151" t="n">
        <v>30</v>
      </c>
      <c r="F845" s="149" t="n">
        <v>100</v>
      </c>
      <c r="G845" s="149" t="inlineStr">
        <is>
          <t>放課後の生徒会室</t>
        </is>
      </c>
      <c r="H845" s="149" t="inlineStr">
        <is>
          <t>Strategy · Roguelike · Turn-Based Tactics · Singleplayer · 2D · Fantasy · Magic · Indie</t>
        </is>
      </c>
    </row>
    <row r="846" ht="15" customHeight="1" s="78">
      <c r="A846" s="152" t="n">
        <v>3381320</v>
      </c>
      <c r="B846" s="152" t="inlineStr">
        <is>
          <t>Cave Crusade</t>
        </is>
      </c>
      <c r="C846" s="152" t="n">
        <v>2025</v>
      </c>
      <c r="D846" s="153" t="n">
        <v>3.99</v>
      </c>
      <c r="E846" s="154" t="n">
        <v>30</v>
      </c>
      <c r="F846" s="152" t="n">
        <v>100</v>
      </c>
      <c r="G846" s="152" t="inlineStr">
        <is>
          <t>LunarTailBlazer</t>
        </is>
      </c>
      <c r="H846" s="152" t="inlineStr">
        <is>
          <t>Roguelike Deckbuilder · Turn-Based · Perma Death · Card Game · Roguelike · Turn-Based Tactics · Card Battler · Difficult</t>
        </is>
      </c>
    </row>
    <row r="847" ht="15" customHeight="1" s="78">
      <c r="A847" s="149" t="n">
        <v>2738210</v>
      </c>
      <c r="B847" s="149" t="inlineStr">
        <is>
          <t>Walls of Rust</t>
        </is>
      </c>
      <c r="C847" s="149" t="n">
        <v>2024</v>
      </c>
      <c r="D847" s="150" t="n">
        <v>4.99</v>
      </c>
      <c r="E847" s="151" t="n">
        <v>30</v>
      </c>
      <c r="F847" s="149" t="n">
        <v>100</v>
      </c>
      <c r="G847" s="149" t="inlineStr">
        <is>
          <t>GarageOwl</t>
        </is>
      </c>
      <c r="H847" s="149" t="inlineStr">
        <is>
          <t>Turn-Based Tactics · Roguelike Deckbuilder · Grid-Based Movement · Card Battler · Mechs · Turn-Based Combat · Hex Grid · Roguelite</t>
        </is>
      </c>
    </row>
    <row r="848" ht="15" customHeight="1" s="78">
      <c r="A848" s="152" t="n">
        <v>5079550</v>
      </c>
      <c r="B848" s="152" t="inlineStr">
        <is>
          <t>Neon Frontline</t>
        </is>
      </c>
      <c r="C848" s="152" t="n">
        <v>2026</v>
      </c>
      <c r="D848" s="153" t="n">
        <v>2.99</v>
      </c>
      <c r="E848" s="154" t="n">
        <v>30</v>
      </c>
      <c r="F848" s="152" t="n">
        <v>100</v>
      </c>
      <c r="G848" s="152" t="inlineStr">
        <is>
          <t>Hook Studio</t>
        </is>
      </c>
      <c r="H848" s="152" t="inlineStr">
        <is>
          <t>Roguelike Deckbuilder · Strategy · Card Battler · Turn-Based Tactics · Deckbuilding · Roguelike · Card Game · Turn-Based Strategy</t>
        </is>
      </c>
    </row>
    <row r="849" ht="15" customHeight="1" s="78">
      <c r="A849" s="149" t="n">
        <v>4926770</v>
      </c>
      <c r="B849" s="149" t="inlineStr">
        <is>
          <t>Guardian of soul tower</t>
        </is>
      </c>
      <c r="C849" s="149" t="n">
        <v>2026</v>
      </c>
      <c r="D849" s="150" t="n">
        <v>2.99</v>
      </c>
      <c r="E849" s="151" t="n">
        <v>30</v>
      </c>
      <c r="F849" s="149" t="n">
        <v>100</v>
      </c>
      <c r="G849" s="149" t="inlineStr">
        <is>
          <t>Nigate88 Studio</t>
        </is>
      </c>
      <c r="H849" s="149" t="inlineStr">
        <is>
          <t>Roguelike Deckbuilder · Strategy · Card Battler · Card Game · RTS · Roguelike · Indie · Deckbuilding</t>
        </is>
      </c>
    </row>
    <row r="850" ht="15" customHeight="1" s="78">
      <c r="A850" s="152" t="n">
        <v>4248890</v>
      </c>
      <c r="B850" s="152" t="inlineStr">
        <is>
          <t>Darkrise: War of the Undead</t>
        </is>
      </c>
      <c r="C850" s="152" t="n">
        <v>2026</v>
      </c>
      <c r="D850" s="153" t="n">
        <v>4.99</v>
      </c>
      <c r="E850" s="154" t="n">
        <v>30</v>
      </c>
      <c r="F850" s="152" t="n">
        <v>100</v>
      </c>
      <c r="G850" s="152" t="inlineStr">
        <is>
          <t>Wynand Smit</t>
        </is>
      </c>
      <c r="H850" s="152" t="inlineStr">
        <is>
          <t>Roguelike Deckbuilder · Crafting · Survival · Perma Death · Post-apocalyptic · Deckbuilding · RPG · Card Battler</t>
        </is>
      </c>
    </row>
    <row r="851" ht="15" customHeight="1" s="78">
      <c r="A851" s="149" t="n">
        <v>3879180</v>
      </c>
      <c r="B851" s="149" t="inlineStr">
        <is>
          <t>重生之再战高考 Reborn: Examine Again</t>
        </is>
      </c>
      <c r="C851" s="149" t="n">
        <v>2026</v>
      </c>
      <c r="D851" s="150" t="n">
        <v>0.99</v>
      </c>
      <c r="E851" s="151" t="n">
        <v>30</v>
      </c>
      <c r="F851" s="149" t="n">
        <v>100</v>
      </c>
      <c r="G851" s="149" t="inlineStr">
        <is>
          <t>Team General Pig</t>
        </is>
      </c>
      <c r="H851" s="149" t="inlineStr">
        <is>
          <t>Casual · Strategy · Roguelike Deckbuilder · Roguelike · Roguelite · 2D · Pixel Graphics · Modern</t>
        </is>
      </c>
    </row>
    <row r="852" ht="15" customHeight="1" s="78">
      <c r="A852" s="152" t="n">
        <v>3972900</v>
      </c>
      <c r="B852" s="152" t="inlineStr">
        <is>
          <t>Business 98</t>
        </is>
      </c>
      <c r="C852" s="152" t="n">
        <v>2026</v>
      </c>
      <c r="D852" s="153" t="n">
        <v>4.99</v>
      </c>
      <c r="E852" s="154" t="n">
        <v>28</v>
      </c>
      <c r="F852" s="152" t="n">
        <v>0</v>
      </c>
      <c r="G852" s="152" t="inlineStr">
        <is>
          <t>Five Foot Games</t>
        </is>
      </c>
      <c r="H852" s="152" t="inlineStr">
        <is>
          <t>Simulation · Economy · Capitalism · Roguelike Deckbuilder · Roguelike · Deckbuilding · Idler · Incremental</t>
        </is>
      </c>
    </row>
    <row r="853" ht="15" customHeight="1" s="78">
      <c r="A853" s="149" t="n">
        <v>4727440</v>
      </c>
      <c r="B853" s="149" t="inlineStr">
        <is>
          <t>Play the Wor!d</t>
        </is>
      </c>
      <c r="C853" s="149" t="n">
        <v>2026</v>
      </c>
      <c r="D853" s="150" t="n">
        <v>1.99</v>
      </c>
      <c r="E853" s="151" t="n">
        <v>28</v>
      </c>
      <c r="F853" s="149" t="n">
        <v>100</v>
      </c>
      <c r="G853" s="149" t="inlineStr">
        <is>
          <t>Sweet Turtles</t>
        </is>
      </c>
      <c r="H853" s="149" t="inlineStr">
        <is>
          <t>Strategy · Spelling · Difficult · Arcade · Casual · Roguelike · Cozy · Deckbuilding</t>
        </is>
      </c>
    </row>
    <row r="854" ht="15" customHeight="1" s="78">
      <c r="A854" s="152" t="n">
        <v>3212590</v>
      </c>
      <c r="B854" s="152" t="inlineStr">
        <is>
          <t>Greedy Darts</t>
        </is>
      </c>
      <c r="C854" s="152" t="n">
        <v>2025</v>
      </c>
      <c r="D854" s="153" t="n">
        <v>11.99</v>
      </c>
      <c r="E854" s="154" t="n">
        <v>27</v>
      </c>
      <c r="F854" s="152" t="n">
        <v>100</v>
      </c>
      <c r="G854" s="152" t="inlineStr">
        <is>
          <t>tamtam</t>
        </is>
      </c>
      <c r="H854" s="152" t="inlineStr">
        <is>
          <t>Roguelike Deckbuilder · Card Game · Casual · Roguelite · Card Battler · Gambling · Roguelike · Deckbuilding</t>
        </is>
      </c>
    </row>
    <row r="855" ht="15" customHeight="1" s="78">
      <c r="A855" s="149" t="n">
        <v>5061410</v>
      </c>
      <c r="B855" s="149" t="inlineStr">
        <is>
          <t>Krukmore</t>
        </is>
      </c>
      <c r="C855" s="149" t="n">
        <v>2026</v>
      </c>
      <c r="D855" s="150" t="n">
        <v>6.99</v>
      </c>
      <c r="E855" s="151" t="n">
        <v>27</v>
      </c>
      <c r="F855" s="149" t="n">
        <v>100</v>
      </c>
      <c r="G855" s="149" t="inlineStr">
        <is>
          <t>David Gamble</t>
        </is>
      </c>
      <c r="H855" s="149" t="inlineStr">
        <is>
          <t>Dice · Dungeon Crawler · Roguelite · Roguelike Deckbuilder · Retro · Pixel Graphics · Turn-Based Combat · Strategy</t>
        </is>
      </c>
    </row>
    <row r="856" ht="15" customHeight="1" s="78">
      <c r="A856" s="152" t="n">
        <v>3650350</v>
      </c>
      <c r="B856" s="152" t="inlineStr">
        <is>
          <t>Darkest Cube</t>
        </is>
      </c>
      <c r="C856" s="152" t="n">
        <v>2026</v>
      </c>
      <c r="D856" s="153" t="n">
        <v>22.99</v>
      </c>
      <c r="E856" s="154" t="n">
        <v>23</v>
      </c>
      <c r="F856" s="152" t="n">
        <v>100</v>
      </c>
      <c r="G856" s="152" t="inlineStr">
        <is>
          <t>PEC Game Design</t>
        </is>
      </c>
      <c r="H856" s="152" t="inlineStr">
        <is>
          <t>Early Access · RPG · Roguelike Deckbuilder · Strategy · Dark Fantasy · Card Game · Turn-Based Strategy · Turn-Based Tactics</t>
        </is>
      </c>
    </row>
    <row r="857" ht="15" customHeight="1" s="78">
      <c r="A857" s="149" t="n">
        <v>3147240</v>
      </c>
      <c r="B857" s="149" t="inlineStr">
        <is>
          <t>SuperNovem</t>
        </is>
      </c>
      <c r="C857" s="149" t="n">
        <v>2024</v>
      </c>
      <c r="D857" s="150" t="n">
        <v>3.99</v>
      </c>
      <c r="E857" s="151" t="n">
        <v>23</v>
      </c>
      <c r="F857" s="149" t="n">
        <v>50</v>
      </c>
      <c r="G857" s="149" t="inlineStr">
        <is>
          <t>CowboyCurtis</t>
        </is>
      </c>
      <c r="H857" s="149" t="inlineStr">
        <is>
          <t>Strategy · Card Game · Roguelike · Roguelite · Turn-Based Tactics · 2D · Pixel Graphics · Gambling</t>
        </is>
      </c>
    </row>
    <row r="858" ht="15" customHeight="1" s="78">
      <c r="A858" s="152" t="n">
        <v>4095030</v>
      </c>
      <c r="B858" s="152" t="inlineStr">
        <is>
          <t>Groupel</t>
        </is>
      </c>
      <c r="C858" s="152" t="n">
        <v>2025</v>
      </c>
      <c r="D858" s="153" t="n">
        <v>2.99</v>
      </c>
      <c r="E858" s="154" t="n">
        <v>23</v>
      </c>
      <c r="F858" s="152" t="n">
        <v>50</v>
      </c>
      <c r="G858" s="152" t="inlineStr">
        <is>
          <t>Dretz Studio</t>
        </is>
      </c>
      <c r="H858" s="152" t="inlineStr">
        <is>
          <t>Casual · Simulation · Singleplayer · Capitalism · Choices Matter · Deckbuilding · Roguelike Deckbuilder · Pixel Graphics</t>
        </is>
      </c>
    </row>
    <row r="859" ht="15" customHeight="1" s="78">
      <c r="A859" s="149" t="n">
        <v>5022780</v>
      </c>
      <c r="B859" s="149" t="inlineStr">
        <is>
          <t>Wanjie: Cycle of Oblivion</t>
        </is>
      </c>
      <c r="C859" s="149" t="n">
        <v>2026</v>
      </c>
      <c r="D859" s="150" t="n">
        <v>4.99</v>
      </c>
      <c r="E859" s="151" t="n">
        <v>23</v>
      </c>
      <c r="F859" s="149" t="n">
        <v>50</v>
      </c>
      <c r="G859" s="149" t="inlineStr">
        <is>
          <t>FAN XIAOBO</t>
        </is>
      </c>
      <c r="H859" s="149" t="inlineStr">
        <is>
          <t>Card Game · Deckbuilding · Roguelike Deckbuilder · Strategy · Turn-Based Strategy · Card Battler · Indie · Trading Card Game</t>
        </is>
      </c>
    </row>
    <row r="860" ht="15" customHeight="1" s="78">
      <c r="A860" s="152" t="n">
        <v>5123560</v>
      </c>
      <c r="B860" s="152" t="inlineStr">
        <is>
          <t>Neon Ascent</t>
        </is>
      </c>
      <c r="C860" s="152" t="n">
        <v>2026</v>
      </c>
      <c r="D860" s="153" t="n">
        <v>2.99</v>
      </c>
      <c r="E860" s="154" t="n">
        <v>23</v>
      </c>
      <c r="F860" s="152" t="n">
        <v>50</v>
      </c>
      <c r="G860" s="152" t="inlineStr">
        <is>
          <t>romming778</t>
        </is>
      </c>
      <c r="H860" s="152" t="inlineStr">
        <is>
          <t>Roguelike Deckbuilder · Deckbuilding · Strategy · RPG · Card Battler · Turn-Based Tactics · Roguelike · Cyberpunk</t>
        </is>
      </c>
    </row>
    <row r="861" ht="15" customHeight="1" s="78">
      <c r="A861" s="149" t="n">
        <v>3027790</v>
      </c>
      <c r="B861" s="149" t="inlineStr">
        <is>
          <t>Farewell</t>
        </is>
      </c>
      <c r="C861" s="149" t="n">
        <v>2026</v>
      </c>
      <c r="D861" s="150" t="n">
        <v>0.99</v>
      </c>
      <c r="E861" s="151" t="n">
        <v>23</v>
      </c>
      <c r="F861" s="149" t="n">
        <v>50</v>
      </c>
      <c r="G861" s="149" t="inlineStr">
        <is>
          <t>wvkmind</t>
        </is>
      </c>
      <c r="H861" s="149" t="inlineStr">
        <is>
          <t>Simulation · Mining · Online Co-Op · Multiplayer · Sci-fi · Driving · Sandbox · Crafting</t>
        </is>
      </c>
    </row>
    <row r="862" ht="15" customHeight="1" s="78">
      <c r="A862" s="152" t="n">
        <v>4415640</v>
      </c>
      <c r="B862" s="152" t="inlineStr">
        <is>
          <t>Symbolika</t>
        </is>
      </c>
      <c r="C862" s="152" t="n">
        <v>2026</v>
      </c>
      <c r="D862" s="153" t="n">
        <v>4.99</v>
      </c>
      <c r="E862" s="154" t="n">
        <v>22</v>
      </c>
      <c r="F862" s="152" t="n">
        <v>100</v>
      </c>
      <c r="G862" s="152" t="inlineStr">
        <is>
          <t>Romain LGD</t>
        </is>
      </c>
      <c r="H862" s="152" t="inlineStr">
        <is>
          <t>Strategy · Roguelike · Roguelite · Turn-Based Tactics · Turn-Based Combat · Singleplayer · 2D · Score Attack</t>
        </is>
      </c>
    </row>
    <row r="863" ht="15" customHeight="1" s="78">
      <c r="A863" s="149" t="n">
        <v>4913430</v>
      </c>
      <c r="B863" s="149" t="inlineStr">
        <is>
          <t>Poker FC</t>
        </is>
      </c>
      <c r="C863" s="149" t="n">
        <v>2026</v>
      </c>
      <c r="D863" s="150" t="n">
        <v>12.99</v>
      </c>
      <c r="E863" s="151" t="n">
        <v>21</v>
      </c>
      <c r="F863" s="149" t="n">
        <v>100</v>
      </c>
      <c r="G863" s="149" t="inlineStr">
        <is>
          <t>Stepy Studios</t>
        </is>
      </c>
      <c r="H863" s="149" t="inlineStr">
        <is>
          <t>Casual · Roguelike Deckbuilder · Sports · Deckbuilding · Strategy · Pixel Graphics · Card Battler · Poker</t>
        </is>
      </c>
    </row>
    <row r="864" ht="15" customHeight="1" s="78">
      <c r="A864" s="152" t="n">
        <v>3341140</v>
      </c>
      <c r="B864" s="152" t="inlineStr">
        <is>
          <t>Qurtys</t>
        </is>
      </c>
      <c r="C864" s="152" t="n">
        <v>2025</v>
      </c>
      <c r="D864" s="153" t="n">
        <v>14.99</v>
      </c>
      <c r="E864" s="154" t="n">
        <v>20</v>
      </c>
      <c r="F864" s="152" t="n">
        <v>0</v>
      </c>
      <c r="G864" s="152" t="inlineStr">
        <is>
          <t>Qurtys</t>
        </is>
      </c>
      <c r="H864" s="152" t="inlineStr">
        <is>
          <t>Strategy · Roguelike · Deckbuilding · Card Battler · 2D · Singleplayer · Combat · PvE</t>
        </is>
      </c>
    </row>
    <row r="865" ht="15" customHeight="1" s="78">
      <c r="A865" s="149" t="n">
        <v>4980910</v>
      </c>
      <c r="B865" s="149" t="inlineStr">
        <is>
          <t>Project RedTeam: Contract Offensive</t>
        </is>
      </c>
      <c r="C865" s="149" t="n">
        <v>2026</v>
      </c>
      <c r="D865" s="150" t="n">
        <v>14.99</v>
      </c>
      <c r="E865" s="151" t="n">
        <v>20</v>
      </c>
      <c r="F865" s="149" t="n">
        <v>100</v>
      </c>
      <c r="G865" s="149" t="inlineStr">
        <is>
          <t>HomeOfTheDev</t>
        </is>
      </c>
      <c r="H865" s="149" t="inlineStr">
        <is>
          <t>Roguelike Deckbuilder · Deckbuilding · Hacking · Card Game · Turn-Based Strategy · Cyberpunk · Roguelite · Roguelike</t>
        </is>
      </c>
    </row>
    <row r="866" ht="15" customHeight="1" s="78">
      <c r="A866" s="152" t="n">
        <v>3770270</v>
      </c>
      <c r="B866" s="152" t="inlineStr">
        <is>
          <t>Leavers Rift</t>
        </is>
      </c>
      <c r="C866" s="152" t="n">
        <v>2026</v>
      </c>
      <c r="D866" s="153" t="n">
        <v>19.99</v>
      </c>
      <c r="E866" s="154" t="n">
        <v>20</v>
      </c>
      <c r="F866" s="152" t="n">
        <v>100</v>
      </c>
      <c r="G866" s="152" t="inlineStr">
        <is>
          <t>Wolfhain</t>
        </is>
      </c>
      <c r="H866" s="152" t="inlineStr">
        <is>
          <t>Roguelike Deckbuilder · Dark Fantasy · Deckbuilding · Card Battler · Singleplayer · Roguelike · 3D · Surreal</t>
        </is>
      </c>
    </row>
    <row r="867" ht="15" customHeight="1" s="78">
      <c r="A867" s="149" t="n">
        <v>4542800</v>
      </c>
      <c r="B867" s="149" t="inlineStr">
        <is>
          <t>Kill The Nova</t>
        </is>
      </c>
      <c r="C867" s="149" t="n">
        <v>2026</v>
      </c>
      <c r="D867" s="150" t="n">
        <v>6.99</v>
      </c>
      <c r="E867" s="151" t="n">
        <v>20</v>
      </c>
      <c r="F867" s="149" t="n">
        <v>100</v>
      </c>
      <c r="G867" s="149" t="inlineStr">
        <is>
          <t>NQV4; ProblemEdge</t>
        </is>
      </c>
      <c r="H867" s="149" t="inlineStr">
        <is>
          <t>Roguelite · Puzzle · Roguelike · Strategy · Dark Humor · 2D · Deckbuilding · Casual</t>
        </is>
      </c>
    </row>
    <row r="868" ht="15" customHeight="1" s="78">
      <c r="A868" s="152" t="n">
        <v>4577440</v>
      </c>
      <c r="B868" s="152" t="inlineStr">
        <is>
          <t>Runisthar</t>
        </is>
      </c>
      <c r="C868" s="152" t="n">
        <v>2026</v>
      </c>
      <c r="D868" s="153" t="n">
        <v>2.99</v>
      </c>
      <c r="E868" s="154" t="n">
        <v>20</v>
      </c>
      <c r="F868" s="152" t="n">
        <v>100</v>
      </c>
      <c r="G868" s="152" t="inlineStr">
        <is>
          <t>Rogue Mash</t>
        </is>
      </c>
      <c r="H868" s="152" t="inlineStr">
        <is>
          <t>Difficult · Turn-Based Combat · Roguelike Deckbuilder · Roguelike · Funny · Deckbuilding · 2D · Singleplayer</t>
        </is>
      </c>
    </row>
    <row r="869" ht="15" customHeight="1" s="78">
      <c r="A869" s="149" t="n">
        <v>4140190</v>
      </c>
      <c r="B869" s="149" t="inlineStr">
        <is>
          <t>Dice Rogues</t>
        </is>
      </c>
      <c r="C869" s="149" t="n">
        <v>2026</v>
      </c>
      <c r="D869" s="150" t="n">
        <v>5.4</v>
      </c>
      <c r="E869" s="151" t="n">
        <v>20</v>
      </c>
      <c r="F869" s="149" t="n">
        <v>100</v>
      </c>
      <c r="G869" s="149" t="inlineStr">
        <is>
          <t>Pick Your Universe</t>
        </is>
      </c>
      <c r="H869" s="149" t="inlineStr">
        <is>
          <t>Card Battler · Roguelite · Difficult · Card Game · Roguelike · Strategy · 2D · Deckbuilding</t>
        </is>
      </c>
    </row>
    <row r="870" ht="15" customHeight="1" s="78">
      <c r="A870" s="152" t="n">
        <v>2560320</v>
      </c>
      <c r="B870" s="152" t="inlineStr">
        <is>
          <t>Little Mages</t>
        </is>
      </c>
      <c r="C870" s="152" t="n">
        <v>2023</v>
      </c>
      <c r="D870" s="153" t="n">
        <v>1.99</v>
      </c>
      <c r="E870" s="154" t="n">
        <v>20</v>
      </c>
      <c r="F870" s="152" t="n">
        <v>100</v>
      </c>
      <c r="G870" s="152" t="inlineStr">
        <is>
          <t>Frost Wyrm Studios</t>
        </is>
      </c>
      <c r="H870" s="152" t="inlineStr">
        <is>
          <t>Action · Casual · Platformer · Roguelike · Action Roguelike · Roguelike Deckbuilder · Roguelite · Fantasy</t>
        </is>
      </c>
    </row>
    <row r="871" ht="15" customHeight="1" s="78">
      <c r="A871" s="149" t="n">
        <v>4218330</v>
      </c>
      <c r="B871" s="149" t="inlineStr">
        <is>
          <t>字得其乐WordJoy</t>
        </is>
      </c>
      <c r="C871" s="149" t="n">
        <v>2026</v>
      </c>
      <c r="D871" s="150" t="n">
        <v>2.99</v>
      </c>
      <c r="E871" s="151" t="n">
        <v>19</v>
      </c>
      <c r="F871" s="149" t="n">
        <v>100</v>
      </c>
      <c r="G871" s="149" t="inlineStr">
        <is>
          <t>chunq</t>
        </is>
      </c>
      <c r="H871" s="149" t="inlineStr">
        <is>
          <t>Roguelike Deckbuilder · Education · Word Game · Card Game · Strategy · 2D · Text-Based · Deckbuilding</t>
        </is>
      </c>
    </row>
    <row r="872" ht="15" customHeight="1" s="78">
      <c r="A872" s="152" t="n">
        <v>3860690</v>
      </c>
      <c r="B872" s="152" t="inlineStr">
        <is>
          <t>Heart sequence</t>
        </is>
      </c>
      <c r="C872" s="152" t="n">
        <v>2026</v>
      </c>
      <c r="D872" s="153" t="n">
        <v>7.45</v>
      </c>
      <c r="E872" s="154" t="n">
        <v>18</v>
      </c>
      <c r="F872" s="152" t="n">
        <v>100</v>
      </c>
      <c r="G872" s="152" t="inlineStr">
        <is>
          <t>NiNauk</t>
        </is>
      </c>
      <c r="H872" s="152" t="inlineStr">
        <is>
          <t>Roguelike Deckbuilder · Replay Value · Turn-Based · Roguelike · Strategy · Deckbuilding · RPG · Card Battler</t>
        </is>
      </c>
    </row>
    <row r="873" ht="15" customHeight="1" s="78">
      <c r="A873" s="149" t="n">
        <v>4159190</v>
      </c>
      <c r="B873" s="149" t="inlineStr">
        <is>
          <t>Artifact Hunt: Yao</t>
        </is>
      </c>
      <c r="C873" s="149" t="n">
        <v>2026</v>
      </c>
      <c r="D873" s="150" t="n">
        <v>6</v>
      </c>
      <c r="E873" s="151" t="n">
        <v>18</v>
      </c>
      <c r="F873" s="149" t="n">
        <v>100</v>
      </c>
      <c r="G873" s="149" t="inlineStr">
        <is>
          <t>MOYUN Game</t>
        </is>
      </c>
      <c r="H873" s="149" t="inlineStr">
        <is>
          <t>Card Game · Roguelike · Roguelike Deckbuilder · Deckbuilding · Singleplayer · Strategy · Replay Value · Roguelite</t>
        </is>
      </c>
    </row>
    <row r="874" ht="15" customHeight="1" s="78">
      <c r="A874" s="152" t="n">
        <v>2954750</v>
      </c>
      <c r="B874" s="152" t="inlineStr">
        <is>
          <t>The Dreamers Foresight</t>
        </is>
      </c>
      <c r="C874" s="152" t="n">
        <v>2026</v>
      </c>
      <c r="D874" s="153" t="n">
        <v>14.99</v>
      </c>
      <c r="E874" s="154" t="n">
        <v>15</v>
      </c>
      <c r="F874" s="152" t="n">
        <v>100</v>
      </c>
      <c r="G874" s="152" t="inlineStr">
        <is>
          <t>The Random Generator Expert</t>
        </is>
      </c>
      <c r="H874" s="152" t="inlineStr">
        <is>
          <t>Roguelike · Card Game · Deckbuilding · Strategy · Roguelike Deckbuilder · Card Battler · Indie · Roguelite</t>
        </is>
      </c>
    </row>
    <row r="875" ht="15" customHeight="1" s="78">
      <c r="A875" s="149" t="n">
        <v>4884380</v>
      </c>
      <c r="B875" s="149" t="inlineStr">
        <is>
          <t>The Goblins Tavern</t>
        </is>
      </c>
      <c r="C875" s="149" t="n">
        <v>2026</v>
      </c>
      <c r="D875" s="150" t="n">
        <v>14.99</v>
      </c>
      <c r="E875" s="151" t="n">
        <v>15</v>
      </c>
      <c r="F875" s="149" t="n">
        <v>0</v>
      </c>
      <c r="G875" s="149" t="inlineStr">
        <is>
          <t>Golden Temptation</t>
        </is>
      </c>
      <c r="H875" s="149" t="inlineStr">
        <is>
          <t>Sexual Content · Card Battler · Turn-Based Combat · Deckbuilding · Action Roguelike · Roguelike Deckbuilder · Card Game · Strategy</t>
        </is>
      </c>
    </row>
    <row r="876" ht="15" customHeight="1" s="78">
      <c r="A876" s="152" t="n">
        <v>3432200</v>
      </c>
      <c r="B876" s="152" t="inlineStr">
        <is>
          <t>Top Check: A Chess Card Game</t>
        </is>
      </c>
      <c r="C876" s="152" t="n">
        <v>2026</v>
      </c>
      <c r="D876" s="153" t="n">
        <v>11.99</v>
      </c>
      <c r="E876" s="154" t="n">
        <v>15</v>
      </c>
      <c r="F876" s="152" t="n">
        <v>0</v>
      </c>
      <c r="G876" s="152" t="inlineStr">
        <is>
          <t>Gliding Knight Games</t>
        </is>
      </c>
      <c r="H876" s="152" t="inlineStr">
        <is>
          <t>Roguelike Deckbuilder · Chess · Turn-Based Strategy · Replay Value · Singleplayer · Board Game · Strategy · Deckbuilding</t>
        </is>
      </c>
    </row>
    <row r="877" ht="15" customHeight="1" s="78">
      <c r="A877" s="149" t="n">
        <v>4535170</v>
      </c>
      <c r="B877" s="149" t="inlineStr">
        <is>
          <t>Dicebinder</t>
        </is>
      </c>
      <c r="C877" s="149" t="n">
        <v>2026</v>
      </c>
      <c r="D877" s="150" t="n">
        <v>9.99</v>
      </c>
      <c r="E877" s="151" t="n">
        <v>15</v>
      </c>
      <c r="F877" s="149" t="n">
        <v>0</v>
      </c>
      <c r="G877" s="149" t="inlineStr">
        <is>
          <t>PaperMoon</t>
        </is>
      </c>
      <c r="H877" s="149" t="inlineStr">
        <is>
          <t>Card Battler · Creature Collector · Roguelike Deckbuilder · Turn-Based Combat · Card Game · Roguelite · Roguelike · Dice</t>
        </is>
      </c>
    </row>
    <row r="878" ht="15" customHeight="1" s="78">
      <c r="A878" s="152" t="n">
        <v>3795370</v>
      </c>
      <c r="B878" s="152" t="inlineStr">
        <is>
          <t>Pintern</t>
        </is>
      </c>
      <c r="C878" s="152" t="n">
        <v>2025</v>
      </c>
      <c r="D878" s="153" t="n">
        <v>7.99</v>
      </c>
      <c r="E878" s="154" t="n">
        <v>15</v>
      </c>
      <c r="F878" s="152" t="n">
        <v>100</v>
      </c>
      <c r="G878" s="152" t="inlineStr">
        <is>
          <t>Coral8</t>
        </is>
      </c>
      <c r="H878" s="152" t="inlineStr">
        <is>
          <t>Roguelike Deckbuilder · Strategy · Singleplayer · Roguelike · Deckbuilding · Physics · Roguelite · Management</t>
        </is>
      </c>
    </row>
    <row r="879" ht="15" customHeight="1" s="78">
      <c r="A879" s="149" t="n">
        <v>5324490</v>
      </c>
      <c r="B879" s="149" t="inlineStr">
        <is>
          <t>Decisive Decks</t>
        </is>
      </c>
      <c r="C879" s="149" t="n">
        <v>2026</v>
      </c>
      <c r="D879" s="150" t="n">
        <v>9.99</v>
      </c>
      <c r="E879" s="151" t="n">
        <v>15</v>
      </c>
      <c r="F879" s="149" t="n">
        <v>100</v>
      </c>
      <c r="G879" s="149" t="inlineStr">
        <is>
          <t>Pick Huang</t>
        </is>
      </c>
      <c r="H879" s="149" t="inlineStr">
        <is>
          <t>Roguelike Deckbuilder · Deckbuilding · Turn-Based Combat · World War II · Naval Combat · Card Battler · Roguelite · Card Game</t>
        </is>
      </c>
    </row>
    <row r="880" ht="15" customHeight="1" s="78">
      <c r="A880" s="152" t="n">
        <v>4939440</v>
      </c>
      <c r="B880" s="152" t="inlineStr">
        <is>
          <t>SignalLost</t>
        </is>
      </c>
      <c r="C880" s="152" t="n">
        <v>2026</v>
      </c>
      <c r="D880" s="153" t="n">
        <v>6.99</v>
      </c>
      <c r="E880" s="154" t="n">
        <v>15</v>
      </c>
      <c r="F880" s="152" t="n">
        <v>100</v>
      </c>
      <c r="G880" s="152" t="inlineStr">
        <is>
          <t>Dr. Wang</t>
        </is>
      </c>
      <c r="H880" s="152" t="inlineStr">
        <is>
          <t>Roguelike Deckbuilder · Card Battler · Cyberpunk · Turn-Based Strategy · Strategy · Roguelike · Deckbuilding · Card Game</t>
        </is>
      </c>
    </row>
    <row r="881" ht="15" customHeight="1" s="78">
      <c r="A881" s="149" t="n">
        <v>4167840</v>
      </c>
      <c r="B881" s="149" t="inlineStr">
        <is>
          <t>Dicedus</t>
        </is>
      </c>
      <c r="C881" s="149" t="n">
        <v>2026</v>
      </c>
      <c r="D881" s="150" t="n">
        <v>11.99</v>
      </c>
      <c r="E881" s="151" t="n">
        <v>15</v>
      </c>
      <c r="F881" s="149" t="n">
        <v>100</v>
      </c>
      <c r="G881" s="149" t="inlineStr">
        <is>
          <t>Vaquita Games</t>
        </is>
      </c>
      <c r="H881" s="149" t="inlineStr">
        <is>
          <t>Roguelike Deckbuilder · Hand-drawn · Turn-Based Tactics · Turn-Based Strategy · Dice · Roguelike · Strategy · Board Game</t>
        </is>
      </c>
    </row>
    <row r="882" ht="15" customHeight="1" s="78">
      <c r="A882" s="152" t="n">
        <v>3933080</v>
      </c>
      <c r="B882" s="152" t="inlineStr">
        <is>
          <t>Cyber Breaker</t>
        </is>
      </c>
      <c r="C882" s="152" t="n">
        <v>2026</v>
      </c>
      <c r="D882" s="153" t="n">
        <v>6.99</v>
      </c>
      <c r="E882" s="154" t="n">
        <v>15</v>
      </c>
      <c r="F882" s="152" t="n">
        <v>100</v>
      </c>
      <c r="G882" s="152" t="inlineStr">
        <is>
          <t>ShadowHawkDragon</t>
        </is>
      </c>
      <c r="H882" s="152" t="inlineStr">
        <is>
          <t>Turn-Based Tactics · Roguelike Deckbuilder · Card Battler · Deckbuilding · Cyberpunk · Robots · Roguelike · Turn-Based Combat</t>
        </is>
      </c>
    </row>
    <row r="883" ht="15" customHeight="1" s="78">
      <c r="A883" s="149" t="n">
        <v>3298780</v>
      </c>
      <c r="B883" s="149" t="inlineStr">
        <is>
          <t>Aleae</t>
        </is>
      </c>
      <c r="C883" s="149" t="n">
        <v>2026</v>
      </c>
      <c r="D883" s="150" t="n">
        <v>6.99</v>
      </c>
      <c r="E883" s="151" t="n">
        <v>15</v>
      </c>
      <c r="F883" s="149" t="n">
        <v>100</v>
      </c>
      <c r="G883" s="149" t="inlineStr">
        <is>
          <t>Ginnungames</t>
        </is>
      </c>
      <c r="H883" s="149" t="inlineStr">
        <is>
          <t>Roguelike Deckbuilder · Deckbuilding · Card Battler · Turn-Based Tactics · Singleplayer · Roguelike · Board Game · Strategy</t>
        </is>
      </c>
    </row>
    <row r="884" ht="15" customHeight="1" s="78">
      <c r="A884" s="152" t="n">
        <v>3007890</v>
      </c>
      <c r="B884" s="152" t="inlineStr">
        <is>
          <t>RnGesus Slayer</t>
        </is>
      </c>
      <c r="C884" s="152" t="n">
        <v>2025</v>
      </c>
      <c r="D884" s="153" t="n">
        <v>7</v>
      </c>
      <c r="E884" s="154" t="n">
        <v>15</v>
      </c>
      <c r="F884" s="152" t="n">
        <v>100</v>
      </c>
      <c r="G884" s="152" t="inlineStr">
        <is>
          <t>Lemon Chihuahua</t>
        </is>
      </c>
      <c r="H884" s="152" t="inlineStr">
        <is>
          <t>Roguelike Deckbuilder · Villain Protagonist · Gambling · Mouse Only · Deckbuilding · Replay Value · Card Battler · Roguelike</t>
        </is>
      </c>
    </row>
    <row r="885" ht="15" customHeight="1" s="78">
      <c r="A885" s="149" t="n">
        <v>4729480</v>
      </c>
      <c r="B885" s="149" t="inlineStr">
        <is>
          <t>Last Ember</t>
        </is>
      </c>
      <c r="C885" s="149" t="n">
        <v>2026</v>
      </c>
      <c r="D885" s="150" t="n">
        <v>4.99</v>
      </c>
      <c r="E885" s="151" t="n">
        <v>15</v>
      </c>
      <c r="F885" s="149" t="n">
        <v>0</v>
      </c>
      <c r="G885" s="149" t="inlineStr">
        <is>
          <t>Last Ember</t>
        </is>
      </c>
      <c r="H885" s="149" t="inlineStr">
        <is>
          <t>Deckbuilding · Roguelike Deckbuilder · Card Battler · Card Game · Strategy · Roguelike · RPG · Roguelite</t>
        </is>
      </c>
    </row>
    <row r="886" ht="15" customHeight="1" s="78">
      <c r="A886" s="152" t="n">
        <v>5222500</v>
      </c>
      <c r="B886" s="152" t="inlineStr">
        <is>
          <t>Card Monarchy</t>
        </is>
      </c>
      <c r="C886" s="152" t="n">
        <v>2026</v>
      </c>
      <c r="D886" s="153" t="n">
        <v>4.99</v>
      </c>
      <c r="E886" s="154" t="n">
        <v>15</v>
      </c>
      <c r="F886" s="152" t="n">
        <v>100</v>
      </c>
      <c r="G886" s="152" t="inlineStr">
        <is>
          <t>mAInely AI games</t>
        </is>
      </c>
      <c r="H886" s="152" t="inlineStr">
        <is>
          <t>Roguelike Deckbuilder · Strategy · Deckbuilding · Card Battler · Card Game · Roguelite · Turn-Based Strategy · Singleplayer</t>
        </is>
      </c>
    </row>
    <row r="887" ht="15" customHeight="1" s="78">
      <c r="A887" s="149" t="n">
        <v>3995830</v>
      </c>
      <c r="B887" s="149" t="inlineStr">
        <is>
          <t>Showdown! Mahjong Tutorial Included</t>
        </is>
      </c>
      <c r="C887" s="149" t="n">
        <v>2026</v>
      </c>
      <c r="D887" s="150" t="n">
        <v>4.99</v>
      </c>
      <c r="E887" s="151" t="n">
        <v>15</v>
      </c>
      <c r="F887" s="149" t="n">
        <v>100</v>
      </c>
      <c r="G887" s="149" t="inlineStr">
        <is>
          <t>Dr. L'Danger</t>
        </is>
      </c>
      <c r="H887" s="149" t="inlineStr">
        <is>
          <t>Mahjong · Deckbuilding · Roguelike Deckbuilder · Education · Card Game · Board Game · Roguelike · Strategy</t>
        </is>
      </c>
    </row>
    <row r="888" ht="15" customHeight="1" s="78">
      <c r="A888" s="152" t="n">
        <v>3350960</v>
      </c>
      <c r="B888" s="152" t="inlineStr">
        <is>
          <t>Wyrm Words</t>
        </is>
      </c>
      <c r="C888" s="152" t="n">
        <v>2026</v>
      </c>
      <c r="D888" s="153" t="n">
        <v>4.99</v>
      </c>
      <c r="E888" s="154" t="n">
        <v>15</v>
      </c>
      <c r="F888" s="152" t="n">
        <v>100</v>
      </c>
      <c r="G888" s="152" t="inlineStr">
        <is>
          <t>Connor Carpenter</t>
        </is>
      </c>
      <c r="H888" s="152" t="inlineStr">
        <is>
          <t>Word Game · Roguelike Deckbuilder · Puzzle · Dungeon Crawler · Strategy · Roguelike · Fantasy · 2D</t>
        </is>
      </c>
    </row>
    <row r="889" ht="15" customHeight="1" s="78">
      <c r="A889" s="149" t="n">
        <v>4246710</v>
      </c>
      <c r="B889" s="149" t="inlineStr">
        <is>
          <t>Syntax:Overload</t>
        </is>
      </c>
      <c r="C889" s="149" t="n">
        <v>2026</v>
      </c>
      <c r="D889" s="150" t="n">
        <v>4.99</v>
      </c>
      <c r="E889" s="151" t="n">
        <v>15</v>
      </c>
      <c r="F889" s="149" t="n">
        <v>100</v>
      </c>
      <c r="G889" s="149" t="inlineStr">
        <is>
          <t>Tallen games</t>
        </is>
      </c>
      <c r="H889" s="149" t="inlineStr">
        <is>
          <t>Turn-Based Tactics · Traditional Roguelike · Roguelite · Card Game · Turn-Based Strategy · Roguelike · Strategy · Turn-Based Combat</t>
        </is>
      </c>
    </row>
    <row r="890" ht="15" customHeight="1" s="78">
      <c r="A890" s="152" t="n">
        <v>3139550</v>
      </c>
      <c r="B890" s="152" t="inlineStr">
        <is>
          <t>Cappu Dungeon</t>
        </is>
      </c>
      <c r="C890" s="152" t="n">
        <v>2026</v>
      </c>
      <c r="D890" s="153" t="n">
        <v>4.99</v>
      </c>
      <c r="E890" s="154" t="n">
        <v>15</v>
      </c>
      <c r="F890" s="152" t="n">
        <v>0</v>
      </c>
      <c r="G890" s="152" t="inlineStr">
        <is>
          <t>Soul Steal Studio</t>
        </is>
      </c>
      <c r="H890" s="152" t="inlineStr">
        <is>
          <t>Casual · Action Roguelike · Action · Roguelite · Hack and Slash · Magic · Action RPG · Arcade</t>
        </is>
      </c>
    </row>
    <row r="891" ht="15" customHeight="1" s="78">
      <c r="A891" s="149" t="n">
        <v>3470920</v>
      </c>
      <c r="B891" s="149" t="inlineStr">
        <is>
          <t>Territors</t>
        </is>
      </c>
      <c r="C891" s="149" t="n">
        <v>2025</v>
      </c>
      <c r="D891" s="150" t="n">
        <v>3.99</v>
      </c>
      <c r="E891" s="151" t="n">
        <v>15</v>
      </c>
      <c r="F891" s="149" t="n">
        <v>100</v>
      </c>
      <c r="G891" s="149" t="inlineStr">
        <is>
          <t>Stoforge Studios</t>
        </is>
      </c>
      <c r="H891" s="149" t="inlineStr">
        <is>
          <t>Roguelike Deckbuilder · Card Game · Deckbuilding · Turn-Based · Card Battler · Cyberpunk · Solitaire · Turn-Based Combat</t>
        </is>
      </c>
    </row>
    <row r="892" ht="15" customHeight="1" s="78">
      <c r="A892" s="152" t="n">
        <v>2246070</v>
      </c>
      <c r="B892" s="152" t="inlineStr">
        <is>
          <t>回响之战</t>
        </is>
      </c>
      <c r="C892" s="152" t="n">
        <v>2023</v>
      </c>
      <c r="D892" s="153" t="n">
        <v>4.99</v>
      </c>
      <c r="E892" s="154" t="n">
        <v>15</v>
      </c>
      <c r="F892" s="152" t="n">
        <v>100</v>
      </c>
      <c r="G892" s="152" t="inlineStr">
        <is>
          <t>寂静四周</t>
        </is>
      </c>
      <c r="H892" s="152" t="inlineStr">
        <is>
          <t>Strategy · Casual · Card Game · Roguelike Deckbuilder · 2D · Card Battler · Singleplayer · Indie</t>
        </is>
      </c>
    </row>
    <row r="893" ht="15" customHeight="1" s="78">
      <c r="A893" s="149" t="n">
        <v>3810920</v>
      </c>
      <c r="B893" s="149" t="inlineStr">
        <is>
          <t>Glazed Mirror : Myriad Cards</t>
        </is>
      </c>
      <c r="C893" s="149" t="n">
        <v>2025</v>
      </c>
      <c r="D893" s="150" t="n">
        <v>2.99</v>
      </c>
      <c r="E893" s="151" t="n">
        <v>15</v>
      </c>
      <c r="F893" s="149" t="n">
        <v>0</v>
      </c>
      <c r="G893" s="149" t="inlineStr">
        <is>
          <t>梦倚流年</t>
        </is>
      </c>
      <c r="H893" s="149" t="inlineStr">
        <is>
          <t>Card Battler · Roguelite · Martial Arts · Card Game · Strategy · Turn-Based Strategy · Roguelike · 2D</t>
        </is>
      </c>
    </row>
    <row r="894" ht="15" customHeight="1" s="78">
      <c r="A894" s="152" t="n">
        <v>5040300</v>
      </c>
      <c r="B894" s="152" t="inlineStr">
        <is>
          <t>Blargle and the Quest for the Nothing Burger</t>
        </is>
      </c>
      <c r="C894" s="152" t="n">
        <v>2026</v>
      </c>
      <c r="D894" s="153" t="n">
        <v>2.99</v>
      </c>
      <c r="E894" s="154" t="n">
        <v>15</v>
      </c>
      <c r="F894" s="152" t="n">
        <v>100</v>
      </c>
      <c r="G894" s="152" t="inlineStr">
        <is>
          <t>Windfelt Studios</t>
        </is>
      </c>
      <c r="H894" s="152" t="inlineStr">
        <is>
          <t>Racing · Runner · Arcade · 3D · Sci-fi · Cute · Funny · Linear</t>
        </is>
      </c>
    </row>
    <row r="895" ht="15" customHeight="1" s="78">
      <c r="A895" s="149" t="n">
        <v>2557950</v>
      </c>
      <c r="B895" s="149" t="inlineStr">
        <is>
          <t>Snowdrop the Blade Master</t>
        </is>
      </c>
      <c r="C895" s="149" t="n">
        <v>2024</v>
      </c>
      <c r="D895" s="150" t="n">
        <v>2.99</v>
      </c>
      <c r="E895" s="151" t="n">
        <v>15</v>
      </c>
      <c r="F895" s="149" t="n">
        <v>100</v>
      </c>
      <c r="G895" s="149" t="inlineStr">
        <is>
          <t>berry makes games</t>
        </is>
      </c>
      <c r="H895" s="149" t="inlineStr">
        <is>
          <t>Roguelike Deckbuilder · Card Battler · Story Rich · Pixel Graphics · 2D · Female Protagonist · Foxes · Roguelike</t>
        </is>
      </c>
    </row>
    <row r="896" ht="15" customHeight="1" s="78">
      <c r="A896" s="152" t="n">
        <v>4275540</v>
      </c>
      <c r="B896" s="152" t="inlineStr">
        <is>
          <t>36 Rounds</t>
        </is>
      </c>
      <c r="C896" s="152" t="n">
        <v>2026</v>
      </c>
      <c r="D896" s="153" t="n">
        <v>1.99</v>
      </c>
      <c r="E896" s="154" t="n">
        <v>15</v>
      </c>
      <c r="F896" s="152" t="n">
        <v>100</v>
      </c>
      <c r="G896" s="152" t="inlineStr">
        <is>
          <t>YQA Game</t>
        </is>
      </c>
      <c r="H896" s="152" t="inlineStr">
        <is>
          <t>Strategy · Casual · Roguelike Deckbuilder · Card Game · Indie · 2D · Deckbuilding · Roguelike</t>
        </is>
      </c>
    </row>
    <row r="897" ht="15" customHeight="1" s="78">
      <c r="A897" s="149" t="n">
        <v>2129050</v>
      </c>
      <c r="B897" s="149" t="inlineStr">
        <is>
          <t>REX</t>
        </is>
      </c>
      <c r="C897" s="149" t="n">
        <v>2023</v>
      </c>
      <c r="D897" s="150" t="n">
        <v>0.99</v>
      </c>
      <c r="E897" s="151" t="n">
        <v>15</v>
      </c>
      <c r="F897" s="149" t="n">
        <v>0</v>
      </c>
      <c r="G897" s="149" t="inlineStr">
        <is>
          <t>Control Z</t>
        </is>
      </c>
      <c r="H897" s="149" t="inlineStr">
        <is>
          <t>Steampunk · Roguelike · Roguelite · Action Roguelike · Roguelike Deckbuilder · Casual · Hack and Slash · Swordplay</t>
        </is>
      </c>
    </row>
    <row r="898" ht="15" customHeight="1" s="78">
      <c r="A898" s="152" t="n">
        <v>3600310</v>
      </c>
      <c r="B898" s="152" t="inlineStr">
        <is>
          <t>Texas Twist Poker 3 Bandit's Run</t>
        </is>
      </c>
      <c r="C898" s="152" t="n">
        <v>2026</v>
      </c>
      <c r="D898" s="153" t="n">
        <v>19.99</v>
      </c>
      <c r="E898" s="154" t="n">
        <v>1</v>
      </c>
      <c r="F898" s="152" t="n">
        <v>0</v>
      </c>
      <c r="G898" s="152" t="inlineStr">
        <is>
          <t>Spontaneous QuirK</t>
        </is>
      </c>
      <c r="H898" s="152" t="inlineStr">
        <is>
          <t>Card Game · Roguelike Deckbuilder · Solitaire · Difficult · Choices Matter · Replay Value · Deckbuilding · Turn-Based Strategy</t>
        </is>
      </c>
    </row>
    <row r="899" ht="15" customHeight="1" s="78">
      <c r="A899" s="149" t="n">
        <v>497320</v>
      </c>
      <c r="B899" s="149" t="inlineStr">
        <is>
          <t>The Spirit of Twelve</t>
        </is>
      </c>
      <c r="C899" s="149" t="n">
        <v>2026</v>
      </c>
      <c r="D899" s="150" t="n">
        <v>14.99</v>
      </c>
      <c r="E899" s="151" t="n">
        <v>1</v>
      </c>
      <c r="F899" s="149" t="n">
        <v>0</v>
      </c>
      <c r="G899" s="149" t="inlineStr">
        <is>
          <t>STANDER Games</t>
        </is>
      </c>
      <c r="H899" s="149" t="inlineStr">
        <is>
          <t>Story Rich · Card Battler · RPG · Deckbuilding · Party-Based RPG · Dice · Roguelike Deckbuilder · Turn-Based Combat</t>
        </is>
      </c>
    </row>
    <row r="900" ht="15" customHeight="1" s="78">
      <c r="A900" s="152" t="n">
        <v>3868620</v>
      </c>
      <c r="B900" s="152" t="inlineStr">
        <is>
          <t>Low Magic They Said</t>
        </is>
      </c>
      <c r="C900" s="152" t="n">
        <v>2026</v>
      </c>
      <c r="D900" s="153" t="n">
        <v>14.99</v>
      </c>
      <c r="E900" s="154" t="n">
        <v>1</v>
      </c>
      <c r="F900" s="152" t="n">
        <v>100</v>
      </c>
      <c r="G900" s="152" t="inlineStr">
        <is>
          <t>tripleslai</t>
        </is>
      </c>
      <c r="H900" s="152" t="inlineStr">
        <is>
          <t>Early Access · Roguelike Deckbuilder · Card Battler · Deckbuilding · Card Game · Dark Fantasy · Roguelike · Dungeon Crawler</t>
        </is>
      </c>
    </row>
    <row r="901" ht="15" customHeight="1" s="78">
      <c r="A901" s="149" t="n">
        <v>1217110</v>
      </c>
      <c r="B901" s="149" t="inlineStr">
        <is>
          <t>Celestial Crown</t>
        </is>
      </c>
      <c r="C901" s="149" t="n">
        <v>2024</v>
      </c>
      <c r="D901" s="150" t="n">
        <v>13.99</v>
      </c>
      <c r="E901" s="151" t="n">
        <v>1</v>
      </c>
      <c r="F901" s="149" t="n">
        <v>0</v>
      </c>
      <c r="G901" s="149" t="inlineStr">
        <is>
          <t>Team Celestial Games</t>
        </is>
      </c>
      <c r="H901" s="149" t="inlineStr">
        <is>
          <t>Roguelike Deckbuilder · Deckbuilding · Strategy · Card Game · Turn-Based · Roguelike · Anime · Singleplayer</t>
        </is>
      </c>
    </row>
    <row r="902" ht="15" customHeight="1" s="78">
      <c r="A902" s="152" t="n">
        <v>4454170</v>
      </c>
      <c r="B902" s="152" t="inlineStr">
        <is>
          <t>CyberJoker</t>
        </is>
      </c>
      <c r="C902" s="152" t="n">
        <v>2026</v>
      </c>
      <c r="D902" s="153" t="n">
        <v>13.99</v>
      </c>
      <c r="E902" s="154" t="n">
        <v>1</v>
      </c>
      <c r="F902" s="152" t="n">
        <v>0</v>
      </c>
      <c r="G902" s="152" t="inlineStr">
        <is>
          <t>GoldOrangeStudio</t>
        </is>
      </c>
      <c r="H902" s="152" t="inlineStr">
        <is>
          <t>Deckbuilding · Turn-Based Strategy · Cyberpunk · Indie · Roguelite · Perma Death · Card Game · Singleplayer</t>
        </is>
      </c>
    </row>
    <row r="903" ht="15" customHeight="1" s="78">
      <c r="A903" s="149" t="n">
        <v>3264570</v>
      </c>
      <c r="B903" s="149" t="inlineStr">
        <is>
          <t>Last Landlord</t>
        </is>
      </c>
      <c r="C903" s="149" t="n">
        <v>2024</v>
      </c>
      <c r="D903" s="150" t="n">
        <v>12.99</v>
      </c>
      <c r="E903" s="151" t="n">
        <v>1</v>
      </c>
      <c r="F903" s="149" t="n">
        <v>100</v>
      </c>
      <c r="G903" s="149" t="inlineStr">
        <is>
          <t>Mudpill Games</t>
        </is>
      </c>
      <c r="H903" s="149" t="inlineStr">
        <is>
          <t>Casual · Strategy · Card Game · Roguelike · Card Battler · 2D · Relaxing · Deckbuilding</t>
        </is>
      </c>
    </row>
    <row r="904" ht="15" customHeight="1" s="78">
      <c r="A904" s="152" t="n">
        <v>5259200</v>
      </c>
      <c r="B904" s="152" t="inlineStr">
        <is>
          <t>Domebreak</t>
        </is>
      </c>
      <c r="C904" s="152" t="n">
        <v>2026</v>
      </c>
      <c r="D904" s="153" t="n">
        <v>12.99</v>
      </c>
      <c r="E904" s="154" t="n">
        <v>1</v>
      </c>
      <c r="F904" s="152" t="n">
        <v>0</v>
      </c>
      <c r="G904" s="152" t="inlineStr">
        <is>
          <t>Second Player Studio</t>
        </is>
      </c>
      <c r="H904" s="152" t="inlineStr">
        <is>
          <t>RPG · Card Battler · Dungeon Crawler · Pixel Graphics · Fantasy · Turn-Based Combat · Difficult · Roguelike Deckbuilder</t>
        </is>
      </c>
    </row>
    <row r="905" ht="15" customHeight="1" s="78">
      <c r="A905" s="149" t="n">
        <v>3267500</v>
      </c>
      <c r="B905" s="149" t="inlineStr">
        <is>
          <t>Through the stars</t>
        </is>
      </c>
      <c r="C905" s="149" t="n">
        <v>2024</v>
      </c>
      <c r="D905" s="150" t="n">
        <v>11.99</v>
      </c>
      <c r="E905" s="151" t="n">
        <v>1</v>
      </c>
      <c r="F905" s="149" t="n">
        <v>0</v>
      </c>
      <c r="G905" s="149" t="inlineStr">
        <is>
          <t>BMGames</t>
        </is>
      </c>
      <c r="H905" s="149" t="inlineStr">
        <is>
          <t>Roguelike Deckbuilder · Card Game · Tactical · Card Battler · Turn-Based Strategy · Turn-Based Combat · Strategy · Deckbuilding</t>
        </is>
      </c>
    </row>
    <row r="906" ht="15" customHeight="1" s="78">
      <c r="A906" s="152" t="n">
        <v>4967830</v>
      </c>
      <c r="B906" s="152" t="inlineStr">
        <is>
          <t>LUDOCOR</t>
        </is>
      </c>
      <c r="C906" s="152" t="n">
        <v>2026</v>
      </c>
      <c r="D906" s="153" t="n">
        <v>11.11</v>
      </c>
      <c r="E906" s="154" t="n">
        <v>1</v>
      </c>
      <c r="F906" s="152" t="n">
        <v>0</v>
      </c>
      <c r="G906" s="152" t="inlineStr">
        <is>
          <t>NYXON ALPHA PRIVATE LIMITED</t>
        </is>
      </c>
      <c r="H906" s="152" t="inlineStr">
        <is>
          <t>Casual · Board Game · Card Game · Roguelite · 2D · Colorful · Pixel Graphics · Space</t>
        </is>
      </c>
    </row>
    <row r="907" ht="15" customHeight="1" s="78">
      <c r="A907" s="149" t="n">
        <v>3369700</v>
      </c>
      <c r="B907" s="149" t="inlineStr">
        <is>
          <t>The Tower of Eden</t>
        </is>
      </c>
      <c r="C907" s="149" t="n">
        <v>2025</v>
      </c>
      <c r="D907" s="150" t="n">
        <v>9.99</v>
      </c>
      <c r="E907" s="151" t="n">
        <v>1</v>
      </c>
      <c r="F907" s="149" t="n">
        <v>0</v>
      </c>
      <c r="G907" s="149" t="inlineStr">
        <is>
          <t>Chris-Emio Raymond</t>
        </is>
      </c>
      <c r="H907" s="149" t="inlineStr">
        <is>
          <t>Strategy · Turn-Based Tactics · Roguelike · 2D · Stylized · Adventure · Colorful · Fantasy</t>
        </is>
      </c>
    </row>
    <row r="908" ht="15" customHeight="1" s="78">
      <c r="A908" s="152" t="n">
        <v>3935440</v>
      </c>
      <c r="B908" s="152" t="inlineStr">
        <is>
          <t>SummonArk -Deck Building Roguelite-</t>
        </is>
      </c>
      <c r="C908" s="152" t="n">
        <v>2025</v>
      </c>
      <c r="D908" s="153" t="n">
        <v>8.99</v>
      </c>
      <c r="E908" s="154" t="n">
        <v>1</v>
      </c>
      <c r="F908" s="152" t="n">
        <v>100</v>
      </c>
      <c r="G908" s="152" t="inlineStr">
        <is>
          <t>犬猫 Room</t>
        </is>
      </c>
      <c r="H908" s="152" t="inlineStr">
        <is>
          <t>RPG · Roguelike Deckbuilder · Card Battler · Singleplayer · Fantasy · Deckbuilding · Roguelike · Indie</t>
        </is>
      </c>
    </row>
    <row r="909" ht="15" customHeight="1" s="78">
      <c r="A909" s="149" t="n">
        <v>3879840</v>
      </c>
      <c r="B909" s="149" t="inlineStr">
        <is>
          <t>Dice × Deck</t>
        </is>
      </c>
      <c r="C909" s="149" t="n">
        <v>2026</v>
      </c>
      <c r="D909" s="150" t="n">
        <v>9.99</v>
      </c>
      <c r="E909" s="151" t="n">
        <v>1</v>
      </c>
      <c r="F909" s="149" t="n">
        <v>0</v>
      </c>
      <c r="G909" s="149" t="inlineStr">
        <is>
          <t>あめざいく</t>
        </is>
      </c>
      <c r="H909" s="149" t="inlineStr">
        <is>
          <t>Roguelike · Deckbuilding · Idler · 3D · Casual · Family Friendly · Automation · Singleplayer</t>
        </is>
      </c>
    </row>
    <row r="910" ht="15" customHeight="1" s="78">
      <c r="A910" s="152" t="n">
        <v>4564930</v>
      </c>
      <c r="B910" s="152" t="inlineStr">
        <is>
          <t>Friend and foe</t>
        </is>
      </c>
      <c r="C910" s="152" t="n">
        <v>2026</v>
      </c>
      <c r="D910" s="153" t="n">
        <v>9.99</v>
      </c>
      <c r="E910" s="154" t="n">
        <v>1</v>
      </c>
      <c r="F910" s="152" t="n">
        <v>0</v>
      </c>
      <c r="G910" s="152" t="inlineStr">
        <is>
          <t>Seven province</t>
        </is>
      </c>
      <c r="H910" s="152" t="inlineStr">
        <is>
          <t>Roguelike Deckbuilder · Card Battler · Turn-Based Tactics · Deckbuilding · Online Co-Op · Roguelite · Sci-fi · Roguelike</t>
        </is>
      </c>
    </row>
    <row r="911" ht="15" customHeight="1" s="78">
      <c r="A911" s="149" t="n">
        <v>3609280</v>
      </c>
      <c r="B911" s="149" t="inlineStr">
        <is>
          <t>Dicewayfarer</t>
        </is>
      </c>
      <c r="C911" s="149" t="n">
        <v>2026</v>
      </c>
      <c r="D911" s="150" t="n">
        <v>9.99</v>
      </c>
      <c r="E911" s="151" t="n">
        <v>1</v>
      </c>
      <c r="F911" s="149" t="n">
        <v>100</v>
      </c>
      <c r="G911" s="149" t="inlineStr">
        <is>
          <t>NightCracker</t>
        </is>
      </c>
      <c r="H911" s="149" t="inlineStr">
        <is>
          <t>Strategy · Roguelike Deckbuilder · Deckbuilding · Roguelite · Roguelike · Pixel Graphics · Singleplayer · Indie</t>
        </is>
      </c>
    </row>
    <row r="912" ht="15" customHeight="1" s="78">
      <c r="A912" s="152" t="n">
        <v>5164100</v>
      </c>
      <c r="B912" s="152" t="inlineStr">
        <is>
          <t>Double Sixes</t>
        </is>
      </c>
      <c r="C912" s="152" t="n">
        <v>2026</v>
      </c>
      <c r="D912" s="153" t="n">
        <v>11.14</v>
      </c>
      <c r="E912" s="154" t="n">
        <v>1</v>
      </c>
      <c r="F912" s="152" t="n">
        <v>100</v>
      </c>
      <c r="G912" s="152" t="inlineStr">
        <is>
          <t>Embercrest Interactive Ltd</t>
        </is>
      </c>
      <c r="H912" s="152" t="inlineStr">
        <is>
          <t>Turn-Based Tactics · Roguelite · Strategy · Roguelike Deckbuilder · Tutorial · Board Game · Casual · Tabletop</t>
        </is>
      </c>
    </row>
    <row r="913" ht="15" customHeight="1" s="78">
      <c r="A913" s="149" t="n">
        <v>3723410</v>
      </c>
      <c r="B913" s="149" t="inlineStr">
        <is>
          <t>Grim Diary</t>
        </is>
      </c>
      <c r="C913" s="149" t="n">
        <v>2025</v>
      </c>
      <c r="D913" s="150" t="n">
        <v>7.99</v>
      </c>
      <c r="E913" s="151" t="n">
        <v>1</v>
      </c>
      <c r="F913" s="149" t="n">
        <v>100</v>
      </c>
      <c r="G913" s="149" t="inlineStr">
        <is>
          <t>Lepus</t>
        </is>
      </c>
      <c r="H913" s="149" t="inlineStr">
        <is>
          <t>RPG · Card Game · Roguelike · Visual Novel · Anime · Roguelike Deckbuilder · Singleplayer · Early Access</t>
        </is>
      </c>
    </row>
    <row r="914" ht="15" customHeight="1" s="78">
      <c r="A914" s="152" t="n">
        <v>4366080</v>
      </c>
      <c r="B914" s="152" t="inlineStr">
        <is>
          <t>The Last Hand</t>
        </is>
      </c>
      <c r="C914" s="152" t="n">
        <v>2026</v>
      </c>
      <c r="D914" s="153" t="n">
        <v>7.99</v>
      </c>
      <c r="E914" s="154" t="n">
        <v>1</v>
      </c>
      <c r="F914" s="152" t="n">
        <v>0</v>
      </c>
      <c r="G914" s="152" t="inlineStr">
        <is>
          <t>Blackwater Gator Studios</t>
        </is>
      </c>
      <c r="H914" s="152" t="inlineStr">
        <is>
          <t>Strategy · Card Game · Casual · Indie · Card Battler · Roguelite · 2D · Dark</t>
        </is>
      </c>
    </row>
    <row r="915" ht="15" customHeight="1" s="78">
      <c r="A915" s="149" t="n">
        <v>4465730</v>
      </c>
      <c r="B915" s="149" t="inlineStr">
        <is>
          <t>Volt Deck</t>
        </is>
      </c>
      <c r="C915" s="149" t="n">
        <v>2026</v>
      </c>
      <c r="D915" s="150" t="n">
        <v>7.99</v>
      </c>
      <c r="E915" s="151" t="n">
        <v>1</v>
      </c>
      <c r="F915" s="149" t="n">
        <v>0</v>
      </c>
      <c r="G915" s="149" t="inlineStr">
        <is>
          <t>Martin Edmaier</t>
        </is>
      </c>
      <c r="H915" s="149" t="inlineStr">
        <is>
          <t>Poker · Deckbuilding · Roguelike Deckbuilder · Puzzle · Solitaire · Pixel Graphics · Card Game · Indie</t>
        </is>
      </c>
    </row>
    <row r="916" ht="15" customHeight="1" s="78">
      <c r="A916" s="152" t="n">
        <v>4719460</v>
      </c>
      <c r="B916" s="152" t="inlineStr">
        <is>
          <t>Amlebic</t>
        </is>
      </c>
      <c r="C916" s="152" t="n">
        <v>2026</v>
      </c>
      <c r="D916" s="153" t="n">
        <v>8.32</v>
      </c>
      <c r="E916" s="154" t="n">
        <v>1</v>
      </c>
      <c r="F916" s="152" t="n">
        <v>0</v>
      </c>
      <c r="G916" s="152" t="inlineStr">
        <is>
          <t>Mad Turtle Studios</t>
        </is>
      </c>
      <c r="H916" s="152" t="inlineStr">
        <is>
          <t>Strategy · Card Game · Roguelike · Casual · Roguelike Deckbuilder · Singleplayer · Replay Value · Roguelite</t>
        </is>
      </c>
    </row>
    <row r="917" ht="15" customHeight="1" s="78">
      <c r="A917" s="149" t="n">
        <v>4991180</v>
      </c>
      <c r="B917" s="149" t="inlineStr">
        <is>
          <t>Noodle Go!</t>
        </is>
      </c>
      <c r="C917" s="149" t="n">
        <v>2026</v>
      </c>
      <c r="D917" s="150" t="n">
        <v>7.99</v>
      </c>
      <c r="E917" s="151" t="n">
        <v>1</v>
      </c>
      <c r="F917" s="149" t="n">
        <v>100</v>
      </c>
      <c r="G917" s="149" t="inlineStr">
        <is>
          <t>PlayRush Game</t>
        </is>
      </c>
      <c r="H917" s="149" t="inlineStr">
        <is>
          <t>Roguelike Deckbuilder · Roguelite · Deckbuilding · Strategy · Resource Management · Shop Keeper · Economy · Capitalism</t>
        </is>
      </c>
    </row>
    <row r="918" ht="15" customHeight="1" s="78">
      <c r="A918" s="152" t="n">
        <v>4088570</v>
      </c>
      <c r="B918" s="152" t="inlineStr">
        <is>
          <t>Moon and Fang</t>
        </is>
      </c>
      <c r="C918" s="152" t="n">
        <v>2026</v>
      </c>
      <c r="D918" s="153" t="n">
        <v>6.99</v>
      </c>
      <c r="E918" s="154" t="n">
        <v>1</v>
      </c>
      <c r="F918" s="152" t="n">
        <v>100</v>
      </c>
      <c r="G918" s="152" t="inlineStr">
        <is>
          <t>WivernRider</t>
        </is>
      </c>
      <c r="H918" s="152" t="inlineStr">
        <is>
          <t>Roguelike Deckbuilder · Card Game · Strategy · Deckbuilding · Roguelike · Turn-Based Strategy · Card Battler · Werewolves</t>
        </is>
      </c>
    </row>
    <row r="919" ht="15" customHeight="1" s="78">
      <c r="A919" s="149" t="n">
        <v>4540910</v>
      </c>
      <c r="B919" s="149" t="inlineStr">
        <is>
          <t>Flower Dice</t>
        </is>
      </c>
      <c r="C919" s="149" t="n">
        <v>2026</v>
      </c>
      <c r="D919" s="150" t="n">
        <v>6.99</v>
      </c>
      <c r="E919" s="151" t="n">
        <v>1</v>
      </c>
      <c r="F919" s="149" t="n">
        <v>0</v>
      </c>
      <c r="G919" s="149" t="inlineStr">
        <is>
          <t>Logan Greenwood</t>
        </is>
      </c>
      <c r="H919" s="149" t="inlineStr">
        <is>
          <t>Strategy · Roguelike · Puzzle · Nature · Dice · Relaxing · Roguelike Deckbuilder · Singleplayer</t>
        </is>
      </c>
    </row>
    <row r="920" ht="15" customHeight="1" s="78">
      <c r="A920" s="152" t="n">
        <v>4725400</v>
      </c>
      <c r="B920" s="152" t="inlineStr">
        <is>
          <t>LUREFOLD</t>
        </is>
      </c>
      <c r="C920" s="152" t="n">
        <v>2026</v>
      </c>
      <c r="D920" s="153" t="n">
        <v>6.99</v>
      </c>
      <c r="E920" s="154" t="n">
        <v>1</v>
      </c>
      <c r="F920" s="152" t="n">
        <v>0</v>
      </c>
      <c r="G920" s="152" t="inlineStr">
        <is>
          <t>Fisher</t>
        </is>
      </c>
      <c r="H920" s="152" t="inlineStr">
        <is>
          <t>Casual · Strategy · Card Game · Turn-Based Strategy · Tabletop · Roguelike · Turn-Based Tactics · Solitaire</t>
        </is>
      </c>
    </row>
    <row r="921" ht="15" customHeight="1" s="78">
      <c r="A921" s="149" t="n">
        <v>4881390</v>
      </c>
      <c r="B921" s="149" t="inlineStr">
        <is>
          <t>Rouge's Flush</t>
        </is>
      </c>
      <c r="C921" s="149" t="n">
        <v>2026</v>
      </c>
      <c r="D921" s="150" t="n">
        <v>7.99</v>
      </c>
      <c r="E921" s="151" t="n">
        <v>1</v>
      </c>
      <c r="F921" s="149" t="n">
        <v>100</v>
      </c>
      <c r="G921" s="149" t="inlineStr">
        <is>
          <t>ljiljanbs</t>
        </is>
      </c>
      <c r="H921" s="149" t="inlineStr">
        <is>
          <t>Casual · Strategy · Arcade · Card Game · Roguelike · Card Battler · Incremental · Poker</t>
        </is>
      </c>
    </row>
    <row r="922" ht="15" customHeight="1" s="78">
      <c r="A922" s="152" t="n">
        <v>2935750</v>
      </c>
      <c r="B922" s="152" t="inlineStr">
        <is>
          <t>Glingdom</t>
        </is>
      </c>
      <c r="C922" s="152" t="n">
        <v>2024</v>
      </c>
      <c r="D922" s="153" t="n">
        <v>5.99</v>
      </c>
      <c r="E922" s="154" t="n">
        <v>1</v>
      </c>
      <c r="F922" s="152" t="n">
        <v>100</v>
      </c>
      <c r="G922" s="152" t="inlineStr">
        <is>
          <t>Fizz</t>
        </is>
      </c>
      <c r="H922" s="152" t="inlineStr">
        <is>
          <t>Strategy · Roguelike Deckbuilder · Card Battler · Auto Battler · Deckbuilding · Medieval · Card Game · Indie</t>
        </is>
      </c>
    </row>
    <row r="923" ht="15" customHeight="1" s="78">
      <c r="A923" s="149" t="n">
        <v>4362510</v>
      </c>
      <c r="B923" s="149" t="inlineStr">
        <is>
          <t>Random Dragons</t>
        </is>
      </c>
      <c r="C923" s="149" t="n">
        <v>2026</v>
      </c>
      <c r="D923" s="150" t="n">
        <v>6.99</v>
      </c>
      <c r="E923" s="151" t="n">
        <v>1</v>
      </c>
      <c r="F923" s="149" t="n">
        <v>100</v>
      </c>
      <c r="G923" s="149" t="inlineStr">
        <is>
          <t>Shrey Patil</t>
        </is>
      </c>
      <c r="H923" s="149" t="inlineStr">
        <is>
          <t>Indie · Roguelike Deckbuilder · Strategy · Deckbuilding · Roguelike · Card Game · Card Battler · Singleplayer</t>
        </is>
      </c>
    </row>
    <row r="924" ht="15" customHeight="1" s="78">
      <c r="A924" s="152" t="n">
        <v>4554420</v>
      </c>
      <c r="B924" s="152" t="inlineStr">
        <is>
          <t xml:space="preserve"> Last Crown Gambit</t>
        </is>
      </c>
      <c r="C924" s="152" t="n">
        <v>2026</v>
      </c>
      <c r="D924" s="153" t="n">
        <v>5.99</v>
      </c>
      <c r="E924" s="154" t="n">
        <v>1</v>
      </c>
      <c r="F924" s="152" t="n">
        <v>0</v>
      </c>
      <c r="G924" s="152" t="inlineStr">
        <is>
          <t>Feona Games</t>
        </is>
      </c>
      <c r="H924" s="152" t="inlineStr">
        <is>
          <t>Chess · Roguelite · PvE · Board Game · Turn-Based Strategy · Strategy · 3D · Simulation</t>
        </is>
      </c>
    </row>
    <row r="925" ht="15" customHeight="1" s="78">
      <c r="A925" s="149" t="n">
        <v>4812710</v>
      </c>
      <c r="B925" s="149" t="inlineStr">
        <is>
          <t>Cyber Pinball</t>
        </is>
      </c>
      <c r="C925" s="149" t="n">
        <v>2026</v>
      </c>
      <c r="D925" s="150" t="n">
        <v>6.66</v>
      </c>
      <c r="E925" s="151" t="n">
        <v>1</v>
      </c>
      <c r="F925" s="149" t="n">
        <v>0</v>
      </c>
      <c r="G925" s="149" t="inlineStr">
        <is>
          <t>LUCA&amp;ROCKET</t>
        </is>
      </c>
      <c r="H925" s="149" t="inlineStr">
        <is>
          <t>Strategy · Simulation · Roguelite · Cyberpunk · Singleplayer · Pinball · Deckbuilding · Roguelike Deckbuilder</t>
        </is>
      </c>
    </row>
    <row r="926" ht="15" customHeight="1" s="78">
      <c r="A926" s="152" t="n">
        <v>4920310</v>
      </c>
      <c r="B926" s="152" t="inlineStr">
        <is>
          <t>Ludus Deceptor</t>
        </is>
      </c>
      <c r="C926" s="152" t="n">
        <v>2026</v>
      </c>
      <c r="D926" s="153" t="n">
        <v>5.99</v>
      </c>
      <c r="E926" s="154" t="n">
        <v>1</v>
      </c>
      <c r="F926" s="152" t="n">
        <v>0</v>
      </c>
      <c r="G926" s="152" t="inlineStr">
        <is>
          <t>Ginser</t>
        </is>
      </c>
      <c r="H926" s="152" t="inlineStr">
        <is>
          <t>Casual · Strategy · Roguelike · Card Battler · 2D · Pixel Graphics · Gambling · Relaxing</t>
        </is>
      </c>
    </row>
    <row r="927" ht="15" customHeight="1" s="78">
      <c r="A927" s="149" t="n">
        <v>2758360</v>
      </c>
      <c r="B927" s="149" t="inlineStr">
        <is>
          <t>Scorpion's Curse</t>
        </is>
      </c>
      <c r="C927" s="149" t="n">
        <v>2024</v>
      </c>
      <c r="D927" s="150" t="n">
        <v>4.99</v>
      </c>
      <c r="E927" s="151" t="n">
        <v>1</v>
      </c>
      <c r="F927" s="149" t="n">
        <v>0</v>
      </c>
      <c r="G927" s="149" t="inlineStr">
        <is>
          <t>Kamil Graca</t>
        </is>
      </c>
      <c r="H927" s="149" t="inlineStr">
        <is>
          <t>Roguelike Deckbuilder · Card Game · Card Battler · Deckbuilding · Dungeon Crawler · Turn-Based · Turn-Based Strategy · Action Roguelike</t>
        </is>
      </c>
    </row>
    <row r="928" ht="15" customHeight="1" s="78">
      <c r="A928" s="152" t="n">
        <v>2756460</v>
      </c>
      <c r="B928" s="152" t="inlineStr">
        <is>
          <t>Roguewake</t>
        </is>
      </c>
      <c r="C928" s="152" t="n">
        <v>2026</v>
      </c>
      <c r="D928" s="153" t="n">
        <v>4.99</v>
      </c>
      <c r="E928" s="154" t="n">
        <v>1</v>
      </c>
      <c r="F928" s="152" t="n">
        <v>0</v>
      </c>
      <c r="G928" s="152" t="inlineStr">
        <is>
          <t>Roguewake Team</t>
        </is>
      </c>
      <c r="H928" s="152" t="inlineStr">
        <is>
          <t>Roguelike Deckbuilder · Pirates · Incremental · Roguelite · Card Game · Casual · Roguelike · RPG</t>
        </is>
      </c>
    </row>
    <row r="929" ht="15" customHeight="1" s="78">
      <c r="A929" s="149" t="n">
        <v>4266290</v>
      </c>
      <c r="B929" s="149" t="inlineStr">
        <is>
          <t>Scroll of Cards: Draft and Ascend</t>
        </is>
      </c>
      <c r="C929" s="149" t="n">
        <v>2026</v>
      </c>
      <c r="D929" s="150" t="n">
        <v>4.99</v>
      </c>
      <c r="E929" s="151" t="n">
        <v>1</v>
      </c>
      <c r="F929" s="149" t="n">
        <v>0</v>
      </c>
      <c r="G929" s="149" t="inlineStr">
        <is>
          <t>Nothing Games</t>
        </is>
      </c>
      <c r="H929" s="149" t="inlineStr">
        <is>
          <t>Roguelike Deckbuilder · Adventure · Card Battler · Roguelike · Card Game · Trading Card Game · Casual · Roguelite</t>
        </is>
      </c>
    </row>
    <row r="930" ht="15" customHeight="1" s="78">
      <c r="A930" s="152" t="n">
        <v>4180100</v>
      </c>
      <c r="B930" s="152" t="inlineStr">
        <is>
          <t>Emily's Desire</t>
        </is>
      </c>
      <c r="C930" s="152" t="n">
        <v>2026</v>
      </c>
      <c r="D930" s="153" t="n">
        <v>4.99</v>
      </c>
      <c r="E930" s="154" t="n">
        <v>1</v>
      </c>
      <c r="F930" s="152" t="n">
        <v>0</v>
      </c>
      <c r="G930" s="152" t="inlineStr">
        <is>
          <t>Hayahay Buhay</t>
        </is>
      </c>
      <c r="H930" s="152" t="inlineStr">
        <is>
          <t>Strategy · Roguelike · Dungeon Crawler · Auto Battler · Roguelite · Card Game · Deckbuilding · Roguelike Deckbuilder</t>
        </is>
      </c>
    </row>
    <row r="931" ht="15" customHeight="1" s="78">
      <c r="A931" s="149" t="n">
        <v>4629170</v>
      </c>
      <c r="B931" s="149" t="inlineStr">
        <is>
          <t>Epic Action Packs</t>
        </is>
      </c>
      <c r="C931" s="149" t="n">
        <v>2026</v>
      </c>
      <c r="D931" s="150" t="n">
        <v>4.99</v>
      </c>
      <c r="E931" s="151" t="n">
        <v>1</v>
      </c>
      <c r="F931" s="149" t="n">
        <v>0</v>
      </c>
      <c r="G931" s="149" t="inlineStr">
        <is>
          <t>FoxBot Software</t>
        </is>
      </c>
      <c r="H931" s="149" t="inlineStr">
        <is>
          <t>Turn-Based Tactics · Card Battler · Roguelite · Roguelike Deckbuilder · Difficult · PvE · Card Game · Turn-Based Strategy</t>
        </is>
      </c>
    </row>
    <row r="932" ht="15" customHeight="1" s="78">
      <c r="A932" s="152" t="n">
        <v>4775200</v>
      </c>
      <c r="B932" s="152" t="inlineStr">
        <is>
          <t>Quattro Synchro</t>
        </is>
      </c>
      <c r="C932" s="152" t="n">
        <v>2026</v>
      </c>
      <c r="D932" s="153" t="n">
        <v>4.99</v>
      </c>
      <c r="E932" s="154" t="n">
        <v>1</v>
      </c>
      <c r="F932" s="152" t="n">
        <v>0</v>
      </c>
      <c r="G932" s="152" t="inlineStr">
        <is>
          <t>KienTech Apps</t>
        </is>
      </c>
      <c r="H932" s="152" t="inlineStr">
        <is>
          <t>Casual · Roguelike Deckbuilder · Strategy · Roguelike · Deckbuilding · Singleplayer · 2D · Indie</t>
        </is>
      </c>
    </row>
    <row r="933" ht="15" customHeight="1" s="78">
      <c r="A933" s="149" t="n">
        <v>5092320</v>
      </c>
      <c r="B933" s="149" t="inlineStr">
        <is>
          <t>God Complex</t>
        </is>
      </c>
      <c r="C933" s="149" t="n">
        <v>2026</v>
      </c>
      <c r="D933" s="150" t="n">
        <v>4.99</v>
      </c>
      <c r="E933" s="151" t="n">
        <v>1</v>
      </c>
      <c r="F933" s="149" t="n">
        <v>0</v>
      </c>
      <c r="G933" s="149" t="inlineStr">
        <is>
          <t>Escaping Inevitability Games</t>
        </is>
      </c>
      <c r="H933" s="149" t="inlineStr">
        <is>
          <t>Strategy · Auto Battler · Card Game · Card Battler · Roguelite · 2D · Deckbuilding · Asynchronous Multiplayer</t>
        </is>
      </c>
    </row>
    <row r="934" ht="15" customHeight="1" s="78">
      <c r="A934" s="152" t="n">
        <v>5081700</v>
      </c>
      <c r="B934" s="152" t="inlineStr">
        <is>
          <t>Sylva's Blessing</t>
        </is>
      </c>
      <c r="C934" s="152" t="n">
        <v>2026</v>
      </c>
      <c r="D934" s="153" t="n">
        <v>4.99</v>
      </c>
      <c r="E934" s="154" t="n">
        <v>1</v>
      </c>
      <c r="F934" s="152" t="n">
        <v>0</v>
      </c>
      <c r="G934" s="152" t="inlineStr">
        <is>
          <t>ImmersiveGamingVR LLC</t>
        </is>
      </c>
      <c r="H934" s="152" t="inlineStr">
        <is>
          <t>Strategy · Roguelike Deckbuilder · Card Battler · Card Game · Casual · Roguelike · 2D · Cozy</t>
        </is>
      </c>
    </row>
    <row r="935" ht="15" customHeight="1" s="78">
      <c r="A935" s="149" t="n">
        <v>5220610</v>
      </c>
      <c r="B935" s="149" t="inlineStr">
        <is>
          <t>Setlist Shuffle</t>
        </is>
      </c>
      <c r="C935" s="149" t="n">
        <v>2026</v>
      </c>
      <c r="D935" s="150" t="n">
        <v>4.99</v>
      </c>
      <c r="E935" s="151" t="n">
        <v>1</v>
      </c>
      <c r="F935" s="149" t="n">
        <v>0</v>
      </c>
      <c r="G935" s="149" t="inlineStr">
        <is>
          <t>Dan's Brain Fart Factory</t>
        </is>
      </c>
      <c r="H935" s="149" t="inlineStr">
        <is>
          <t>Strategy · Roguelite · Simulation · Management · Casual · Card Game · Roguelike · 2D</t>
        </is>
      </c>
    </row>
    <row r="936" ht="15" customHeight="1" s="78">
      <c r="A936" s="152" t="n">
        <v>5294190</v>
      </c>
      <c r="B936" s="152" t="inlineStr">
        <is>
          <t>Legends of the Pitch</t>
        </is>
      </c>
      <c r="C936" s="152" t="n">
        <v>2026</v>
      </c>
      <c r="D936" s="153" t="n">
        <v>4.99</v>
      </c>
      <c r="E936" s="154" t="n">
        <v>1</v>
      </c>
      <c r="F936" s="152" t="n">
        <v>0</v>
      </c>
      <c r="G936" s="152" t="inlineStr">
        <is>
          <t>LZQI STUDIOS</t>
        </is>
      </c>
      <c r="H936" s="152" t="inlineStr">
        <is>
          <t>Adventure · Sports · 2D Fighter · Card Game · Roguelike · Turn-Based Strategy · 2D Platformer · Roguelike Deckbuilder</t>
        </is>
      </c>
    </row>
    <row r="937" ht="15" customHeight="1" s="78">
      <c r="A937" s="149" t="n">
        <v>5319460</v>
      </c>
      <c r="B937" s="149" t="inlineStr">
        <is>
          <t>PenRogue</t>
        </is>
      </c>
      <c r="C937" s="149" t="n">
        <v>2026</v>
      </c>
      <c r="D937" s="150" t="n">
        <v>4.99</v>
      </c>
      <c r="E937" s="151" t="n">
        <v>1</v>
      </c>
      <c r="F937" s="149" t="n">
        <v>0</v>
      </c>
      <c r="G937" s="149" t="inlineStr">
        <is>
          <t>Magnos Games</t>
        </is>
      </c>
      <c r="H937" s="149" t="inlineStr">
        <is>
          <t>Tactical RPG · RPG · Strategy · Roguelike Deckbuilder · PvE · Turn-Based Strategy · Roguelike · 2D</t>
        </is>
      </c>
    </row>
    <row r="938" ht="15" customHeight="1" s="78">
      <c r="A938" s="152" t="n">
        <v>3649910</v>
      </c>
      <c r="B938" s="152" t="inlineStr">
        <is>
          <t>ElfClash: Rescue Luna</t>
        </is>
      </c>
      <c r="C938" s="152" t="n">
        <v>2026</v>
      </c>
      <c r="D938" s="153" t="n">
        <v>3.99</v>
      </c>
      <c r="E938" s="154" t="n">
        <v>1</v>
      </c>
      <c r="F938" s="152" t="n">
        <v>0</v>
      </c>
      <c r="G938" s="152" t="inlineStr">
        <is>
          <t>RipenGo Games</t>
        </is>
      </c>
      <c r="H938" s="152" t="inlineStr">
        <is>
          <t>Card Battler · Turn-Based Tactics · Roguelite · Deckbuilding · Card Game · Turn-Based Strategy · Roguelike Deckbuilder · Bullet Hell</t>
        </is>
      </c>
    </row>
    <row r="939" ht="15" customHeight="1" s="78">
      <c r="A939" s="149" t="n">
        <v>4118910</v>
      </c>
      <c r="B939" s="149" t="inlineStr">
        <is>
          <t>Ding! Pocket It!: Rogue Simulator</t>
        </is>
      </c>
      <c r="C939" s="149" t="n">
        <v>2026</v>
      </c>
      <c r="D939" s="150" t="n">
        <v>4.99</v>
      </c>
      <c r="E939" s="151" t="n">
        <v>1</v>
      </c>
      <c r="F939" s="149" t="n">
        <v>100</v>
      </c>
      <c r="G939" s="149" t="inlineStr">
        <is>
          <t>Handcrank Workshop</t>
        </is>
      </c>
      <c r="H939" s="149" t="inlineStr">
        <is>
          <t>Roguelike Deckbuilder · Deckbuilding · Billiards · Simulation · Strategy · Indie · Card Game · On-Rails Shooter</t>
        </is>
      </c>
    </row>
    <row r="940" ht="15" customHeight="1" s="78">
      <c r="A940" s="152" t="n">
        <v>4248080</v>
      </c>
      <c r="B940" s="152" t="inlineStr">
        <is>
          <t>Mewlin the Clicker</t>
        </is>
      </c>
      <c r="C940" s="152" t="n">
        <v>2026</v>
      </c>
      <c r="D940" s="153" t="n">
        <v>3.99</v>
      </c>
      <c r="E940" s="154" t="n">
        <v>1</v>
      </c>
      <c r="F940" s="152" t="n">
        <v>100</v>
      </c>
      <c r="G940" s="152" t="inlineStr">
        <is>
          <t>Arcana Rebels</t>
        </is>
      </c>
      <c r="H940" s="152" t="inlineStr">
        <is>
          <t>Card Game · Strategy · Roguelike Deckbuilder · Roguelike · Casual · Deckbuilding · Roguelite · Incremental</t>
        </is>
      </c>
    </row>
    <row r="941" ht="15" customHeight="1" s="78">
      <c r="A941" s="149" t="n">
        <v>4590990</v>
      </c>
      <c r="B941" s="149" t="inlineStr">
        <is>
          <t>Ouroboros Solitaire</t>
        </is>
      </c>
      <c r="C941" s="149" t="n">
        <v>2026</v>
      </c>
      <c r="D941" s="150" t="n">
        <v>3.77</v>
      </c>
      <c r="E941" s="151" t="n">
        <v>1</v>
      </c>
      <c r="F941" s="149" t="n">
        <v>0</v>
      </c>
      <c r="G941" s="149" t="inlineStr">
        <is>
          <t>IS Product</t>
        </is>
      </c>
      <c r="H941" s="149" t="inlineStr">
        <is>
          <t>Strategy · Roguelike Deckbuilder · Indie · Casual · Card Game · Solitaire · Roguelike · 2D</t>
        </is>
      </c>
    </row>
    <row r="942" ht="15" customHeight="1" s="78">
      <c r="A942" s="152" t="n">
        <v>5180900</v>
      </c>
      <c r="B942" s="152" t="inlineStr">
        <is>
          <t>Rogue Circuit</t>
        </is>
      </c>
      <c r="C942" s="152" t="n">
        <v>2026</v>
      </c>
      <c r="D942" s="153" t="n">
        <v>4.99</v>
      </c>
      <c r="E942" s="154" t="n">
        <v>1</v>
      </c>
      <c r="F942" s="152" t="n">
        <v>100</v>
      </c>
      <c r="G942" s="152" t="inlineStr">
        <is>
          <t>Jorge Francisco Bescos Gascon</t>
        </is>
      </c>
      <c r="H942" s="152" t="inlineStr">
        <is>
          <t>Racing · Strategy · Roguelite · Auto Battler · Roguelike Deckbuilder · Indie · Vehicular Combat · Deckbuilding</t>
        </is>
      </c>
    </row>
    <row r="943" ht="15" customHeight="1" s="78">
      <c r="A943" s="149" t="n">
        <v>4459090</v>
      </c>
      <c r="B943" s="149" t="inlineStr">
        <is>
          <t>DiceRogue</t>
        </is>
      </c>
      <c r="C943" s="149" t="n">
        <v>2026</v>
      </c>
      <c r="D943" s="150" t="n">
        <v>2.99</v>
      </c>
      <c r="E943" s="151" t="n">
        <v>1</v>
      </c>
      <c r="F943" s="149" t="n">
        <v>0</v>
      </c>
      <c r="G943" s="149" t="inlineStr">
        <is>
          <t>monotos</t>
        </is>
      </c>
      <c r="H943" s="149" t="inlineStr">
        <is>
          <t>Roguelike Deckbuilder · Strategy · Turn-Based Strategy · Roguelike · Deckbuilding · Card Game · Singleplayer · 2D</t>
        </is>
      </c>
    </row>
    <row r="944" ht="15" customHeight="1" s="78">
      <c r="A944" s="152" t="n">
        <v>4625170</v>
      </c>
      <c r="B944" s="152" t="inlineStr">
        <is>
          <t>Dice N Grids</t>
        </is>
      </c>
      <c r="C944" s="152" t="n">
        <v>2026</v>
      </c>
      <c r="D944" s="153" t="n">
        <v>3</v>
      </c>
      <c r="E944" s="154" t="n">
        <v>1</v>
      </c>
      <c r="F944" s="152" t="n">
        <v>0</v>
      </c>
      <c r="G944" s="152" t="inlineStr">
        <is>
          <t>NotTurDice</t>
        </is>
      </c>
      <c r="H944" s="152" t="inlineStr">
        <is>
          <t>Strategy · Turn-Based Tactics · Casual · Strategy RPG · Roguelike · 2D · Relaxing · Deckbuilding</t>
        </is>
      </c>
    </row>
    <row r="945" ht="15" customHeight="1" s="78">
      <c r="A945" s="149" t="n">
        <v>5284650</v>
      </c>
      <c r="B945" s="149" t="inlineStr">
        <is>
          <t>Chesstics</t>
        </is>
      </c>
      <c r="C945" s="149" t="n">
        <v>2026</v>
      </c>
      <c r="D945" s="150" t="n">
        <v>2.99</v>
      </c>
      <c r="E945" s="151" t="n">
        <v>1</v>
      </c>
      <c r="F945" s="149" t="n">
        <v>0</v>
      </c>
      <c r="G945" s="149" t="inlineStr">
        <is>
          <t>Florian Strasser</t>
        </is>
      </c>
      <c r="H945" s="149" t="inlineStr">
        <is>
          <t>Casual · Strategy · Board Game · Turn-Based Strategy · Roguelike Deckbuilder · Turn-Based Tactics · 2D · Pixel Graphics</t>
        </is>
      </c>
    </row>
    <row r="946" ht="15" customHeight="1" s="78">
      <c r="A946" s="152" t="n">
        <v>5308770</v>
      </c>
      <c r="B946" s="152" t="inlineStr">
        <is>
          <t>AXIOMA</t>
        </is>
      </c>
      <c r="C946" s="152" t="n">
        <v>2026</v>
      </c>
      <c r="D946" s="153" t="n">
        <v>2.99</v>
      </c>
      <c r="E946" s="154" t="n">
        <v>1</v>
      </c>
      <c r="F946" s="152" t="n">
        <v>0</v>
      </c>
      <c r="G946" s="152" t="inlineStr">
        <is>
          <t>Quanta — Private Tutoring</t>
        </is>
      </c>
      <c r="H946" s="152" t="inlineStr">
        <is>
          <t>Strategy · Card Game · Turn-Based Strategy · Roguelike · Card Battler · Roguelike Deckbuilder · Roguelite · Pixel Graphics</t>
        </is>
      </c>
    </row>
    <row r="947" ht="15" customHeight="1" s="78">
      <c r="A947" s="149" t="n">
        <v>4317710</v>
      </c>
      <c r="B947" s="149" t="inlineStr">
        <is>
          <t>Click Them Off</t>
        </is>
      </c>
      <c r="C947" s="149" t="n">
        <v>2026</v>
      </c>
      <c r="D947" s="150" t="n">
        <v>1.99</v>
      </c>
      <c r="E947" s="151" t="n">
        <v>1</v>
      </c>
      <c r="F947" s="149" t="n">
        <v>0</v>
      </c>
      <c r="G947" s="149" t="inlineStr">
        <is>
          <t>Roboxide Studio</t>
        </is>
      </c>
      <c r="H947" s="149" t="inlineStr">
        <is>
          <t>Strategy · Card Battler · Roguelite · Card Game · Roguelike · Casual · 2D · Indie</t>
        </is>
      </c>
    </row>
    <row r="948" ht="15" customHeight="1" s="78">
      <c r="A948" s="152" t="n">
        <v>2335510</v>
      </c>
      <c r="B948" s="152" t="inlineStr">
        <is>
          <t>Backgaminion</t>
        </is>
      </c>
      <c r="C948" s="152" t="n">
        <v>2026</v>
      </c>
      <c r="D948" s="153" t="n">
        <v>0.99</v>
      </c>
      <c r="E948" s="154" t="n">
        <v>1</v>
      </c>
      <c r="F948" s="152" t="n">
        <v>0</v>
      </c>
      <c r="G948" s="152" t="inlineStr">
        <is>
          <t>stephii</t>
        </is>
      </c>
      <c r="H948" s="152" t="inlineStr">
        <is>
          <t>Roguelike Deckbuilder · Turn-Based Strategy · Board Game · Loot · Card Game · Roguelite · Deckbuilding · Fantasy</t>
        </is>
      </c>
    </row>
    <row r="949" ht="15" customHeight="1" s="78">
      <c r="A949" s="149" t="n">
        <v>2758970</v>
      </c>
      <c r="B949" s="149" t="inlineStr">
        <is>
          <t>Doppelscape</t>
        </is>
      </c>
      <c r="C949" s="149" t="n">
        <v>2026</v>
      </c>
      <c r="D949" s="150" t="n">
        <v>0.99</v>
      </c>
      <c r="E949" s="151" t="n">
        <v>1</v>
      </c>
      <c r="F949" s="149" t="n">
        <v>0</v>
      </c>
      <c r="G949" s="149" t="inlineStr">
        <is>
          <t>Joshua Stuckner</t>
        </is>
      </c>
      <c r="H949" s="149" t="inlineStr">
        <is>
          <t>Deckbuilding · Turn-Based Tactics · Team-Based · Hex Grid · Turn-Based Combat · Strategy · Turn-Based Strategy · Grid-Based Movement</t>
        </is>
      </c>
    </row>
    <row r="950" ht="15" customHeight="1" s="78">
      <c r="A950" s="152" t="n">
        <v>2940560</v>
      </c>
      <c r="B950" s="152" t="inlineStr">
        <is>
          <t>Upstream Ante</t>
        </is>
      </c>
      <c r="C950" s="152" t="n">
        <v>2024</v>
      </c>
      <c r="D950" s="153" t="n">
        <v>14.99</v>
      </c>
      <c r="E950" s="154" t="n">
        <v>1</v>
      </c>
      <c r="F950" s="152" t="n">
        <v>50</v>
      </c>
      <c r="G950" s="152" t="inlineStr">
        <is>
          <t>Michael Richard Lannon</t>
        </is>
      </c>
      <c r="H950" s="152" t="inlineStr">
        <is>
          <t>Roguelike Deckbuilder · Card Battler · Card Game · Roguelike · Strategy · Singleplayer · Cozy · Deckbuilding</t>
        </is>
      </c>
    </row>
    <row r="951" ht="15" customHeight="1" s="78">
      <c r="A951" s="149" t="n">
        <v>3129790</v>
      </c>
      <c r="B951" s="149" t="inlineStr">
        <is>
          <t>Pocket Legend : Inventory Roguelike Deckbuilder</t>
        </is>
      </c>
      <c r="C951" s="149" t="n">
        <v>2025</v>
      </c>
      <c r="D951" s="150" t="n">
        <v>0</v>
      </c>
      <c r="E951" s="151" t="n">
        <v>1</v>
      </c>
      <c r="F951" s="149" t="n">
        <v>0</v>
      </c>
      <c r="G951" s="149" t="inlineStr">
        <is>
          <t>Shading Box</t>
        </is>
      </c>
      <c r="H951" s="149" t="inlineStr">
        <is>
          <t>Inventory Management · Replay Value · Turn-Based Strategy · Roguelike Deckbuilder · Strategy · Card Battler · Indie · Deckbuilding</t>
        </is>
      </c>
    </row>
    <row r="952" ht="15" customHeight="1" s="78">
      <c r="A952" s="152" t="n">
        <v>3966150</v>
      </c>
      <c r="B952" s="152" t="inlineStr">
        <is>
          <t>Nidos</t>
        </is>
      </c>
      <c r="C952" s="152" t="n">
        <v>2026</v>
      </c>
      <c r="D952" s="153" t="n">
        <v>0</v>
      </c>
      <c r="E952" s="154" t="n">
        <v>1</v>
      </c>
      <c r="F952" s="152" t="n">
        <v>0</v>
      </c>
      <c r="G952" s="152" t="inlineStr">
        <is>
          <t>Software Kingdom</t>
        </is>
      </c>
      <c r="H952" s="152" t="inlineStr">
        <is>
          <t>Card Game · Turn-Based Tactics · Tactical · Strategy · Deckbuilding · Tabletop · Simulation · Turn-Based Strategy</t>
        </is>
      </c>
    </row>
    <row r="953" ht="15" customHeight="1" s="78">
      <c r="A953" s="149" t="n">
        <v>3167760</v>
      </c>
      <c r="B953" s="149" t="inlineStr">
        <is>
          <t>DUNGEON WALK3－奇妙な狂闘－</t>
        </is>
      </c>
      <c r="C953" s="149" t="n">
        <v>2025</v>
      </c>
      <c r="D953" s="150" t="n">
        <v>4.99</v>
      </c>
      <c r="E953" s="151" t="n">
        <v>0</v>
      </c>
      <c r="F953" s="149" t="n">
        <v>0</v>
      </c>
      <c r="G953" s="149" t="inlineStr">
        <is>
          <t>InuiNanGames</t>
        </is>
      </c>
      <c r="H953" s="149" t="inlineStr">
        <is>
          <t>Indie · Roguelike · Card Game · Deckbuilding · Card Battler · Dark Fantasy · Strategy · Fantasy</t>
        </is>
      </c>
    </row>
  </sheetData>
  <autoFilter ref="A4:H953"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conquer 立项数据分析</dc:title>
  <dc:subject xmlns:dc="http://purl.org/dc/elements/1.1/">同类游戏与市场盘子</dc:subject>
  <dc:language xmlns:dc="http://purl.org/dc/elements/1.1/">en-US</dc:language>
  <dcterms:created xmlns:dcterms="http://purl.org/dc/terms/" xmlns:xsi="http://www.w3.org/2001/XMLSchema-instance" xsi:type="dcterms:W3CDTF">2026-10-19T05:06:34Z</dcterms:created>
  <dcterms:modified xmlns:dcterms="http://purl.org/dc/terms/" xmlns:xsi="http://www.w3.org/2001/XMLSchema-instance" xsi:type="dcterms:W3CDTF">2026-10-19T05:16:32Z</dcterms:modified>
  <cp:revision>1</cp:revision>
</cp:coreProperties>
</file>