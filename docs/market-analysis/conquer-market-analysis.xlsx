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说明" sheetId="1" state="visible" r:id="rId3"/>
    <sheet name="01_大盘" sheetId="2" state="visible" r:id="rId4"/>
    <sheet name="02_对标样本" sheetId="3" state="visible" r:id="rId5"/>
    <sheet name="03_评论校准" sheetId="4" state="visible" r:id="rId6"/>
    <sheet name="04_财务模型" sheetId="5" state="visible" r:id="rId7"/>
    <sheet name="05_大盘原始池" sheetId="6" state="visible" r:id="rId8"/>
  </sheets>
  <definedNames>
    <definedName function="false" hidden="true" localSheetId="1" name="_xlnm._FilterDatabase" vbProcedure="false">'01_大盘'!$A$44:$E$60</definedName>
    <definedName function="false" hidden="true" localSheetId="2" name="_xlnm._FilterDatabase" vbProcedure="false">'02_对标样本'!$A$4:$O$52</definedName>
    <definedName function="false" hidden="true" localSheetId="3" name="_xlnm._FilterDatabase" vbProcedure="false">'03_评论校准'!$A$12:$G$152</definedName>
    <definedName function="false" hidden="true" localSheetId="5" name="_xlnm._FilterDatabase" vbProcedure="false">'05_大盘原始池'!$A$4:$H$953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<sst xmlns="http://schemas.openxmlformats.org/spreadsheetml/2006/main" count="3556" uniqueCount="3084">
  <si>
    <t xml:space="preserve">conquer · 立项数据分析</t>
  </si>
  <si>
    <t xml:space="preserve">同类游戏与市场盘子｜配套数据工作簿</t>
  </si>
  <si>
    <t xml:space="preserve">数据截止 2026-10-19 · 品类样本 949 款 · 深度对标 48 款 · 评论校准 140 款</t>
  </si>
  <si>
    <t xml:space="preserve">结论</t>
  </si>
  <si>
    <t xml:space="preserve">有条件立项：按 $19.99 / ¥58、24 个月 / ¥38.8 万预算推进；标准回本线 14,866 份（成熟样本 P66）；目标 2 万份 / 500 条评论。</t>
  </si>
  <si>
    <t xml:space="preserve">样本池</t>
  </si>
  <si>
    <t xml:space="preserve">Gamalytic Steam 游戏库 API，标签 Roguelike Deckbuilder 全集 949 款；剔除免费、未发售、价格 &lt; $4.99 后 766 款。</t>
  </si>
  <si>
    <t xml:space="preserve">成熟样本</t>
  </si>
  <si>
    <t xml:space="preserve">2021–2024 年发售的 250 款付费产品，用于分位、命中率与回本判断；2025–2026 只用于观察供给与竞争。</t>
  </si>
  <si>
    <t xml:space="preserve">价格/发售</t>
  </si>
  <si>
    <t xml:space="preserve">Steam Store API（cc=cn，简中），取中国区原价与发售日。</t>
  </si>
  <si>
    <t xml:space="preserve">评论</t>
  </si>
  <si>
    <t xml:space="preserve">Steam appreviews API，全部语言、全部购买类型；140 款随机样本用于评论→销量校准。</t>
  </si>
  <si>
    <t xml:space="preserve">销量</t>
  </si>
  <si>
    <t xml:space="preserve">Gamalytic copiesSold 模型估算；单款误差可能 ±30–50%，用于分位与量级判断，不作财务承诺。</t>
  </si>
  <si>
    <t xml:space="preserve">净收入</t>
  </si>
  <si>
    <t xml:space="preserve">净收入 = 销量 × 售价 × 0.75（平均实收）× 0.60（开发者分成）。0.45 为两者乘积。</t>
  </si>
  <si>
    <t xml:space="preserve">评论倍数</t>
  </si>
  <si>
    <t xml:space="preserve">评论倍数 = 销量 ÷ 评论数；随机样本中位 28.8×（P25 17.2× / P75 43.2×）。</t>
  </si>
  <si>
    <t xml:space="preserve">销量预测</t>
  </si>
  <si>
    <t xml:space="preserve">copies = 10^(0.914 + 1.265 × log10(reviews))，R² = 0.940；仅用于设定评论 KPI。</t>
  </si>
  <si>
    <t xml:space="preserve">局限</t>
  </si>
  <si>
    <t xml:space="preserve">深度对标 48 款为人工挑选的成功产品，存在幸存者偏差；成功率一律以成熟样本为准。</t>
  </si>
  <si>
    <t xml:space="preserve">工作表索引</t>
  </si>
  <si>
    <t xml:space="preserve">01_大盘</t>
  </si>
  <si>
    <t xml:space="preserve">年度供给、销量门槛、收入集中度、价格带、标签倍数</t>
  </si>
  <si>
    <t xml:space="preserve">02_对标样本</t>
  </si>
  <si>
    <t xml:space="preserve">48 款同类游戏：价格、评论、销量、净收入、标签、Steam 链接</t>
  </si>
  <si>
    <t xml:space="preserve">03_评论校准</t>
  </si>
  <si>
    <t xml:space="preserve">140 款随机样本的评论/销量与回归参数</t>
  </si>
  <si>
    <t xml:space="preserve">04_财务模型</t>
  </si>
  <si>
    <t xml:space="preserve">预算、回本线、情景、价格敏感性（可改输入）</t>
  </si>
  <si>
    <t xml:space="preserve">05_大盘原始池</t>
  </si>
  <si>
    <t xml:space="preserve">949 款标签全集，便于复算或换筛选条件</t>
  </si>
  <si>
    <t xml:space="preserve">数据来源：Gamalytic / Steam Store API / Steam Reviews API / SteamSpy（交叉校验）。方法参考 B 站 BV1MjpX6QEVY。</t>
  </si>
  <si>
    <t xml:space="preserve">01 / 大盘：供给、门槛、集中度、价格与标签</t>
  </si>
  <si>
    <t xml:space="preserve">标签 Roguelike Deckbuilder｜付费样本 766 款｜成熟样本 250 款（2021–2024）</t>
  </si>
  <si>
    <t xml:space="preserve">1.1 年度供给与销量</t>
  </si>
  <si>
    <t xml:space="preserve">年份</t>
  </si>
  <si>
    <t xml:space="preserve">新增数量</t>
  </si>
  <si>
    <t xml:space="preserve">销量中位数</t>
  </si>
  <si>
    <t xml:space="preserve">P75</t>
  </si>
  <si>
    <t xml:space="preserve">P90</t>
  </si>
  <si>
    <t xml:space="preserve">≥1 万份</t>
  </si>
  <si>
    <t xml:space="preserve">≥5 万份</t>
  </si>
  <si>
    <t xml:space="preserve">≥10 万份</t>
  </si>
  <si>
    <t xml:space="preserve">净收入合计（百万美元）</t>
  </si>
  <si>
    <t xml:space="preserve">1.2 销量门槛（成熟样本）</t>
  </si>
  <si>
    <t xml:space="preserve">门槛（份）</t>
  </si>
  <si>
    <t xml:space="preserve">达到数量</t>
  </si>
  <si>
    <t xml:space="preserve">占比</t>
  </si>
  <si>
    <t xml:space="preserve">1.3 净收入集中度</t>
  </si>
  <si>
    <t xml:space="preserve">周期</t>
  </si>
  <si>
    <t xml:space="preserve">样本数</t>
  </si>
  <si>
    <t xml:space="preserve">Top 1%</t>
  </si>
  <si>
    <t xml:space="preserve">Top 5%</t>
  </si>
  <si>
    <t xml:space="preserve">Top 10%</t>
  </si>
  <si>
    <t xml:space="preserve">Top 25%</t>
  </si>
  <si>
    <t xml:space="preserve">Gini</t>
  </si>
  <si>
    <t xml:space="preserve">2021–2024（成熟样本）</t>
  </si>
  <si>
    <t xml:space="preserve">2024–2026（当前竞争）</t>
  </si>
  <si>
    <t xml:space="preserve">1.4 价格带（成熟样本）</t>
  </si>
  <si>
    <t xml:space="preserve">价格带</t>
  </si>
  <si>
    <t xml:space="preserve">净收入中位数（$）</t>
  </si>
  <si>
    <t xml:space="preserve">≤ $9.99</t>
  </si>
  <si>
    <t xml:space="preserve">$10–14.99</t>
  </si>
  <si>
    <t xml:space="preserve">$15–19.99</t>
  </si>
  <si>
    <t xml:space="preserve">$20–24.99</t>
  </si>
  <si>
    <t xml:space="preserve">$25+</t>
  </si>
  <si>
    <t xml:space="preserve">1.5 标签倍数（2022–2025）</t>
  </si>
  <si>
    <t xml:space="preserve">标签</t>
  </si>
  <si>
    <t xml:space="preserve">倍数</t>
  </si>
  <si>
    <t xml:space="preserve">Auto Battler</t>
  </si>
  <si>
    <t xml:space="preserve">Dungeon Crawler</t>
  </si>
  <si>
    <t xml:space="preserve">Turn-Based Strategy</t>
  </si>
  <si>
    <t xml:space="preserve">RPG</t>
  </si>
  <si>
    <t xml:space="preserve">Turn-Based</t>
  </si>
  <si>
    <t xml:space="preserve">Roguelite</t>
  </si>
  <si>
    <t xml:space="preserve">Card Game</t>
  </si>
  <si>
    <t xml:space="preserve">Deckbuilding</t>
  </si>
  <si>
    <t xml:space="preserve">2D</t>
  </si>
  <si>
    <t xml:space="preserve">Roguelike</t>
  </si>
  <si>
    <t xml:space="preserve">Pixel Graphics</t>
  </si>
  <si>
    <t xml:space="preserve">Turn-Based Tactics</t>
  </si>
  <si>
    <t xml:space="preserve">Singleplayer</t>
  </si>
  <si>
    <t xml:space="preserve">Fantasy</t>
  </si>
  <si>
    <t xml:space="preserve">Early Access</t>
  </si>
  <si>
    <t xml:space="preserve">PvE</t>
  </si>
  <si>
    <t xml:space="preserve">注：2026 年样本上架时间短，年度中位数会被压低；供给量与集中度是更稳的判断依据。</t>
  </si>
  <si>
    <t xml:space="preserve">02 / 48 款同类游戏样本</t>
  </si>
  <si>
    <t xml:space="preserve">S=品类天花板｜A=直接对标｜B=机制邻近；净收入 = 销量 × 售价 × 0.45</t>
  </si>
  <si>
    <t xml:space="preserve">圈层</t>
  </si>
  <si>
    <t xml:space="preserve">游戏</t>
  </si>
  <si>
    <t xml:space="preserve">AppID</t>
  </si>
  <si>
    <t xml:space="preserve">发售年</t>
  </si>
  <si>
    <t xml:space="preserve">售价USD</t>
  </si>
  <si>
    <t xml:space="preserve">售价CNY</t>
  </si>
  <si>
    <t xml:space="preserve">评论数</t>
  </si>
  <si>
    <t xml:space="preserve">好评率</t>
  </si>
  <si>
    <t xml:space="preserve">估算销量</t>
  </si>
  <si>
    <t xml:space="preserve">净收入USD</t>
  </si>
  <si>
    <t xml:space="preserve">净收入CNY</t>
  </si>
  <si>
    <t xml:space="preserve">开发商</t>
  </si>
  <si>
    <t xml:space="preserve">标签（前 5）</t>
  </si>
  <si>
    <t xml:space="preserve">Steam 链接</t>
  </si>
  <si>
    <t xml:space="preserve">S</t>
  </si>
  <si>
    <t xml:space="preserve">Slay the Spire</t>
  </si>
  <si>
    <t xml:space="preserve">Mega Crit</t>
  </si>
  <si>
    <t xml:space="preserve">Roguelike Deckbuilder · Card Game · Card Battler · Roguelike · Deckbuilding</t>
  </si>
  <si>
    <t xml:space="preserve">https://store.steampowered.com/app/646570/</t>
  </si>
  <si>
    <t xml:space="preserve">Slay the Spire 2</t>
  </si>
  <si>
    <t xml:space="preserve">Roguelike · Card Game · Deckbuilding · Co-op · Strategy</t>
  </si>
  <si>
    <t xml:space="preserve">https://store.steampowered.com/app/2868840/</t>
  </si>
  <si>
    <t xml:space="preserve">Balatro</t>
  </si>
  <si>
    <t xml:space="preserve">LocalThunk</t>
  </si>
  <si>
    <t xml:space="preserve">Card Game · Roguelike · Roguelike Deckbuilder · Deckbuilding · Singleplayer</t>
  </si>
  <si>
    <t xml:space="preserve">https://store.steampowered.com/app/2379780/</t>
  </si>
  <si>
    <t xml:space="preserve">Backpack Battles</t>
  </si>
  <si>
    <t xml:space="preserve">PlayWithFurcifer</t>
  </si>
  <si>
    <t xml:space="preserve">Auto Battler · Inventory Management · Strategy · PvP · Roguelike Deckbuilder</t>
  </si>
  <si>
    <t xml:space="preserve">https://store.steampowered.com/app/2427700/</t>
  </si>
  <si>
    <t xml:space="preserve">Monster Train</t>
  </si>
  <si>
    <t xml:space="preserve">Shiny Shoe</t>
  </si>
  <si>
    <t xml:space="preserve">Card Battler · Roguelite · Card Game · Deckbuilding · Turn-Based Tactics</t>
  </si>
  <si>
    <t xml:space="preserve">https://store.steampowered.com/app/1102190/</t>
  </si>
  <si>
    <t xml:space="preserve">Monster Train 2</t>
  </si>
  <si>
    <t xml:space="preserve">Roguelike Deckbuilder · Card Game · Roguelike · Deckbuilding · Turn-Based Strategy</t>
  </si>
  <si>
    <t xml:space="preserve">https://store.steampowered.com/app/2742830/</t>
  </si>
  <si>
    <t xml:space="preserve">A</t>
  </si>
  <si>
    <t xml:space="preserve">9 Kings</t>
  </si>
  <si>
    <t xml:space="preserve">Sad Socket</t>
  </si>
  <si>
    <t xml:space="preserve">Strategy · RPG · Auto Battler · Roguelike · Card Game</t>
  </si>
  <si>
    <t xml:space="preserve">https://store.steampowered.com/app/2784470/</t>
  </si>
  <si>
    <t xml:space="preserve">The King is Watching</t>
  </si>
  <si>
    <t xml:space="preserve">Hypnohead</t>
  </si>
  <si>
    <t xml:space="preserve">Roguelike · Base Building · Tower Defense · RTS · Dark Fantasy</t>
  </si>
  <si>
    <t xml:space="preserve">https://store.steampowered.com/app/2753900/</t>
  </si>
  <si>
    <t xml:space="preserve">Across the Obelisk</t>
  </si>
  <si>
    <t xml:space="preserve">Dreamsite Games</t>
  </si>
  <si>
    <t xml:space="preserve">Casual · Adventure · Tactical · Turn-Based Strategy · Roguelike Deckbuilder</t>
  </si>
  <si>
    <t xml:space="preserve">https://store.steampowered.com/app/1385380/</t>
  </si>
  <si>
    <t xml:space="preserve">Symphony of War: The Nephilim Saga</t>
  </si>
  <si>
    <t xml:space="preserve">Dancing Dragon Games</t>
  </si>
  <si>
    <t xml:space="preserve">Tactical RPG · RPG · Story Rich · Turn-Based Strategy · Fantasy</t>
  </si>
  <si>
    <t xml:space="preserve">https://store.steampowered.com/app/1488200/</t>
  </si>
  <si>
    <t xml:space="preserve">Chrono Ark</t>
  </si>
  <si>
    <t xml:space="preserve">Al Fine</t>
  </si>
  <si>
    <t xml:space="preserve">Roguelike Deckbuilder · Anime · RPG · Strategy · Indie</t>
  </si>
  <si>
    <t xml:space="preserve">https://store.steampowered.com/app/1188930/</t>
  </si>
  <si>
    <t xml:space="preserve">Hero's Hour</t>
  </si>
  <si>
    <t xml:space="preserve">Benjamin "ThingOnItsOwn" Hauer</t>
  </si>
  <si>
    <t xml:space="preserve">Turn-Based · Pixel Graphics · Strategy · Auto Battler · Turn-Based Strategy</t>
  </si>
  <si>
    <t xml:space="preserve">https://store.steampowered.com/app/1656780/</t>
  </si>
  <si>
    <t xml:space="preserve">Super Fantasy Kingdom</t>
  </si>
  <si>
    <t xml:space="preserve">Super Fantasy Games</t>
  </si>
  <si>
    <t xml:space="preserve">Strategy · RPG · Roguelike · Auto Battler · Roguelite</t>
  </si>
  <si>
    <t xml:space="preserve">https://store.steampowered.com/app/2289750/</t>
  </si>
  <si>
    <t xml:space="preserve">Fights in Tight Spaces</t>
  </si>
  <si>
    <t xml:space="preserve">Ground Shatter</t>
  </si>
  <si>
    <t xml:space="preserve">Strategy · Action · Turn-Based Tactics · Deckbuilding · Turn-Based Combat</t>
  </si>
  <si>
    <t xml:space="preserve">https://store.steampowered.com/app/1265820/</t>
  </si>
  <si>
    <t xml:space="preserve">Despot's Game: Dystopian Battle Simulator</t>
  </si>
  <si>
    <t xml:space="preserve">Konfa Games</t>
  </si>
  <si>
    <t xml:space="preserve">Auto Battler · Pixel Graphics · Roguelike · Tactical · Indie</t>
  </si>
  <si>
    <t xml:space="preserve">https://store.steampowered.com/app/1227280/</t>
  </si>
  <si>
    <t xml:space="preserve">He is Coming</t>
  </si>
  <si>
    <t xml:space="preserve">Chronocle</t>
  </si>
  <si>
    <t xml:space="preserve">Strategy · Roguelike · Auto Battler · RPG · Roguelite</t>
  </si>
  <si>
    <t xml:space="preserve">https://store.steampowered.com/app/2824490/</t>
  </si>
  <si>
    <t xml:space="preserve">Wildfrost</t>
  </si>
  <si>
    <t xml:space="preserve">Deadpan Games; Gaziter</t>
  </si>
  <si>
    <t xml:space="preserve">Card Battler · Roguelike Deckbuilder · Card Game · Difficult · Turn-Based Tactics</t>
  </si>
  <si>
    <t xml:space="preserve">https://store.steampowered.com/app/1811990/</t>
  </si>
  <si>
    <t xml:space="preserve">Gordian Quest</t>
  </si>
  <si>
    <t xml:space="preserve">Mixed Realms; SwagSoft Studios</t>
  </si>
  <si>
    <t xml:space="preserve">RPG · Card Game · Card Battler · Strategy · Adventure</t>
  </si>
  <si>
    <t xml:space="preserve">https://store.steampowered.com/app/981430/</t>
  </si>
  <si>
    <t xml:space="preserve">StarVaders</t>
  </si>
  <si>
    <t xml:space="preserve">Pengonauts</t>
  </si>
  <si>
    <t xml:space="preserve">Roguelike Deckbuilder · Deckbuilding · Turn-Based Tactics · Roguelite · Difficult</t>
  </si>
  <si>
    <t xml:space="preserve">https://store.steampowered.com/app/2097570/</t>
  </si>
  <si>
    <t xml:space="preserve">The Last Flame</t>
  </si>
  <si>
    <t xml:space="preserve">Hotloop</t>
  </si>
  <si>
    <t xml:space="preserve">Auto Battler · Roguelike · Strategy · Tactical · Turn-Based Strategy</t>
  </si>
  <si>
    <t xml:space="preserve">https://store.steampowered.com/app/1830970/</t>
  </si>
  <si>
    <t xml:space="preserve">Cobalt Core</t>
  </si>
  <si>
    <t xml:space="preserve">Rocket Rat Games</t>
  </si>
  <si>
    <t xml:space="preserve">Roguelike Deckbuilder · Card Game · Strategy · Roguelike · Turn-Based Strategy</t>
  </si>
  <si>
    <t xml:space="preserve">https://store.steampowered.com/app/2179850/</t>
  </si>
  <si>
    <t xml:space="preserve">Alina of the Arena</t>
  </si>
  <si>
    <t xml:space="preserve">PINIX</t>
  </si>
  <si>
    <t xml:space="preserve">Roguelike Deckbuilder · Roguelike · Turn-Based Tactics · Hex Grid · Card Game</t>
  </si>
  <si>
    <t xml:space="preserve">https://store.steampowered.com/app/1668690/</t>
  </si>
  <si>
    <t xml:space="preserve">Tales &amp; Tactics</t>
  </si>
  <si>
    <t xml:space="preserve">Table 9 Studio</t>
  </si>
  <si>
    <t xml:space="preserve">Hex Grid · Auto Battler · Strategy · Tactical · Turn-Based Tactics</t>
  </si>
  <si>
    <t xml:space="preserve">https://store.steampowered.com/app/1652250/</t>
  </si>
  <si>
    <t xml:space="preserve">Hadean Tactics</t>
  </si>
  <si>
    <t xml:space="preserve">Emberfish Games</t>
  </si>
  <si>
    <t xml:space="preserve">Roguelike Deckbuilder · Auto Battler · Card Battler · Roguelike · Card Game</t>
  </si>
  <si>
    <t xml:space="preserve">https://store.steampowered.com/app/1260590/</t>
  </si>
  <si>
    <t xml:space="preserve">Vivid Knight</t>
  </si>
  <si>
    <t xml:space="preserve">Asobism.Co.,Ltd</t>
  </si>
  <si>
    <t xml:space="preserve">Roguelike · Inventory Management · Roguelike Deckbuilder · Choices Matter · Difficult</t>
  </si>
  <si>
    <t xml:space="preserve">https://store.steampowered.com/app/1569090/</t>
  </si>
  <si>
    <t xml:space="preserve">The Dungeon Beneath</t>
  </si>
  <si>
    <t xml:space="preserve">Puzzle Box Games</t>
  </si>
  <si>
    <t xml:space="preserve">Turn-Based Tactics · Auto Battler · Roguelite · Tactical RPG · Perma Death</t>
  </si>
  <si>
    <t xml:space="preserve">https://store.steampowered.com/app/1359120/</t>
  </si>
  <si>
    <t xml:space="preserve">B</t>
  </si>
  <si>
    <t xml:space="preserve">Griftlands</t>
  </si>
  <si>
    <t xml:space="preserve">Klei Entertainment</t>
  </si>
  <si>
    <t xml:space="preserve">Card Battler · Roguelite · Deckbuilding · Choices Matter · RPG</t>
  </si>
  <si>
    <t xml:space="preserve">https://store.steampowered.com/app/601840/</t>
  </si>
  <si>
    <t xml:space="preserve">Luck be a Landlord</t>
  </si>
  <si>
    <t xml:space="preserve">TrampolineTales</t>
  </si>
  <si>
    <t xml:space="preserve">Roguelike Deckbuilder · Deckbuilding · Roguelite · Strategy · Procedural Generation</t>
  </si>
  <si>
    <t xml:space="preserve">https://store.steampowered.com/app/1404850/</t>
  </si>
  <si>
    <t xml:space="preserve">Backpack Hero</t>
  </si>
  <si>
    <t xml:space="preserve">Jaspel</t>
  </si>
  <si>
    <t xml:space="preserve">Replay Value · Inventory Management · Turn-Based · Roguelike Deckbuilder · Deckbuilding</t>
  </si>
  <si>
    <t xml:space="preserve">https://store.steampowered.com/app/1970580/</t>
  </si>
  <si>
    <t xml:space="preserve">The Bazaar</t>
  </si>
  <si>
    <t xml:space="preserve">Tempo</t>
  </si>
  <si>
    <t xml:space="preserve">Strategy · Auto Battler · Deckbuilding · Card Battler · Card Game</t>
  </si>
  <si>
    <t xml:space="preserve">https://store.steampowered.com/app/1617400/</t>
  </si>
  <si>
    <t xml:space="preserve">Ballionaire</t>
  </si>
  <si>
    <t xml:space="preserve">newobject</t>
  </si>
  <si>
    <t xml:space="preserve">Singleplayer · 2D · Casual · Roguelike · Deckbuilding</t>
  </si>
  <si>
    <t xml:space="preserve">https://store.steampowered.com/app/2667120/</t>
  </si>
  <si>
    <t xml:space="preserve">Dungeon Clawler</t>
  </si>
  <si>
    <t xml:space="preserve">Stray Fawn Studio</t>
  </si>
  <si>
    <t xml:space="preserve">Roguelike Deckbuilder · Replay Value · Arcade · Strategy · Roguelite</t>
  </si>
  <si>
    <t xml:space="preserve">https://store.steampowered.com/app/2356780/</t>
  </si>
  <si>
    <t xml:space="preserve">Shogun Showdown</t>
  </si>
  <si>
    <t xml:space="preserve">Roboatino</t>
  </si>
  <si>
    <t xml:space="preserve">Replay Value · Strategy RPG · Roguelike · Turn-Based · Pixel Graphics</t>
  </si>
  <si>
    <t xml:space="preserve">https://store.steampowered.com/app/2084000/</t>
  </si>
  <si>
    <t xml:space="preserve">Yi Xian: The Cultivation Card Game</t>
  </si>
  <si>
    <t xml:space="preserve">Darksun Studio</t>
  </si>
  <si>
    <t xml:space="preserve">Free to Play · Card Battler · Strategy · Turn-Based Tactics · Casual</t>
  </si>
  <si>
    <t xml:space="preserve">https://store.steampowered.com/app/1948800/</t>
  </si>
  <si>
    <t xml:space="preserve">Roguebook</t>
  </si>
  <si>
    <t xml:space="preserve">Abrakam Entertainment SA</t>
  </si>
  <si>
    <t xml:space="preserve">RPG · Indie · Card Game · Deckbuilding · Singleplayer</t>
  </si>
  <si>
    <t xml:space="preserve">https://store.steampowered.com/app/1076200/</t>
  </si>
  <si>
    <t xml:space="preserve">Demonic Mahjong</t>
  </si>
  <si>
    <t xml:space="preserve">Boxed Lighting Games</t>
  </si>
  <si>
    <t xml:space="preserve">Strategy · Card Game · Roguelike · Tabletop · Casual</t>
  </si>
  <si>
    <t xml:space="preserve">https://store.steampowered.com/app/3444020/</t>
  </si>
  <si>
    <t xml:space="preserve">Emberward</t>
  </si>
  <si>
    <t xml:space="preserve">Refic Games</t>
  </si>
  <si>
    <t xml:space="preserve">Tower Defense · Falling Blocks · Strategy · Roguelite · Deckbuilding</t>
  </si>
  <si>
    <t xml:space="preserve">https://store.steampowered.com/app/2459550/</t>
  </si>
  <si>
    <t xml:space="preserve">Cat God Ranch</t>
  </si>
  <si>
    <t xml:space="preserve">CrazyPotato Studio</t>
  </si>
  <si>
    <t xml:space="preserve">Management · Farming Sim · Simulation · Resource Management · Roguelike Deckbuilder</t>
  </si>
  <si>
    <t xml:space="preserve">https://store.steampowered.com/app/2797340/</t>
  </si>
  <si>
    <t xml:space="preserve">Decktamer</t>
  </si>
  <si>
    <t xml:space="preserve">Horizon Edge</t>
  </si>
  <si>
    <t xml:space="preserve">Roguelike Deckbuilder · Creature Collector · Card Game · Card Battler · Turn-Based Combat</t>
  </si>
  <si>
    <t xml:space="preserve">https://store.steampowered.com/app/2870340/</t>
  </si>
  <si>
    <t xml:space="preserve">Oaken Tower</t>
  </si>
  <si>
    <t xml:space="preserve">Bocary Studios</t>
  </si>
  <si>
    <t xml:space="preserve">Strategy · Auto Battler · Asynchronous Multiplayer · 2D · Pixel Graphics</t>
  </si>
  <si>
    <t xml:space="preserve">https://store.steampowered.com/app/3400960/</t>
  </si>
  <si>
    <t xml:space="preserve">Overlooting</t>
  </si>
  <si>
    <t xml:space="preserve">Posing Possums</t>
  </si>
  <si>
    <t xml:space="preserve">Inventory Management · Loot · Roguelite · Dungeon Crawler · Pixel Graphics</t>
  </si>
  <si>
    <t xml:space="preserve">https://store.steampowered.com/app/3410180/</t>
  </si>
  <si>
    <t xml:space="preserve">Trials of Fire</t>
  </si>
  <si>
    <t xml:space="preserve">Whatboy Games</t>
  </si>
  <si>
    <t xml:space="preserve">Card Battler · Turn-Based Tactics · Tactical RPG · Roguelite · Dungeon Crawler</t>
  </si>
  <si>
    <t xml:space="preserve">https://store.steampowered.com/app/1038370/</t>
  </si>
  <si>
    <t xml:space="preserve">Yao-Guai Hunter</t>
  </si>
  <si>
    <t xml:space="preserve">MyACG Studio</t>
  </si>
  <si>
    <t xml:space="preserve">Roguelike Deckbuilder · Card Game · Replay Value · Roguelike · Card Battler</t>
  </si>
  <si>
    <t xml:space="preserve">https://store.steampowered.com/app/1915510/</t>
  </si>
  <si>
    <t xml:space="preserve">Commander Quest</t>
  </si>
  <si>
    <t xml:space="preserve">Flyway Games, Inc.</t>
  </si>
  <si>
    <t xml:space="preserve">War · Roguelike Deckbuilder · Card Game · Strategy · Replay Value</t>
  </si>
  <si>
    <t xml:space="preserve">https://store.steampowered.com/app/2697930/</t>
  </si>
  <si>
    <t xml:space="preserve">Touhou: Lost Branch of Legend</t>
  </si>
  <si>
    <t xml:space="preserve">Alioth Studio</t>
  </si>
  <si>
    <t xml:space="preserve">Roguelike Deckbuilder · Anime · Strategy · Card Battler · Roguelike</t>
  </si>
  <si>
    <t xml:space="preserve">https://store.steampowered.com/app/1140150/</t>
  </si>
  <si>
    <t xml:space="preserve">ShapeHero Factory</t>
  </si>
  <si>
    <t xml:space="preserve">Automation · Base Building · Tower Defense · Roguelite · Resource Management</t>
  </si>
  <si>
    <t xml:space="preserve">https://store.steampowered.com/app/2389040/</t>
  </si>
  <si>
    <t xml:space="preserve">Knightica</t>
  </si>
  <si>
    <t xml:space="preserve">Mad Mango Games</t>
  </si>
  <si>
    <t xml:space="preserve">Auto Battler · Tower Defense · Deckbuilding · Turn-Based · Roguelike</t>
  </si>
  <si>
    <t xml:space="preserve">https://store.steampowered.com/app/3093400/</t>
  </si>
  <si>
    <t xml:space="preserve">Indies' Lies</t>
  </si>
  <si>
    <t xml:space="preserve">Fun Square Games</t>
  </si>
  <si>
    <t xml:space="preserve">Roguelike Deckbuilder · Card Game · Card Battler · Deckbuilding · Roguelike</t>
  </si>
  <si>
    <t xml:space="preserve">https://store.steampowered.com/app/1638390/</t>
  </si>
  <si>
    <t xml:space="preserve">03 / 140 款随机样本：评论 → 销量校准</t>
  </si>
  <si>
    <t xml:space="preserve">用于估计评论倍数与回归式；样本为 2021–2026 年、$4.99 以上的付费产品随机抽取</t>
  </si>
  <si>
    <t xml:space="preserve">评论中位数</t>
  </si>
  <si>
    <t xml:space="preserve">评论倍数中位</t>
  </si>
  <si>
    <t xml:space="preserve">P25 / P75</t>
  </si>
  <si>
    <t xml:space="preserve">17.2× / 43.2×</t>
  </si>
  <si>
    <t xml:space="preserve">回归式</t>
  </si>
  <si>
    <t xml:space="preserve">copies = 10^(0.914 + 1.265 × log10(reviews))</t>
  </si>
  <si>
    <t xml:space="preserve">R²</t>
  </si>
  <si>
    <t xml:space="preserve">评论评分</t>
  </si>
  <si>
    <t xml:space="preserve">评论数分布</t>
  </si>
  <si>
    <t xml:space="preserve">Looping Bravery</t>
  </si>
  <si>
    <t xml:space="preserve">Positive</t>
  </si>
  <si>
    <t xml:space="preserve">区间</t>
  </si>
  <si>
    <t xml:space="preserve">数量</t>
  </si>
  <si>
    <t xml:space="preserve">Who Trained the Hero? -Spin of Fate-</t>
  </si>
  <si>
    <t xml:space="preserve">Mixed</t>
  </si>
  <si>
    <t xml:space="preserve">0</t>
  </si>
  <si>
    <t xml:space="preserve">我的人生</t>
  </si>
  <si>
    <t xml:space="preserve">1–49</t>
  </si>
  <si>
    <t xml:space="preserve">Cardnarok: Raid with Gods</t>
  </si>
  <si>
    <t xml:space="preserve">Mostly Positive</t>
  </si>
  <si>
    <t xml:space="preserve">50–99</t>
  </si>
  <si>
    <t xml:space="preserve">Probability Dungeon</t>
  </si>
  <si>
    <t xml:space="preserve">9 user reviews</t>
  </si>
  <si>
    <t xml:space="preserve">100–499</t>
  </si>
  <si>
    <t xml:space="preserve">RogueViz Collection</t>
  </si>
  <si>
    <t xml:space="preserve">500–999</t>
  </si>
  <si>
    <t xml:space="preserve">Hyperspace Deck Command</t>
  </si>
  <si>
    <t xml:space="preserve">Very Positive</t>
  </si>
  <si>
    <t xml:space="preserve">1,000–4,999</t>
  </si>
  <si>
    <t xml:space="preserve">Claymores of the Lost Kingdom</t>
  </si>
  <si>
    <t xml:space="preserve">5,000+</t>
  </si>
  <si>
    <t xml:space="preserve">Knock on the Coffin Lid</t>
  </si>
  <si>
    <t xml:space="preserve">Rune Gate</t>
  </si>
  <si>
    <t xml:space="preserve">Choice of Life: Middle Ages 2</t>
  </si>
  <si>
    <t xml:space="preserve">Overwhelmingly Positive</t>
  </si>
  <si>
    <t xml:space="preserve">Daemon Sigil</t>
  </si>
  <si>
    <t xml:space="preserve">Touhou Rinrinki ~ Crafts of the Lucky Beast</t>
  </si>
  <si>
    <t xml:space="preserve">Nif Nif</t>
  </si>
  <si>
    <t xml:space="preserve">Untitled Car Game</t>
  </si>
  <si>
    <t xml:space="preserve">3 user reviews</t>
  </si>
  <si>
    <t xml:space="preserve">Phantomancer</t>
  </si>
  <si>
    <t xml:space="preserve">Kemotaku</t>
  </si>
  <si>
    <t xml:space="preserve">7 user reviews</t>
  </si>
  <si>
    <t xml:space="preserve">Card Coder</t>
  </si>
  <si>
    <t xml:space="preserve">Vivid World</t>
  </si>
  <si>
    <t xml:space="preserve">Dicevaders</t>
  </si>
  <si>
    <t xml:space="preserve">Flawed Tactics</t>
  </si>
  <si>
    <t xml:space="preserve">Ludus Deceptor</t>
  </si>
  <si>
    <t xml:space="preserve">No user reviews</t>
  </si>
  <si>
    <t xml:space="preserve">Tendryll</t>
  </si>
  <si>
    <t xml:space="preserve">Conquest Tactics : Realm of Sin</t>
  </si>
  <si>
    <t xml:space="preserve">Fate Architect</t>
  </si>
  <si>
    <t xml:space="preserve">Zoeti</t>
  </si>
  <si>
    <t xml:space="preserve">Into the Restless Ruins</t>
  </si>
  <si>
    <t xml:space="preserve">Resultare</t>
  </si>
  <si>
    <t xml:space="preserve">Watch Me Stream My Mental Breakdown</t>
  </si>
  <si>
    <t xml:space="preserve">Waystones</t>
  </si>
  <si>
    <t xml:space="preserve">5 user reviews</t>
  </si>
  <si>
    <t xml:space="preserve">Aleae</t>
  </si>
  <si>
    <t xml:space="preserve">1 user reviews</t>
  </si>
  <si>
    <t xml:space="preserve">Pawffice</t>
  </si>
  <si>
    <t xml:space="preserve">Handmancers</t>
  </si>
  <si>
    <t xml:space="preserve">Forest Heroes</t>
  </si>
  <si>
    <t xml:space="preserve">Runes of Aereal</t>
  </si>
  <si>
    <t xml:space="preserve">Wireworks</t>
  </si>
  <si>
    <t xml:space="preserve">Star Mining Co.</t>
  </si>
  <si>
    <t xml:space="preserve">Queue Queen</t>
  </si>
  <si>
    <t xml:space="preserve">4 user reviews</t>
  </si>
  <si>
    <t xml:space="preserve">Little Adventure Tale</t>
  </si>
  <si>
    <t xml:space="preserve">6 user reviews</t>
  </si>
  <si>
    <t xml:space="preserve">Unders_core</t>
  </si>
  <si>
    <t xml:space="preserve">Bees vs Zombees</t>
  </si>
  <si>
    <t xml:space="preserve">Brawl Tactics: Origins</t>
  </si>
  <si>
    <t xml:space="preserve">Prescience</t>
  </si>
  <si>
    <t xml:space="preserve">PEGTURE: Peg Solitaire Roguelike</t>
  </si>
  <si>
    <t xml:space="preserve">Malice &amp; Greed</t>
  </si>
  <si>
    <t xml:space="preserve">From Dusk To Dawn</t>
  </si>
  <si>
    <t xml:space="preserve">8 user reviews</t>
  </si>
  <si>
    <t xml:space="preserve">Guardians of Dao</t>
  </si>
  <si>
    <t xml:space="preserve">Tabletop Hero</t>
  </si>
  <si>
    <t xml:space="preserve">Valefor</t>
  </si>
  <si>
    <t xml:space="preserve">Greedy Darts</t>
  </si>
  <si>
    <t xml:space="preserve">Kinny and the Cosmic Cauldron</t>
  </si>
  <si>
    <t xml:space="preserve">Business 98</t>
  </si>
  <si>
    <t xml:space="preserve">2 user reviews</t>
  </si>
  <si>
    <t xml:space="preserve">Dawncaster | The RPG Cardventure</t>
  </si>
  <si>
    <t xml:space="preserve">TEKO</t>
  </si>
  <si>
    <t xml:space="preserve">MIYAMOTO S</t>
  </si>
  <si>
    <t xml:space="preserve">Fogpiercer</t>
  </si>
  <si>
    <t xml:space="preserve">Aurora Defense</t>
  </si>
  <si>
    <t xml:space="preserve">Battle Train</t>
  </si>
  <si>
    <t xml:space="preserve">Arcane Ascent</t>
  </si>
  <si>
    <t xml:space="preserve">Vault of the Void</t>
  </si>
  <si>
    <t xml:space="preserve">Quattro Synchro</t>
  </si>
  <si>
    <t xml:space="preserve">Faith in Despair</t>
  </si>
  <si>
    <t xml:space="preserve">Padoria</t>
  </si>
  <si>
    <t xml:space="preserve">Deck of Harvest</t>
  </si>
  <si>
    <t xml:space="preserve">Darkest Cube</t>
  </si>
  <si>
    <t xml:space="preserve">Toads of the Bayou</t>
  </si>
  <si>
    <t xml:space="preserve">Heroes of Magic and Steel</t>
  </si>
  <si>
    <t xml:space="preserve">Skogdal</t>
  </si>
  <si>
    <t xml:space="preserve">Feed the Scorchpot</t>
  </si>
  <si>
    <t xml:space="preserve">Runeveil</t>
  </si>
  <si>
    <t xml:space="preserve">Dicewayfarer</t>
  </si>
  <si>
    <t xml:space="preserve">Dice Gun Commando</t>
  </si>
  <si>
    <t xml:space="preserve">Primal Survivors</t>
  </si>
  <si>
    <t xml:space="preserve">Dice Legends</t>
  </si>
  <si>
    <t xml:space="preserve">Invoker Tactics</t>
  </si>
  <si>
    <t xml:space="preserve">Wukong's Pool</t>
  </si>
  <si>
    <t xml:space="preserve">Monmusu Gladiator</t>
  </si>
  <si>
    <t xml:space="preserve">Dala and the Cursed Forest</t>
  </si>
  <si>
    <t xml:space="preserve">Insider Trading</t>
  </si>
  <si>
    <t xml:space="preserve">Kernel</t>
  </si>
  <si>
    <t xml:space="preserve">Flaregate Network</t>
  </si>
  <si>
    <t xml:space="preserve">Rentlord</t>
  </si>
  <si>
    <t xml:space="preserve">Watchword</t>
  </si>
  <si>
    <t xml:space="preserve">Bossfight Tactics</t>
  </si>
  <si>
    <t xml:space="preserve">Domebreak</t>
  </si>
  <si>
    <t xml:space="preserve">Spinera</t>
  </si>
  <si>
    <t xml:space="preserve">Slot &amp; Dungeons</t>
  </si>
  <si>
    <t xml:space="preserve">Gold and Graves</t>
  </si>
  <si>
    <t xml:space="preserve">Blosharper: Battle of Blossoms</t>
  </si>
  <si>
    <t xml:space="preserve">Dreamcards</t>
  </si>
  <si>
    <t xml:space="preserve">Fantasy of Caocao 2</t>
  </si>
  <si>
    <t xml:space="preserve">Inkborn</t>
  </si>
  <si>
    <t xml:space="preserve">Fairy Circle</t>
  </si>
  <si>
    <t xml:space="preserve">Poker Dungeon : Joker's Madness</t>
  </si>
  <si>
    <t xml:space="preserve">Spinny Dungeon</t>
  </si>
  <si>
    <t xml:space="preserve">Dice × Deck</t>
  </si>
  <si>
    <t xml:space="preserve">Dice of Kalma</t>
  </si>
  <si>
    <t xml:space="preserve">LONESTAR</t>
  </si>
  <si>
    <t xml:space="preserve">Blessed To Die</t>
  </si>
  <si>
    <t xml:space="preserve">Tetra Tactics</t>
  </si>
  <si>
    <t xml:space="preserve">English Vocab Rush</t>
  </si>
  <si>
    <t xml:space="preserve">Fruitbearer</t>
  </si>
  <si>
    <t xml:space="preserve">Re:Night</t>
  </si>
  <si>
    <t xml:space="preserve">Decks Of Power</t>
  </si>
  <si>
    <t xml:space="preserve">Cursed Words: The Word Game That Isn't</t>
  </si>
  <si>
    <t xml:space="preserve">Hunt the Pale Gods</t>
  </si>
  <si>
    <t xml:space="preserve">Goaldeck</t>
  </si>
  <si>
    <t xml:space="preserve">Card Monarchy</t>
  </si>
  <si>
    <t xml:space="preserve">Duck N Roll</t>
  </si>
  <si>
    <t xml:space="preserve">Burn With Me</t>
  </si>
  <si>
    <t xml:space="preserve">Questwood</t>
  </si>
  <si>
    <t xml:space="preserve">Islantiles</t>
  </si>
  <si>
    <t xml:space="preserve">Heroes of Magic &amp; Cards</t>
  </si>
  <si>
    <t xml:space="preserve">Cult Leader Simulator</t>
  </si>
  <si>
    <t xml:space="preserve">Dog And Goblin</t>
  </si>
  <si>
    <t xml:space="preserve">Dicefolk</t>
  </si>
  <si>
    <t xml:space="preserve">Kingdom Loop</t>
  </si>
  <si>
    <t xml:space="preserve">Theseus Protocol</t>
  </si>
  <si>
    <t xml:space="preserve">Roots of Yggdrasil</t>
  </si>
  <si>
    <t xml:space="preserve">Slot or Not</t>
  </si>
  <si>
    <t xml:space="preserve">Birdigo - bird word game</t>
  </si>
  <si>
    <t xml:space="preserve">Souls of White Star</t>
  </si>
  <si>
    <t xml:space="preserve">Malys</t>
  </si>
  <si>
    <t xml:space="preserve">Succubus Forest</t>
  </si>
  <si>
    <t xml:space="preserve">我独自飞升成仙</t>
  </si>
  <si>
    <t xml:space="preserve">Gemblades</t>
  </si>
  <si>
    <t xml:space="preserve">Kodama Battles</t>
  </si>
  <si>
    <t xml:space="preserve">Loopstructor</t>
  </si>
  <si>
    <t xml:space="preserve">Three Kingdom: The Journey</t>
  </si>
  <si>
    <t xml:space="preserve">Ancient Gods</t>
  </si>
  <si>
    <t xml:space="preserve">NoEL - Nothing on Elysion Line</t>
  </si>
  <si>
    <t xml:space="preserve">KindFolx</t>
  </si>
  <si>
    <t xml:space="preserve">Three Kingdoms Poker</t>
  </si>
  <si>
    <t xml:space="preserve">04 / 财务模型（黄色单元格可改）</t>
  </si>
  <si>
    <t xml:space="preserve">默认：$19.99 / ¥58；平均实收 75%；开发者分成 60%</t>
  </si>
  <si>
    <t xml:space="preserve">售价（¥）</t>
  </si>
  <si>
    <t xml:space="preserve">回归截距</t>
  </si>
  <si>
    <t xml:space="preserve">售价（$）</t>
  </si>
  <si>
    <t xml:space="preserve">回归斜率</t>
  </si>
  <si>
    <t xml:space="preserve">平均实收率</t>
  </si>
  <si>
    <t xml:space="preserve">开发者分成</t>
  </si>
  <si>
    <t xml:space="preserve">净收入率</t>
  </si>
  <si>
    <t xml:space="preserve">每份净收入（¥）</t>
  </si>
  <si>
    <t xml:space="preserve">每份净收入（$）</t>
  </si>
  <si>
    <t xml:space="preserve">4.1 预算与回本线</t>
  </si>
  <si>
    <t xml:space="preserve">方案</t>
  </si>
  <si>
    <t xml:space="preserve">周期（月）</t>
  </si>
  <si>
    <t xml:space="preserve">月成本（¥）</t>
  </si>
  <si>
    <t xml:space="preserve">外包（¥）</t>
  </si>
  <si>
    <t xml:space="preserve">总预算（¥）</t>
  </si>
  <si>
    <t xml:space="preserve">回本销量</t>
  </si>
  <si>
    <t xml:space="preserve">成熟样本分位</t>
  </si>
  <si>
    <t xml:space="preserve">精简</t>
  </si>
  <si>
    <t xml:space="preserve">标准</t>
  </si>
  <si>
    <t xml:space="preserve">充裕</t>
  </si>
  <si>
    <t xml:space="preserve">4.2 销量情景</t>
  </si>
  <si>
    <t xml:space="preserve">净收入（¥）</t>
  </si>
  <si>
    <t xml:space="preserve">约需评论</t>
  </si>
  <si>
    <t xml:space="preserve">含义</t>
  </si>
  <si>
    <t xml:space="preserve">回本线附近</t>
  </si>
  <si>
    <t xml:space="preserve">4.3 价格敏感性（净收入，¥）</t>
  </si>
  <si>
    <t xml:space="preserve">定价（¥）</t>
  </si>
  <si>
    <t xml:space="preserve">每份净收入</t>
  </si>
  <si>
    <t xml:space="preserve">5,000 份</t>
  </si>
  <si>
    <t xml:space="preserve">10,000 份</t>
  </si>
  <si>
    <t xml:space="preserve">20,000 份</t>
  </si>
  <si>
    <t xml:space="preserve">50,000 份</t>
  </si>
  <si>
    <t xml:space="preserve">4.4 评论目标（由回归式反推）</t>
  </si>
  <si>
    <t xml:space="preserve">预测销量</t>
  </si>
  <si>
    <t xml:space="preserve">对应净收入（¥）</t>
  </si>
  <si>
    <t xml:space="preserve">05 / Roguelike Deckbuilder 标签全集（949 款）</t>
  </si>
  <si>
    <t xml:space="preserve">Gamalytic 估算数据，抓取日 2026-10-19；按估算销量降序</t>
  </si>
  <si>
    <t xml:space="preserve">价格USD</t>
  </si>
  <si>
    <t xml:space="preserve">评分</t>
  </si>
  <si>
    <t xml:space="preserve">标签（前 8）</t>
  </si>
  <si>
    <t xml:space="preserve">Roguelike Deckbuilder · Card Game · Card Battler · Roguelike · Deckbuilding · Turn-Based · Strategy · Singleplayer</t>
  </si>
  <si>
    <t xml:space="preserve">Roguelike · Card Game · Deckbuilding · Co-op · Strategy · Roguelike Deckbuilder · Multiplayer · Turn-Based Combat</t>
  </si>
  <si>
    <t xml:space="preserve">Card Game · Roguelike · Roguelike Deckbuilder · Deckbuilding · Singleplayer · Strategy · Pixel Graphics · Replay Value</t>
  </si>
  <si>
    <t xml:space="preserve">ROUNDS</t>
  </si>
  <si>
    <t xml:space="preserve">Landfall</t>
  </si>
  <si>
    <t xml:space="preserve">Multiplayer · Fighting · Local Multiplayer · 2D Fighter · Deckbuilding · Roguelite · Action · PvP</t>
  </si>
  <si>
    <t xml:space="preserve">Auto Battler · Inventory Management · Strategy · PvP · Roguelike Deckbuilder · Asynchronous Multiplayer · Multiplayer · Roguelike</t>
  </si>
  <si>
    <t xml:space="preserve">Card Battler · Roguelite · Card Game · Deckbuilding · Turn-Based Tactics · Roguelike · Turn-Based Strategy · Difficult</t>
  </si>
  <si>
    <t xml:space="preserve">Vampire Crawlers: The Turbo Wildcard from Vampire Survivors</t>
  </si>
  <si>
    <t xml:space="preserve">poncle; Nosebleed Interactive</t>
  </si>
  <si>
    <t xml:space="preserve">Card Battler · Dungeon Crawler · Deckbuilding · Strategy · Roguelike · Pixel Graphics · Card Game · Action</t>
  </si>
  <si>
    <t xml:space="preserve">Strategy · RPG · Auto Battler · Roguelike · Card Game · Deckbuilding · Roguelike Deckbuilder · Multiplayer</t>
  </si>
  <si>
    <t xml:space="preserve">月圆之夜 (Night of Full Moon)</t>
  </si>
  <si>
    <t xml:space="preserve">Giant Games</t>
  </si>
  <si>
    <t xml:space="preserve">Card Game · Free to Play · Strategy · Deckbuilding · Card Battler · Indie · Adventure · Roguelite</t>
  </si>
  <si>
    <t xml:space="preserve">Card Battler · Roguelite · Deckbuilding · Choices Matter · RPG · Turn-Based · Card Game · Story Rich</t>
  </si>
  <si>
    <t xml:space="preserve">RACCOIN: Coin Pusher Roguelike</t>
  </si>
  <si>
    <t xml:space="preserve">Doraccoon</t>
  </si>
  <si>
    <t xml:space="preserve">Strategy · Roguelike · Deckbuilding · Roguelike Deckbuilder · Singleplayer · Casual · Turn-Based Strategy · Roguelite</t>
  </si>
  <si>
    <t xml:space="preserve">Roguelike Deckbuilder · Deckbuilding · Roguelite · Strategy · Procedural Generation · Pixel Graphics · Simulation · Roguelike</t>
  </si>
  <si>
    <t xml:space="preserve">Dicey Dungeons</t>
  </si>
  <si>
    <t xml:space="preserve">Terry Cavanagh</t>
  </si>
  <si>
    <t xml:space="preserve">Roguelike Deckbuilder · Card Battler · Deckbuilding · Roguelite · Roguelike · Indie · Turn-Based · Strategy</t>
  </si>
  <si>
    <t xml:space="preserve">Hand of Fate</t>
  </si>
  <si>
    <t xml:space="preserve">Defiant Development</t>
  </si>
  <si>
    <t xml:space="preserve">Roguelike Deckbuilder · Roguelike · Deckbuilding · Card Game · Action Roguelike · RPG · Singleplayer · Action</t>
  </si>
  <si>
    <t xml:space="preserve">Casual · Adventure · Tactical · Turn-Based Strategy · Roguelike Deckbuilder · Card Game · Roguelike · Deckbuilding</t>
  </si>
  <si>
    <t xml:space="preserve">Replay Value · Inventory Management · Turn-Based · Roguelike Deckbuilder · Deckbuilding · 2D · Roguelike · Fantasy</t>
  </si>
  <si>
    <t xml:space="preserve">Roguelike Deckbuilder · Card Game · Roguelike · Deckbuilding · Turn-Based Strategy · Strategy · Turn-Based Tactics · Singleplayer</t>
  </si>
  <si>
    <t xml:space="preserve">Roguelike Deckbuilder · Anime · RPG · Strategy · Indie · Adventure · Roguelite · Card Game</t>
  </si>
  <si>
    <t xml:space="preserve">Hand of Fate 2</t>
  </si>
  <si>
    <t xml:space="preserve">RPG · Roguelike Deckbuilder · Card Game · Deckbuilding · Action · Roguelite · Indie · Action Roguelike</t>
  </si>
  <si>
    <t xml:space="preserve">Strategy · RPG · Roguelike · Auto Battler · Roguelite · Fantasy · Card Game · Deckbuilding</t>
  </si>
  <si>
    <t xml:space="preserve">Roguelike Deckbuilder · Replay Value · Arcade · Strategy · Roguelite · Gambling · Turn-Based Strategy · Singleplayer</t>
  </si>
  <si>
    <t xml:space="preserve">Replay Value · Strategy RPG · Roguelike · Turn-Based · Pixel Graphics · Turn-Based Strategy · Roguelike Deckbuilder · Strategy</t>
  </si>
  <si>
    <t xml:space="preserve">Strategy · Action · Turn-Based Tactics · Deckbuilding · Turn-Based Combat · Martial Arts · Roguelike Deckbuilder · Turn-Based</t>
  </si>
  <si>
    <t xml:space="preserve">HELLCARD</t>
  </si>
  <si>
    <t xml:space="preserve">Thing Trunk</t>
  </si>
  <si>
    <t xml:space="preserve">Co-op · Roguelike · Card Battler · Roguelite · RPG · Deckbuilding · Turn-Based Combat · Strategy</t>
  </si>
  <si>
    <t xml:space="preserve">Dungeons &amp; Degenerate Gamblers</t>
  </si>
  <si>
    <t xml:space="preserve">Purple Moss Collectors</t>
  </si>
  <si>
    <t xml:space="preserve">Roguelike Deckbuilder · Roguelike · Strategy · Card Game · Deckbuilding · Card Battler · Roguelite · Singleplayer</t>
  </si>
  <si>
    <t xml:space="preserve">RPG · Indie · Card Game · Deckbuilding · Singleplayer · Strategy · Roguelite · Turn-Based</t>
  </si>
  <si>
    <t xml:space="preserve">Book of Demons</t>
  </si>
  <si>
    <t xml:space="preserve">Dungeon Crawler · Roguelike Deckbuilder · Hack and Slash · RPG · Deckbuilding · Singleplayer · Isometric · Action RPG</t>
  </si>
  <si>
    <t xml:space="preserve">Strategy · Card Game · Roguelike · Tabletop · Casual · 3D · Mahjong · Deckbuilding</t>
  </si>
  <si>
    <t xml:space="preserve">DICEOMANCER</t>
  </si>
  <si>
    <t xml:space="preserve">超厚皮猪猪 Ultra Piggy Studio</t>
  </si>
  <si>
    <t xml:space="preserve">Strategy · Card Game · Roguelike Deckbuilder · Card Battler · Colorful · Deckbuilding · Roguelike · First-Person</t>
  </si>
  <si>
    <t xml:space="preserve">Ratropolis</t>
  </si>
  <si>
    <t xml:space="preserve">Cassel Games</t>
  </si>
  <si>
    <t xml:space="preserve">2D · Deckbuilding · Card Battler · Roguelite · Strategy · Singleplayer · Card Game · Simulation</t>
  </si>
  <si>
    <t xml:space="preserve">Strategy · Roguelike · Auto Battler · RPG · Roguelite · Dungeon Crawler · Fantasy · Card Game</t>
  </si>
  <si>
    <t xml:space="preserve">Card Battler · Roguelike Deckbuilder · Card Game · Difficult · Turn-Based Tactics · Roguelite · Deckbuilding · Roguelike</t>
  </si>
  <si>
    <t xml:space="preserve">Astrea: Six-Sided Oracles</t>
  </si>
  <si>
    <t xml:space="preserve">Little Leo Games</t>
  </si>
  <si>
    <t xml:space="preserve">Dice · Roguelike Deckbuilder · Card Battler · Card Game · Roguelike · Turn-Based · Strategy · Deckbuilding</t>
  </si>
  <si>
    <t xml:space="preserve">RPG · Card Game · Card Battler · Strategy · Adventure · Replay Value · Turn-Based · Tactical</t>
  </si>
  <si>
    <t xml:space="preserve">Tower Defense · Falling Blocks · Strategy · Roguelite · Deckbuilding · Base Building · 3D · Indie</t>
  </si>
  <si>
    <t xml:space="preserve">Heretic's Fork</t>
  </si>
  <si>
    <t xml:space="preserve">9FingerGames</t>
  </si>
  <si>
    <t xml:space="preserve">Bullet Heaven · Deckbuilding · Tower Defense · Strategy · Roguelike Deckbuilder · Card Game · Action · 2D</t>
  </si>
  <si>
    <t xml:space="preserve">Management · Farming Sim · Simulation · Resource Management · Roguelike Deckbuilder · Deckbuilding · Casual · Card Battler</t>
  </si>
  <si>
    <t xml:space="preserve">Guild of Dungeoneering Ultimate Edition</t>
  </si>
  <si>
    <t xml:space="preserve">Gambrinous</t>
  </si>
  <si>
    <t xml:space="preserve">Roguelike Deckbuilder · Roguelike · Deckbuilding · RPG · Card Game · Turn-Based · Indie · Dungeon Crawler</t>
  </si>
  <si>
    <t xml:space="preserve">Sol Cesto</t>
  </si>
  <si>
    <t xml:space="preserve">Tambouille; Géraud Zucchini; Chariospirale</t>
  </si>
  <si>
    <t xml:space="preserve">Dungeon Crawler · Roguelike · Tactical · Puzzle · Atmospheric · Fantasy · Gambling · Procedural Generation</t>
  </si>
  <si>
    <t xml:space="preserve">Deep Sky Derelicts</t>
  </si>
  <si>
    <t xml:space="preserve">Snowhound Games</t>
  </si>
  <si>
    <t xml:space="preserve">Roguelike Deckbuilder · RPG · Strategy · Card Battler · Deckbuilding · Indie · Turn-Based Combat · Dungeon Crawler</t>
  </si>
  <si>
    <t xml:space="preserve">Gambonanza</t>
  </si>
  <si>
    <t xml:space="preserve">Blukulélé</t>
  </si>
  <si>
    <t xml:space="preserve">Roguelike Deckbuilder · Chess · Turn-Based Strategy · Replay Value · Arcade · Singleplayer · Board Game · Strategy</t>
  </si>
  <si>
    <t xml:space="preserve">Die in the Dungeon</t>
  </si>
  <si>
    <t xml:space="preserve">ATICO</t>
  </si>
  <si>
    <t xml:space="preserve">Roguelike · Strategy · Deckbuilding · Card Game · Roguelike Deckbuilder · Turn-Based Combat · Card Battler · Indie</t>
  </si>
  <si>
    <t xml:space="preserve">Roguelike Deckbuilder · Deckbuilding · Turn-Based Tactics · Roguelite · Difficult · Visual Novel · Card Game · Turn-Based Strategy</t>
  </si>
  <si>
    <t xml:space="preserve">Cardboard Town</t>
  </si>
  <si>
    <t xml:space="preserve">Stratera Games; cukuto</t>
  </si>
  <si>
    <t xml:space="preserve">Building · City Builder · Card Game · Stylized · Resource Management · Simulation · Roguelite · Turn-Based Strategy</t>
  </si>
  <si>
    <t xml:space="preserve">Ring of Pain</t>
  </si>
  <si>
    <t xml:space="preserve">Simon Boxer; Twice Different</t>
  </si>
  <si>
    <t xml:space="preserve">Dungeon Crawler · Card Game · Roguelite · Turn-Based · Roguelike · Difficult · Dark · Strategy</t>
  </si>
  <si>
    <t xml:space="preserve">Seraph's Last Stand</t>
  </si>
  <si>
    <t xml:space="preserve">Action Roguelike · Bullet Hell · Casual · Roguelike Deckbuilder · 2D · Pixel Graphics · Roguelike · Magic</t>
  </si>
  <si>
    <t xml:space="preserve">Banners of Ruin</t>
  </si>
  <si>
    <t xml:space="preserve">MonteBearo</t>
  </si>
  <si>
    <t xml:space="preserve">Roguelike Deckbuilder · Card Battler · Roguelike · Card Game · Difficult · Turn-Based · Deckbuilding · Strategy</t>
  </si>
  <si>
    <t xml:space="preserve">Dream of Corpse Lady</t>
  </si>
  <si>
    <t xml:space="preserve">HT3 Studio</t>
  </si>
  <si>
    <t xml:space="preserve">Card Game · Strategy · Card Battler · Sexual Content · Turn-Based Tactics · Female Protagonist · Strategy RPG · Roguelite</t>
  </si>
  <si>
    <t xml:space="preserve">Roguelike Deckbuilder · Creature Collector · Card Game · Card Battler · Turn-Based Combat · Deckbuilding · Strategy · Turn-Based Strategy</t>
  </si>
  <si>
    <t xml:space="preserve">Take Me To The Dungeon!!</t>
  </si>
  <si>
    <t xml:space="preserve">Hanabi Fuusen</t>
  </si>
  <si>
    <t xml:space="preserve">Sexual Content · Nudity · Hentai · Card Game · Roguelike Deckbuilder · Roguelite · Anime · RPG</t>
  </si>
  <si>
    <t xml:space="preserve">Math Tide</t>
  </si>
  <si>
    <t xml:space="preserve">Roguelike · Strategy · Turn-Based Tactics · Card Battler · Roguelike Deckbuilder · Turn-Based Strategy · Turn-Based Combat · Replay Value</t>
  </si>
  <si>
    <t xml:space="preserve">Roguelike Deckbuilder · Card Game · Strategy · Roguelike · Turn-Based Strategy · Sci-fi · Pixel Graphics · Turn-Based Tactics</t>
  </si>
  <si>
    <t xml:space="preserve">Dice &amp; Fold</t>
  </si>
  <si>
    <t xml:space="preserve">Tinymice Entertainment</t>
  </si>
  <si>
    <t xml:space="preserve">Card Battler · Dungeon Crawler · Roguelike Deckbuilder · Turn-Based Combat · Roguelike · Dice · Deckbuilding · Solitaire</t>
  </si>
  <si>
    <t xml:space="preserve">Witch's Apocalyptic Journey</t>
  </si>
  <si>
    <t xml:space="preserve">MeowAlive</t>
  </si>
  <si>
    <t xml:space="preserve">Roguelike Deckbuilder · Card Game · Anime · Level Editor · Pixel Graphics · JRPG · Deckbuilding · Card Battler</t>
  </si>
  <si>
    <t xml:space="preserve">Meme Mayhem</t>
  </si>
  <si>
    <t xml:space="preserve">Cr3 Studio</t>
  </si>
  <si>
    <t xml:space="preserve">Roguelike Deckbuilder · Card Game · Roguelike · Singleplayer · Memes · Auto Battler · Roguelite · Strategy</t>
  </si>
  <si>
    <t xml:space="preserve">Roguelike Deckbuilder · Roguelike · Turn-Based Tactics · Hex Grid · Card Game · Roguelite · Strategy · Pixel Graphics</t>
  </si>
  <si>
    <t xml:space="preserve">RedBoon</t>
  </si>
  <si>
    <t xml:space="preserve">Fantasy · Dark Fantasy · Zombies · Roguelike Deckbuilder · Card Game · Card Battler · Roguelike · Deckbuilding</t>
  </si>
  <si>
    <t xml:space="preserve">Inventory Management · Loot · Roguelite · Dungeon Crawler · Pixel Graphics · Roguelike · RPG · Character Customization</t>
  </si>
  <si>
    <t xml:space="preserve">Overdungeon</t>
  </si>
  <si>
    <t xml:space="preserve">Pocketpair</t>
  </si>
  <si>
    <t xml:space="preserve">Strategy · Indie · Roguelike Deckbuilder · RPG · Casual · Card Battler · Deckbuilding · Roguelite</t>
  </si>
  <si>
    <t xml:space="preserve">Black Jacket</t>
  </si>
  <si>
    <t xml:space="preserve">Mi'pu'mi Games GmbH</t>
  </si>
  <si>
    <t xml:space="preserve">Card Game · Roguelike Deckbuilder · Roguelike · Deckbuilding · Singleplayer · Roguelite · Replay Value · Turn-Based</t>
  </si>
  <si>
    <t xml:space="preserve">Rune Dice</t>
  </si>
  <si>
    <t xml:space="preserve">Smart Raven Studio</t>
  </si>
  <si>
    <t xml:space="preserve">Roguelike Deckbuilder · Dungeon Crawler · Roguelite · Roguelike · RPG · Strategy · 2D · Casual</t>
  </si>
  <si>
    <t xml:space="preserve">Last Evil</t>
  </si>
  <si>
    <t xml:space="preserve">Flametorch</t>
  </si>
  <si>
    <t xml:space="preserve">Sexual Content · Nudity · Hentai · Deckbuilding · Card Battler · Roguelike · Female Protagonist · Card Game</t>
  </si>
  <si>
    <t xml:space="preserve">Card Battler · Turn-Based Tactics · Tactical RPG · Roguelite · Dungeon Crawler · Turn-Based · Perma Death · Roguelike Deckbuilder</t>
  </si>
  <si>
    <t xml:space="preserve">Roguelike Deckbuilder · Card Game · Replay Value · Roguelike · Card Battler · Cartoony · Turn-Based · Deckbuilding</t>
  </si>
  <si>
    <t xml:space="preserve">RUNGORE: Beginner Experience</t>
  </si>
  <si>
    <t xml:space="preserve">YOUR_MOM'S_HP; RavenJm</t>
  </si>
  <si>
    <t xml:space="preserve">Roguelike Deckbuilder · Card Game · Card Battler · Roguelike · Strategy · Roguelite · Deckbuilding · Adventure</t>
  </si>
  <si>
    <t xml:space="preserve">Rana Card</t>
  </si>
  <si>
    <t xml:space="preserve">VisionRana</t>
  </si>
  <si>
    <t xml:space="preserve">Casual · Card Game · Roguelite · Deckbuilding · Strategy · Agriculture · 2D · Indie</t>
  </si>
  <si>
    <t xml:space="preserve">Menace from the Deep</t>
  </si>
  <si>
    <t xml:space="preserve">Flat Lab</t>
  </si>
  <si>
    <t xml:space="preserve">Lovecraftian · Roguelike Deckbuilder · Deckbuilding · Roguelike · Card Battler · Dark · Card Game · Indie</t>
  </si>
  <si>
    <t xml:space="preserve">Omelet You Cook</t>
  </si>
  <si>
    <t xml:space="preserve">Dan Schumacher; Hjalte Tagmose</t>
  </si>
  <si>
    <t xml:space="preserve">Roguelike Deckbuilder · Cooking · Physics · Replay Value · Roguelite · Cozy · Animals · Action Roguelike</t>
  </si>
  <si>
    <t xml:space="preserve">Roguelike Deckbuilder · Auto Battler · Card Battler · Roguelike · Card Game · Deckbuilding · Dungeon Crawler · Roguelite</t>
  </si>
  <si>
    <t xml:space="preserve">Necroking</t>
  </si>
  <si>
    <t xml:space="preserve">KORO.GAMES</t>
  </si>
  <si>
    <t xml:space="preserve">Turn-Based Tactics · Roguelite · Deckbuilding · Card Game · Pixel Graphics · Roguelike Deckbuilder · Procedural Generation · Tactical</t>
  </si>
  <si>
    <t xml:space="preserve">Spider Nest Games</t>
  </si>
  <si>
    <t xml:space="preserve">Indie · Roguelike Deckbuilder · Deckbuilding · Choices Matter · Strategy · Card Battler · Card Game · Roguelite</t>
  </si>
  <si>
    <t xml:space="preserve">Tower Tactics: Liberation</t>
  </si>
  <si>
    <t xml:space="preserve">asraworks</t>
  </si>
  <si>
    <t xml:space="preserve">Tower Defense · Roguelike Deckbuilder · Card Battler · Card Game · Roguelike · Deckbuilding · Strategy · Singleplayer</t>
  </si>
  <si>
    <t xml:space="preserve">Choice of Life: Middle Ages</t>
  </si>
  <si>
    <t xml:space="preserve">Blazing Planet Studio</t>
  </si>
  <si>
    <t xml:space="preserve">Card Game · Singleplayer · Choices Matter · Strategy · Indie · Medieval · Choose Your Own Adventure · Turn-Based</t>
  </si>
  <si>
    <t xml:space="preserve">SpellRogue</t>
  </si>
  <si>
    <t xml:space="preserve">Guidelight Games</t>
  </si>
  <si>
    <t xml:space="preserve">Deckbuilding · Dice · Roguelike Deckbuilder · Card Battler · Difficult · Card Game · Roguelite · Dark Fantasy</t>
  </si>
  <si>
    <t xml:space="preserve">Dice A Million</t>
  </si>
  <si>
    <t xml:space="preserve">countlessnights</t>
  </si>
  <si>
    <t xml:space="preserve">Dice · Roguelike · Roguelike Deckbuilder · Deckbuilding · Board Game · Singleplayer · Replay Value · Casual</t>
  </si>
  <si>
    <t xml:space="preserve">War · Roguelike Deckbuilder · Card Game · Strategy · Replay Value · Deckbuilding · Roguelike · Card Battler</t>
  </si>
  <si>
    <t xml:space="preserve">Roguelike · Inventory Management · Roguelike Deckbuilder · Choices Matter · Difficult · Roguelite · 2D · Dungeon Crawler</t>
  </si>
  <si>
    <t xml:space="preserve">Combolands: Roguelike Citybuilder</t>
  </si>
  <si>
    <t xml:space="preserve">Crux Games</t>
  </si>
  <si>
    <t xml:space="preserve">Strategy · City Builder · Roguelike · Roguelite · Roguelike Deckbuilder · Pixel Graphics · Deckbuilding · 2D</t>
  </si>
  <si>
    <t xml:space="preserve">Aotenjo: Infinite Hands</t>
  </si>
  <si>
    <t xml:space="preserve">XO Cat</t>
  </si>
  <si>
    <t xml:space="preserve">Strategy · Roguelike Deckbuilder · Deckbuilding · Resource Management · Replay Value · Card Game · Roguelike · 2D</t>
  </si>
  <si>
    <t xml:space="preserve">Bingle Bingle</t>
  </si>
  <si>
    <t xml:space="preserve">Knitting Games</t>
  </si>
  <si>
    <t xml:space="preserve">Gambling · Replay Value · Pixel Graphics · Strategy · Turn-Based Tactics · Roguelite · Tabletop · 2D</t>
  </si>
  <si>
    <t xml:space="preserve">Frostrain</t>
  </si>
  <si>
    <t xml:space="preserve">STEWDIO; nemonan</t>
  </si>
  <si>
    <t xml:space="preserve">Roguelike Deckbuilder · Strategy · Trains · Deckbuilding · Post-apocalyptic · Simulation · Roguelike · Indie</t>
  </si>
  <si>
    <t xml:space="preserve">Roguelike Deckbuilder · Anime · Strategy · Card Battler · Roguelike · Card Game · Deckbuilding · Singleplayer</t>
  </si>
  <si>
    <t xml:space="preserve">GWENT: Rogue Mage (Single-Player Expansion)</t>
  </si>
  <si>
    <t xml:space="preserve">CD PROJEKT RED</t>
  </si>
  <si>
    <t xml:space="preserve">Strategy · Card Game · Board Game · Puzzle · Roguelike · Turn-Based Strategy · Card Battler · 2D</t>
  </si>
  <si>
    <t xml:space="preserve">Breachway</t>
  </si>
  <si>
    <t xml:space="preserve">Edgeflow Studio</t>
  </si>
  <si>
    <t xml:space="preserve">Strategy · Roguelike · Card Game · Deckbuilding · Roguelike Deckbuilder · Turn-Based Combat · Card Battler · Roguelite</t>
  </si>
  <si>
    <t xml:space="preserve">Monster Slayers</t>
  </si>
  <si>
    <t xml:space="preserve">Nerdook Productions</t>
  </si>
  <si>
    <t xml:space="preserve">Roguelike Deckbuilder · Card Battler · Card Game · RPG · Roguelite · Deckbuilding · Turn-Based · Singleplayer</t>
  </si>
  <si>
    <t xml:space="preserve">RUNGORE</t>
  </si>
  <si>
    <t xml:space="preserve">Trading Card Game · Indie · Card Game · Card Battler · Real Time Tactics · Difficult · Replay Value · Strategy RPG</t>
  </si>
  <si>
    <t xml:space="preserve">Spin Hero</t>
  </si>
  <si>
    <t xml:space="preserve">Sphere Studios</t>
  </si>
  <si>
    <t xml:space="preserve">Roguelike · Auto Battler · Roguelike Deckbuilder · Indie · Management · Choices Matter · Procedural Generation · Strategy</t>
  </si>
  <si>
    <t xml:space="preserve">Naiive</t>
  </si>
  <si>
    <t xml:space="preserve">Strategy · Roguelike Deckbuilder · Deckbuilding · Singleplayer · Roguelike · Turn-Based · Replay Value · Capitalism</t>
  </si>
  <si>
    <t xml:space="preserve">Apokerlypse</t>
  </si>
  <si>
    <t xml:space="preserve">Breaker Games</t>
  </si>
  <si>
    <t xml:space="preserve">Strategy · Roguelike · Roguelike Deckbuilder · Multiplayer · Singleplayer · Casual · Deckbuilding · Asynchronous Multiplayer</t>
  </si>
  <si>
    <t xml:space="preserve">Half-Demon Shinobi</t>
  </si>
  <si>
    <t xml:space="preserve">樹懶叫工作室; 紳士吉娃; Maker製造機</t>
  </si>
  <si>
    <t xml:space="preserve">Nudity · Sexual Content · Hentai · Roguelite · Card Game · Female Protagonist · Casual · Ninja</t>
  </si>
  <si>
    <t xml:space="preserve">Beneath Oresa</t>
  </si>
  <si>
    <t xml:space="preserve">Broken Spear Inc.</t>
  </si>
  <si>
    <t xml:space="preserve">Roguelike Deckbuilder · Deckbuilding · Card Game · Strategy · Roguelike · 3D · Hand-drawn · Third Person</t>
  </si>
  <si>
    <t xml:space="preserve">The Loopler</t>
  </si>
  <si>
    <t xml:space="preserve">Mheep</t>
  </si>
  <si>
    <t xml:space="preserve">Roguelike Deckbuilder · Roguelite · Strategy · Casual · Deckbuilding · Roguelike · Score Attack · Racing</t>
  </si>
  <si>
    <t xml:space="preserve">Terracards</t>
  </si>
  <si>
    <t xml:space="preserve">Pixel Purrfect</t>
  </si>
  <si>
    <t xml:space="preserve">Early Access · Strategy · Roguelike Deckbuilder · Deckbuilding · Roguelite · Casual · Management · Capitalism</t>
  </si>
  <si>
    <t xml:space="preserve">One Deck Dungeon</t>
  </si>
  <si>
    <t xml:space="preserve">Handelabra Games Inc.</t>
  </si>
  <si>
    <t xml:space="preserve">Dungeon Crawler · Board Game · Roguelite · Perma Death · Card Game · Tabletop · Roguelike · Female Protagonist</t>
  </si>
  <si>
    <t xml:space="preserve">LEAP Game Studios; Tiny Ghoul</t>
  </si>
  <si>
    <t xml:space="preserve">Roguelike Deckbuilder · Turn-Based Combat · Roguelike · Turn-Based Strategy · Roguelite · Creature Collector · Strategy · Singleplayer</t>
  </si>
  <si>
    <t xml:space="preserve">Cubic Cosmos</t>
  </si>
  <si>
    <t xml:space="preserve">Inkstone Atelier</t>
  </si>
  <si>
    <t xml:space="preserve">Roguelike Deckbuilder · Deckbuilding · Card Battler · Roguelike · Card Game · Strategy · Tower Defense · Turn-Based Combat</t>
  </si>
  <si>
    <t xml:space="preserve">As We Descend</t>
  </si>
  <si>
    <t xml:space="preserve">Box Dragon</t>
  </si>
  <si>
    <t xml:space="preserve">Early Access · Roguelike Deckbuilder · Card Battler · Card Game · Roguelike · Deckbuilding · Turn-Based Tactics · Roguelite</t>
  </si>
  <si>
    <t xml:space="preserve">Another Farm Roguelike: Rebirth</t>
  </si>
  <si>
    <t xml:space="preserve">Zabbo Games</t>
  </si>
  <si>
    <t xml:space="preserve">Roguelike Deckbuilder · Turn-Based Strategy · Deckbuilding · Farming Sim · Strategy · Pixel Graphics · Roguelike · Roguelite</t>
  </si>
  <si>
    <t xml:space="preserve">Shogun Showdown: Prologue</t>
  </si>
  <si>
    <t xml:space="preserve">Turn-Based Tactics · Roguelite · Martial Arts · Difficult · Card Game · Free to Play · Roguelike · Action RPG</t>
  </si>
  <si>
    <t xml:space="preserve">Kingdom's Deck</t>
  </si>
  <si>
    <t xml:space="preserve">Ivan Aco</t>
  </si>
  <si>
    <t xml:space="preserve">City Builder · Base Building · Roguelike Deckbuilder · Card Game · Colony Sim · Simulation · Survival · Tower Defense</t>
  </si>
  <si>
    <t xml:space="preserve">JJJ</t>
  </si>
  <si>
    <t xml:space="preserve">Roguelike Deckbuilder · Tower Defense · Auto Battler · Automation · Strategy · Inventory Management · Bullet Heaven · Programming</t>
  </si>
  <si>
    <t xml:space="preserve">Mech Armada</t>
  </si>
  <si>
    <t xml:space="preserve">Lioncode Games</t>
  </si>
  <si>
    <t xml:space="preserve">Turn-Based Tactics · Mechs · Roguelite · Deckbuilding · Turn-Based Strategy · Roguelike · Character Customization · 3D</t>
  </si>
  <si>
    <t xml:space="preserve">Lost In Fantaland</t>
  </si>
  <si>
    <t xml:space="preserve">Supernature Studio</t>
  </si>
  <si>
    <t xml:space="preserve">Roguelike Deckbuilder · Strategy · Pixel Graphics · RPG · Indie · Deckbuilding · Card Battler · Turn-Based Tactics</t>
  </si>
  <si>
    <t xml:space="preserve">.Forty-Five</t>
  </si>
  <si>
    <t xml:space="preserve">Microwave Studios</t>
  </si>
  <si>
    <t xml:space="preserve">Roguelike Deckbuilder · Western · Free to Play · Card Game · Roguelite · Roguelike · Deckbuilding · Trading Card Game</t>
  </si>
  <si>
    <t xml:space="preserve">Sunset Routes</t>
  </si>
  <si>
    <t xml:space="preserve">Renka</t>
  </si>
  <si>
    <t xml:space="preserve">Strategy · Anime · Roguelike Deckbuilder · Roguelite · Sailing · Deckbuilding · Casual · Female Protagonist</t>
  </si>
  <si>
    <t xml:space="preserve">Adventure · Singleplayer · RPG · Simulation · Card Game · Strategy · Choices Matter · Casual</t>
  </si>
  <si>
    <t xml:space="preserve">ZZ Games</t>
  </si>
  <si>
    <t xml:space="preserve">Roguelike Deckbuilder · Card Game · Life Sim · Indie · Deckbuilding · Funny · Multiple Endings · Simulation</t>
  </si>
  <si>
    <t xml:space="preserve">FAIRY TAIL: DUNGEONS</t>
  </si>
  <si>
    <t xml:space="preserve">ginolabo</t>
  </si>
  <si>
    <t xml:space="preserve">Roguelike Deckbuilder · Roguelite · Turn-Based · Replay Value · Card Game · Indie · Pixel Graphics · 2D</t>
  </si>
  <si>
    <t xml:space="preserve">Cards of Cthulhu</t>
  </si>
  <si>
    <t xml:space="preserve">Awoker Games</t>
  </si>
  <si>
    <t xml:space="preserve">Action Roguelike · Roguelike Deckbuilder · Card Battler · 3D · Card Game · Deckbuilding · Roguelike · Real-Time</t>
  </si>
  <si>
    <t xml:space="preserve">Death Howl</t>
  </si>
  <si>
    <t xml:space="preserve">The Outer Zone</t>
  </si>
  <si>
    <t xml:space="preserve">Deckbuilding · Card Game · Turn-Based · Tactical · Souls-like · Surreal · Female Protagonist · Atmospheric</t>
  </si>
  <si>
    <t xml:space="preserve">Epic Auto Towers</t>
  </si>
  <si>
    <t xml:space="preserve">Aleksandr Golovkin</t>
  </si>
  <si>
    <t xml:space="preserve">Early Access · Auto Battler · Deckbuilding · Cute · Strategy · Roguelike · Colorful · Card Game</t>
  </si>
  <si>
    <t xml:space="preserve">Goblin Sushi</t>
  </si>
  <si>
    <t xml:space="preserve">Old Cake Factory</t>
  </si>
  <si>
    <t xml:space="preserve">Early Access · Retro · Action · Cooking · Dungeon Crawler · Roguelike Deckbuilder · Roguelike · Deckbuilding</t>
  </si>
  <si>
    <t xml:space="preserve">Rack and Slay</t>
  </si>
  <si>
    <t xml:space="preserve">Ludokultur</t>
  </si>
  <si>
    <t xml:space="preserve">Roguelike · Billiards · Dungeon Crawler · Roguelite · Strategy · 2D · Replay Value · Tactical</t>
  </si>
  <si>
    <t xml:space="preserve">Mad Cookies Studio</t>
  </si>
  <si>
    <t xml:space="preserve">Roguelike Deckbuilder · Card Game · Card Battler · Deckbuilding · Roguelike · Turn-Based · Strategy · Singleplayer</t>
  </si>
  <si>
    <t xml:space="preserve">Three Kingdoms: The Blood Moon</t>
  </si>
  <si>
    <t xml:space="preserve">Kygua Tech</t>
  </si>
  <si>
    <t xml:space="preserve">Roguelike Deckbuilder · Deckbuilding · Card Game · Card Battler · Turn-Based Strategy · Strategy · Turn-Based · Roguelike</t>
  </si>
  <si>
    <t xml:space="preserve">Pawnbarian</t>
  </si>
  <si>
    <t xml:space="preserve">j4nw</t>
  </si>
  <si>
    <t xml:space="preserve">Roguelike · Turn-Based Combat · Chess · Card Game · Puzzle · Board Game · Roguelite · Strategy</t>
  </si>
  <si>
    <t xml:space="preserve">ORX</t>
  </si>
  <si>
    <t xml:space="preserve">johnbell</t>
  </si>
  <si>
    <t xml:space="preserve">Roguelike Deckbuilder · Tower Defense · Building · Card Game · RPG · Roguelike · Replay Value · Deckbuilding</t>
  </si>
  <si>
    <t xml:space="preserve">Roguelike Deckbuilder · Deckbuilding · Roguelike · Strategy · Casual · Singleplayer · Turn-Based Strategy · Indie</t>
  </si>
  <si>
    <t xml:space="preserve">Merge Maestro</t>
  </si>
  <si>
    <t xml:space="preserve">Stingless</t>
  </si>
  <si>
    <t xml:space="preserve">Roguelike Deckbuilder · Strategy · Roguelike · Arcade · Deckbuilding · Turn-Based Strategy · Indie · Singleplayer</t>
  </si>
  <si>
    <t xml:space="preserve">Warriors of the Nile 2</t>
  </si>
  <si>
    <t xml:space="preserve">Stove Studio</t>
  </si>
  <si>
    <t xml:space="preserve">Strategy · Card Game · Turn-Based Strategy · Roguelike · Turn-Based Tactics · Wargame · Deckbuilding · Roguelike Deckbuilder</t>
  </si>
  <si>
    <t xml:space="preserve">Roll</t>
  </si>
  <si>
    <t xml:space="preserve">Joseph Distler</t>
  </si>
  <si>
    <t xml:space="preserve">Dice · Roguelike Deckbuilder · Strategy · Replay Value · Score Attack · Relaxing · Minimalist · Gambling</t>
  </si>
  <si>
    <t xml:space="preserve">SealChain: Call of Blood</t>
  </si>
  <si>
    <t xml:space="preserve">AliveGameStudio</t>
  </si>
  <si>
    <t xml:space="preserve">Roguelike · Lovecraftian · Roguelike Deckbuilder · Bullet Hell · Inventory Management · RPG · Gun Customization · Singleplayer</t>
  </si>
  <si>
    <t xml:space="preserve">Blood Card</t>
  </si>
  <si>
    <t xml:space="preserve">Pixel Cattle Games</t>
  </si>
  <si>
    <t xml:space="preserve">Card Battler · Roguelike Deckbuilder · Card Game · Deckbuilding · Roguelike · Turn-Based · Strategy · Singleplayer</t>
  </si>
  <si>
    <t xml:space="preserve">Toy Smash Kaboom!</t>
  </si>
  <si>
    <t xml:space="preserve">Free Particle</t>
  </si>
  <si>
    <t xml:space="preserve">Auto Battler · PvP · Multiplayer · Asynchronous Multiplayer · Roguelike Deckbuilder · Anime · Cartoon · Casual</t>
  </si>
  <si>
    <t xml:space="preserve">Crop Rotation</t>
  </si>
  <si>
    <t xml:space="preserve">Sprouting Potato</t>
  </si>
  <si>
    <t xml:space="preserve">Roguelike Deckbuilder · Deckbuilding · Card Game · Auto Battler · Farming · Roguelike · Strategy · 2D</t>
  </si>
  <si>
    <t xml:space="preserve">Deck of Ashes</t>
  </si>
  <si>
    <t xml:space="preserve">AYGames</t>
  </si>
  <si>
    <t xml:space="preserve">Card Battler · RPG · Indie · Deckbuilding · Roguelike Deckbuilder · Strategy · Adventure · Roguelite</t>
  </si>
  <si>
    <t xml:space="preserve">Zoominoes</t>
  </si>
  <si>
    <t xml:space="preserve">Starlight Games inc.</t>
  </si>
  <si>
    <t xml:space="preserve">Roguelike Deckbuilder · Deckbuilding · Card Game · Roguelite · Roguelike · Strategy · Singleplayer · Turn-Based Tactics</t>
  </si>
  <si>
    <t xml:space="preserve">Monster Battles</t>
  </si>
  <si>
    <t xml:space="preserve">Fourteen</t>
  </si>
  <si>
    <t xml:space="preserve">Roguelike Deckbuilder · Auto Battler · Turn-Based Tactics · Inventory Management · Strategy · Roguelike · PvP · Cute</t>
  </si>
  <si>
    <t xml:space="preserve">FORWARD: Escape the Fold - Ultimate Edition</t>
  </si>
  <si>
    <t xml:space="preserve">Two Tiny Dice</t>
  </si>
  <si>
    <t xml:space="preserve">Roguelike · Strategy · Card Game · Dungeon Crawler · Turn-Based Tactics · Turn-Based Strategy · Casual · Choices Matter</t>
  </si>
  <si>
    <t xml:space="preserve">Zet Zillions</t>
  </si>
  <si>
    <t xml:space="preserve">OTA IMON Studios</t>
  </si>
  <si>
    <t xml:space="preserve">Space · Roguelike Deckbuilder · Card Game · Card Battler · Deckbuilding · Exploration · Roguelike · Roguelite</t>
  </si>
  <si>
    <t xml:space="preserve">Coin Crypt</t>
  </si>
  <si>
    <t xml:space="preserve">Wishes Ultd.; Greg Lobanov</t>
  </si>
  <si>
    <t xml:space="preserve">Roguelike Deckbuilder · Roguelike · Card Battler · Deckbuilding · Card Game · Indie · RPG · Roguelite</t>
  </si>
  <si>
    <t xml:space="preserve">Tower Escape</t>
  </si>
  <si>
    <t xml:space="preserve">Final Screw</t>
  </si>
  <si>
    <t xml:space="preserve">Roguelite · Roguelike Deckbuilder · Tower Defense · Creature Collector · Indie · Auto Battler · Retro · Perma Death</t>
  </si>
  <si>
    <t xml:space="preserve">Iris and the Giant</t>
  </si>
  <si>
    <t xml:space="preserve">Louis Rigaud</t>
  </si>
  <si>
    <t xml:space="preserve">Roguelike Deckbuilder · Card Game · Roguelike · Card Battler · Deckbuilding · Turn-Based · Dungeon Crawler · Roguelite</t>
  </si>
  <si>
    <t xml:space="preserve">召唤之王 (Supreme Summoner)</t>
  </si>
  <si>
    <t xml:space="preserve">CoolStar Games</t>
  </si>
  <si>
    <t xml:space="preserve">Casual · Online Co-Op · Roguelike Deckbuilder · Singleplayer · Card Battler · Strategy · Turn-Based Tactics · Roguelike</t>
  </si>
  <si>
    <t xml:space="preserve">My Card Is Better Than Your Card!</t>
  </si>
  <si>
    <t xml:space="preserve">Utu Studios</t>
  </si>
  <si>
    <t xml:space="preserve">Roguelike · Card Game · Deckbuilding · Turn-Based · Strategy · Roguelike Deckbuilder · Roguelite · Card Battler</t>
  </si>
  <si>
    <t xml:space="preserve">Roguelike Deckbuilder · Auto Battler · Inventory Management · Roguelike · Roguelite · Strategy · Dungeon Crawler · Tactical RPG</t>
  </si>
  <si>
    <t xml:space="preserve">Pirates Outlaws</t>
  </si>
  <si>
    <t xml:space="preserve">Fabled Game</t>
  </si>
  <si>
    <t xml:space="preserve">Roguelike Deckbuilder · Card Game · Pirates · Turn-Based Strategy · Card Battler · Roguelite · Strategy · Difficult</t>
  </si>
  <si>
    <t xml:space="preserve">Dogpile</t>
  </si>
  <si>
    <t xml:space="preserve">Studio Folly; Toot Games; Foot</t>
  </si>
  <si>
    <t xml:space="preserve">Roguelike Deckbuilder · Physics · Card Game · Hand-drawn · Casual · Relaxing · Puzzle · Arcade</t>
  </si>
  <si>
    <t xml:space="preserve">Trizon</t>
  </si>
  <si>
    <t xml:space="preserve">Ling</t>
  </si>
  <si>
    <t xml:space="preserve">Turn-Based Tactics · Deckbuilding · Strategy · Roguelite · Card Game · Turn-Based Strategy · PvE · Board Game</t>
  </si>
  <si>
    <t xml:space="preserve">Lucky Hunter</t>
  </si>
  <si>
    <t xml:space="preserve">159 Studio</t>
  </si>
  <si>
    <t xml:space="preserve">Deckbuilding · Roguelike Deckbuilder · Automation · Roguelite · Auto Battler · Match 3 · Casual · RPG</t>
  </si>
  <si>
    <t xml:space="preserve">The Royal Writ</t>
  </si>
  <si>
    <t xml:space="preserve">Save Sloth Studios</t>
  </si>
  <si>
    <t xml:space="preserve">Strategy · Roguelike Deckbuilder · Turn-Based Strategy · Card Game · Dark Humor · Turn-Based Combat · Deckbuilding · Tactical</t>
  </si>
  <si>
    <t xml:space="preserve">Poker Quest: Swords and Spades</t>
  </si>
  <si>
    <t xml:space="preserve">Playsaurus</t>
  </si>
  <si>
    <t xml:space="preserve">Card Game · Roguelike · Roguelike Deckbuilder · Deckbuilding · Difficult · Poker · Singleplayer · Strategy</t>
  </si>
  <si>
    <t xml:space="preserve">Fhtagn Simulator</t>
  </si>
  <si>
    <t xml:space="preserve">锁眼工作室</t>
  </si>
  <si>
    <t xml:space="preserve">Deckbuilding · Roguelike Deckbuilder · Lovecraftian · Roguelite · Auto Battler · Automation · Card Game · Turn-Based</t>
  </si>
  <si>
    <t xml:space="preserve">Death Roads: Tournament</t>
  </si>
  <si>
    <t xml:space="preserve">The Knights of Unity</t>
  </si>
  <si>
    <t xml:space="preserve">Strategy · Turn-Based Combat · Roguelike Deckbuilder · Card Game · Racing · Indie · Roguelite · Roguelike</t>
  </si>
  <si>
    <t xml:space="preserve">Nitro Kid</t>
  </si>
  <si>
    <t xml:space="preserve">Wildboy Studios</t>
  </si>
  <si>
    <t xml:space="preserve">Indie · Roguelike Deckbuilder · Isometric · 1980s · Martial Arts · Deckbuilding · Sci-fi · Turn-Based</t>
  </si>
  <si>
    <t xml:space="preserve">Kinnymoms</t>
  </si>
  <si>
    <t xml:space="preserve">Roguelike Deckbuilder · Deckbuilding · Strategy · Physics · Turn-Based Strategy · Roguelike · Cooking · Job Simulator</t>
  </si>
  <si>
    <t xml:space="preserve">Dusklight CO., LTD.</t>
  </si>
  <si>
    <t xml:space="preserve">Roguelike Deckbuilder · Card Game · Singleplayer · Card Battler · Roguelike · Turn-Based · Strategy · Roguelite</t>
  </si>
  <si>
    <t xml:space="preserve">Dice Player One</t>
  </si>
  <si>
    <t xml:space="preserve">KDream</t>
  </si>
  <si>
    <t xml:space="preserve">Roguelike Deckbuilder · Replay Value · Deckbuilding · Tabletop · Roguelike · Singleplayer · Strategy · Casual</t>
  </si>
  <si>
    <t xml:space="preserve">Circadian Dice</t>
  </si>
  <si>
    <t xml:space="preserve">Shuffle Up Games</t>
  </si>
  <si>
    <t xml:space="preserve">Roguelike Deckbuilder · Deckbuilding · Turn-Based Tactics · Singleplayer · Strategy · Card Game · Card Battler · Turn-Based Combat</t>
  </si>
  <si>
    <t xml:space="preserve">Buried Things</t>
  </si>
  <si>
    <t xml:space="preserve">Roguelike · Word Game · Deckbuilding · Casual · Strategy · Roguelike Deckbuilder · Roguelite · Comedy</t>
  </si>
  <si>
    <t xml:space="preserve">Cropdeck</t>
  </si>
  <si>
    <t xml:space="preserve">Piotrek</t>
  </si>
  <si>
    <t xml:space="preserve">Roguelike Deckbuilder · Farming Sim · Strategy · Roguelite · Cozy · Deckbuilding · Card Game · Roguelike</t>
  </si>
  <si>
    <t xml:space="preserve">Dice With Death</t>
  </si>
  <si>
    <t xml:space="preserve">Sea Glass Games</t>
  </si>
  <si>
    <t xml:space="preserve">Turn-Based Strategy · Relaxing · Deckbuilding · Roguelike · Difficult · Board Game · Strategy · Choices Matter</t>
  </si>
  <si>
    <t xml:space="preserve">Meteorfall: Krumit's Tale</t>
  </si>
  <si>
    <t xml:space="preserve">Slothwerks</t>
  </si>
  <si>
    <t xml:space="preserve">Card Game · Roguelite · Deckbuilding · Indie · Strategy · RPG · Roguelike Deckbuilder · Card Battler</t>
  </si>
  <si>
    <t xml:space="preserve">Crush the Industry</t>
  </si>
  <si>
    <t xml:space="preserve">Cognoggin Games</t>
  </si>
  <si>
    <t xml:space="preserve">Roguelike Deckbuilder · Replay Value · Turn-Based · Retro · Pixel Graphics · Roguelike · Strategy · Deckbuilding</t>
  </si>
  <si>
    <t xml:space="preserve">Fate Hunters</t>
  </si>
  <si>
    <t xml:space="preserve">Tower Games</t>
  </si>
  <si>
    <t xml:space="preserve">Roguelike Deckbuilder · Strategy · Card Battler · Card Game · Indie · Deckbuilding · Roguelike · Roguelite</t>
  </si>
  <si>
    <t xml:space="preserve">Phantom Rose</t>
  </si>
  <si>
    <t xml:space="preserve">makaroll</t>
  </si>
  <si>
    <t xml:space="preserve">Roguelike Deckbuilder · Indie · Strategy · Anime · Female Protagonist · Roguelite · Card Game · Singleplayer</t>
  </si>
  <si>
    <t xml:space="preserve">Coin Tavern</t>
  </si>
  <si>
    <t xml:space="preserve">Woven Dream Isle</t>
  </si>
  <si>
    <t xml:space="preserve">Management · Roguelike Deckbuilder · Deckbuilding · Strategy · Roguelite · Procedural Generation · Casual · Singleplayer</t>
  </si>
  <si>
    <t xml:space="preserve">Anomaly Collapse</t>
  </si>
  <si>
    <t xml:space="preserve">RocketPunch Games</t>
  </si>
  <si>
    <t xml:space="preserve">Turn-Based Tactics · Turn-Based Strategy · Turn-Based · Turn-Based Combat · Party-Based RPG · Roguelite · Strategy · Roguelike</t>
  </si>
  <si>
    <t xml:space="preserve">Pluto</t>
  </si>
  <si>
    <t xml:space="preserve">Siege Wizard Interactive</t>
  </si>
  <si>
    <t xml:space="preserve">Strategy · Card Game · Roguelike · Deckbuilding · Dark Fantasy · Atmospheric · Magic · Singleplayer</t>
  </si>
  <si>
    <t xml:space="preserve">Hero of Fate</t>
  </si>
  <si>
    <t xml:space="preserve">Planescape Game Studio</t>
  </si>
  <si>
    <t xml:space="preserve">Real-Time with Pause · RTS · Choices Matter · Choose Your Own Adventure · Roguelite · Fantasy · Survival · Bullet Hell</t>
  </si>
  <si>
    <t xml:space="preserve">Pot's On!</t>
  </si>
  <si>
    <t xml:space="preserve">NotDailyBuildStudio</t>
  </si>
  <si>
    <t xml:space="preserve">Roguelite · Auto Battler · Sexual Content · Roguelike · Female Protagonist · Strategy · 2D · Deckbuilding</t>
  </si>
  <si>
    <t xml:space="preserve">Lewd Gym</t>
  </si>
  <si>
    <t xml:space="preserve">樹懶叫工作室; sloth gamer; Maker製造機</t>
  </si>
  <si>
    <t xml:space="preserve">Sexual Content · Hentai · Roguelite · Casual · Deckbuilding · Card Game · Strategy · Roguelike</t>
  </si>
  <si>
    <t xml:space="preserve">Solitairica</t>
  </si>
  <si>
    <t xml:space="preserve">Righteous Hammer Games</t>
  </si>
  <si>
    <t xml:space="preserve">Roguelike Deckbuilder · Card Battler · Card Game · RPG · Strategy · Indie · Deckbuilding · Turn-Based</t>
  </si>
  <si>
    <t xml:space="preserve">X-Angels</t>
  </si>
  <si>
    <t xml:space="preserve">Barance Studio</t>
  </si>
  <si>
    <t xml:space="preserve">Sexual Content · Hentai · Roguelike Deckbuilder · Superhero · Anime · Card Game · Roguelite · Strategy</t>
  </si>
  <si>
    <t xml:space="preserve">Yohane the Parhelion - NUMAZU in the MIRAGE -</t>
  </si>
  <si>
    <t xml:space="preserve">BeXide Inc.</t>
  </si>
  <si>
    <t xml:space="preserve">Roguelike Deckbuilder · Card Game · Dungeon Crawler · Relaxing · Casual · JRPG · Anime · Female Protagonist</t>
  </si>
  <si>
    <t xml:space="preserve">Runeborn</t>
  </si>
  <si>
    <t xml:space="preserve">iDream Interactive</t>
  </si>
  <si>
    <t xml:space="preserve">Roguelike Deckbuilder · Replay Value · Deckbuilding · Roguelike · Turn-Based Strategy · Singleplayer · Arcade · Roguelite</t>
  </si>
  <si>
    <t xml:space="preserve">Pone Games</t>
  </si>
  <si>
    <t xml:space="preserve">Strategy · Tower Defense · Roguelike · Indie · Survival · RTS · Singleplayer · Auto Battler</t>
  </si>
  <si>
    <t xml:space="preserve">Nadir: A Grimdark Deck Builder - Prologue</t>
  </si>
  <si>
    <t xml:space="preserve">Team Nadir; Black Eye Games</t>
  </si>
  <si>
    <t xml:space="preserve">Roguelike Deckbuilder · Action · RPG · Card Battler · Strategy · Roguelike · Card Game · Singleplayer</t>
  </si>
  <si>
    <t xml:space="preserve">Moravian</t>
  </si>
  <si>
    <t xml:space="preserve">Roguelite · Casual · Turn-Based · Deckbuilding · Strategy · Dragons · Replay Value · Tabletop</t>
  </si>
  <si>
    <t xml:space="preserve">Pyrene</t>
  </si>
  <si>
    <t xml:space="preserve">Turn-Based Combat · Demons · Choices Matter · Roguelike Deckbuilder · Strategy · Card Battler · Dungeon Crawler · Turn-Based Strategy</t>
  </si>
  <si>
    <t xml:space="preserve">verty</t>
  </si>
  <si>
    <t xml:space="preserve">Roguelike · Management · Replay Value · Capitalism · Roguelike Deckbuilder · Deckbuilding · Job Simulator · Strategy</t>
  </si>
  <si>
    <t xml:space="preserve">Rogue Voltage</t>
  </si>
  <si>
    <t xml:space="preserve">Horizont Computergrafik</t>
  </si>
  <si>
    <t xml:space="preserve">Deckbuilding · Automation · Card Battler · Roguelike · Strategy · Programming · Replay Value · Roguelike Deckbuilder</t>
  </si>
  <si>
    <t xml:space="preserve">DungeonTop</t>
  </si>
  <si>
    <t xml:space="preserve">One Up Plus Entertainment</t>
  </si>
  <si>
    <t xml:space="preserve">Roguelike Deckbuilder · Card Battler · Card Game · Deckbuilding · Roguelike · Roguelite · Turn-Based · Tactical RPG</t>
  </si>
  <si>
    <t xml:space="preserve">Plinbo: Roguelike Plinko</t>
  </si>
  <si>
    <t xml:space="preserve">Raphus &amp; Co.</t>
  </si>
  <si>
    <t xml:space="preserve">Roguelike Deckbuilder · Strategy · Gambling · Card Game · Deckbuilding · Roguelike · Perma Death · Arcade</t>
  </si>
  <si>
    <t xml:space="preserve">Cult of PiN</t>
  </si>
  <si>
    <t xml:space="preserve">KennyMakesGames</t>
  </si>
  <si>
    <t xml:space="preserve">Pinball · Roguelike · Arcade · Roguelike Deckbuilder · Deckbuilding · Roguelite · Physics · Cult</t>
  </si>
  <si>
    <t xml:space="preserve">Turnbound</t>
  </si>
  <si>
    <t xml:space="preserve">1TK</t>
  </si>
  <si>
    <t xml:space="preserve">Roguelike Deckbuilder · Auto Battler · Inventory Management · Deckbuilding · Strategy · Multiplayer · Asynchronous Multiplayer · Roguelike</t>
  </si>
  <si>
    <t xml:space="preserve">For The Warp</t>
  </si>
  <si>
    <t xml:space="preserve">Massive Galaxy Studios</t>
  </si>
  <si>
    <t xml:space="preserve">Roguelike Deckbuilder · Roguelite · Sci-fi · Turn-Based Combat · Deckbuilding · Space · Card Battler · Procedural Generation</t>
  </si>
  <si>
    <t xml:space="preserve">Deathless. The Hero Quest</t>
  </si>
  <si>
    <t xml:space="preserve">FOR-GAMES CR LTD</t>
  </si>
  <si>
    <t xml:space="preserve">Roguelike Deckbuilder · Replay Value · Difficult · Deckbuilding · Card Game · Card Battler · Strategy · Roguelike</t>
  </si>
  <si>
    <t xml:space="preserve">SuperTaxCity</t>
  </si>
  <si>
    <t xml:space="preserve">soramame-koubou</t>
  </si>
  <si>
    <t xml:space="preserve">Roguelike Deckbuilder · Deckbuilding · Roguelite · City Builder · Roguelike · Choices Matter · Gambling · Casual</t>
  </si>
  <si>
    <t xml:space="preserve">Frostrain 2</t>
  </si>
  <si>
    <t xml:space="preserve">nemonan</t>
  </si>
  <si>
    <t xml:space="preserve">Strategy · Roguelike Deckbuilder · Trains · Deckbuilding · Simulation · Post-apocalyptic · Roguelike · Exploration</t>
  </si>
  <si>
    <t xml:space="preserve">ManaVoid Entertainment</t>
  </si>
  <si>
    <t xml:space="preserve">Deckbuilding · Female Protagonist · City Builder · Roguelike · Turn-Based Strategy · Indie · Base Building · Puzzle</t>
  </si>
  <si>
    <t xml:space="preserve">MUC GAMES</t>
  </si>
  <si>
    <t xml:space="preserve">Roguelike Deckbuilder · Roguelike · Deckbuilding · Mystery Dungeon · Pixel Graphics · Roguelite · Choices Matter · Perma Death</t>
  </si>
  <si>
    <t xml:space="preserve">Nadir: A Grimdark Deckbuilder</t>
  </si>
  <si>
    <t xml:space="preserve">Black Eye Games</t>
  </si>
  <si>
    <t xml:space="preserve">Roguelike Deckbuilder · Card Game · Card Battler · Deckbuilding · Roguelike · RPG · Strategy · Singleplayer</t>
  </si>
  <si>
    <t xml:space="preserve">Call of Clans</t>
  </si>
  <si>
    <t xml:space="preserve">Trading Card Game · Deckbuilding · PvP · Card Game · Free to Play · Magic · Strategy · Nudity</t>
  </si>
  <si>
    <t xml:space="preserve">Phantom Rose 2 Sapphire</t>
  </si>
  <si>
    <t xml:space="preserve">Singleplayer · Roguelike Deckbuilder · Card Game · Roguelike · Deckbuilding · Turn-Based Strategy · Replay Value · Card Battler</t>
  </si>
  <si>
    <t xml:space="preserve">Union of Gnomes: Prologue</t>
  </si>
  <si>
    <t xml:space="preserve">Hoolignomes</t>
  </si>
  <si>
    <t xml:space="preserve">Roguelike Deckbuilder · Card Game · Turn-Based · Roguelike · Turn-Based Combat · Dwarves · Deckbuilding · Strategy</t>
  </si>
  <si>
    <t xml:space="preserve">Cube Chaos</t>
  </si>
  <si>
    <t xml:space="preserve">Wunarg</t>
  </si>
  <si>
    <t xml:space="preserve">RTS · Roguelike Deckbuilder · Replay Value · Moddable · Roguelite · 2D · Choices Matter · Singleplayer</t>
  </si>
  <si>
    <t xml:space="preserve">Hell is Empty, Demons are playing Apokerlypse</t>
  </si>
  <si>
    <t xml:space="preserve">Strategy · Roguelike · Roguelike Deckbuilder · Singleplayer · Casual · Deckbuilding · Turn-Based · Dark Humor</t>
  </si>
  <si>
    <t xml:space="preserve">Roguelike Deckbuilder · Card Game · Deckbuilding · Card Battler · Roguelike · Turn-Based Combat · Tactical RPG · Anime</t>
  </si>
  <si>
    <t xml:space="preserve">Choice of Life: Wild Islands</t>
  </si>
  <si>
    <t xml:space="preserve">RPG · Choose Your Own Adventure · Card Game · 2D · Funny · Casual · Indie · Multiple Endings</t>
  </si>
  <si>
    <t xml:space="preserve">Shadowveil: Legend of The Five Rings</t>
  </si>
  <si>
    <t xml:space="preserve">Palindrome Interactive</t>
  </si>
  <si>
    <t xml:space="preserve">Adventure · Roguelite · Strategy · Roguelike Deckbuilder · Roguelike · Deckbuilding · Strategy RPG · Indie</t>
  </si>
  <si>
    <t xml:space="preserve">These Doomed Isles</t>
  </si>
  <si>
    <t xml:space="preserve">Triplevision Games Limited</t>
  </si>
  <si>
    <t xml:space="preserve">Singleplayer · Strategy · City Builder · Roguelike Deckbuilder · Tower Defense · Turn-Based Tactics · Simulation · Colony Sim</t>
  </si>
  <si>
    <t xml:space="preserve">Dragon Eclipse</t>
  </si>
  <si>
    <t xml:space="preserve">Fardust</t>
  </si>
  <si>
    <t xml:space="preserve">Roguelike Deckbuilder · Card Game · Card Battler · Roguelike · Strategy · Deckbuilding · Turn-Based · Indie</t>
  </si>
  <si>
    <t xml:space="preserve">White Night Dream</t>
  </si>
  <si>
    <t xml:space="preserve">Anime · Strategy · Card Game · Roguelite · Pixel Graphics · Cute · Relaxing · Female Protagonist</t>
  </si>
  <si>
    <t xml:space="preserve">Card Quest</t>
  </si>
  <si>
    <t xml:space="preserve">WinterSpring Games</t>
  </si>
  <si>
    <t xml:space="preserve">Roguelike Deckbuilder · Card Battler · RPG · Strategy · Indie · Deckbuilding · Card Game · Roguelike</t>
  </si>
  <si>
    <t xml:space="preserve">Neurodeck : Psychological Deckbuilder</t>
  </si>
  <si>
    <t xml:space="preserve">TavroxGames</t>
  </si>
  <si>
    <t xml:space="preserve">Roguelike Deckbuilder · Card Battler · Card Game · Deckbuilding · Roguelike · Turn-Based · Strategy · Singleplayer</t>
  </si>
  <si>
    <t xml:space="preserve">Railroads &amp; Catacombs</t>
  </si>
  <si>
    <t xml:space="preserve">MadRails</t>
  </si>
  <si>
    <t xml:space="preserve">Roguelike Deckbuilder · Turn-Based Tactics · Base Building · Dungeon Crawler · Difficult · Lovecraftian · Dark · Card Battler</t>
  </si>
  <si>
    <t xml:space="preserve">Throne of Bone</t>
  </si>
  <si>
    <t xml:space="preserve">Windmill Slam</t>
  </si>
  <si>
    <t xml:space="preserve">Strategy · Roguelike · Auto Battler · Card Battler · Fantasy · Deckbuilding · Card Game · Dark Fantasy</t>
  </si>
  <si>
    <t xml:space="preserve">桑尼游戏(Sunny Game)</t>
  </si>
  <si>
    <t xml:space="preserve">Turn-Based Strategy · Card Battler · Card Game · RPG · FPS · Anime · Roguelike · Cute</t>
  </si>
  <si>
    <t xml:space="preserve">Breach Wanderers</t>
  </si>
  <si>
    <t xml:space="preserve">Baronnerie Games</t>
  </si>
  <si>
    <t xml:space="preserve">Roguelike Deckbuilder · Deckbuilding · Card Battler · Roguelite · Card Game · Roguelike · Turn-Based Tactics · Character Customization</t>
  </si>
  <si>
    <t xml:space="preserve">Active DBG: Brave's Rage</t>
  </si>
  <si>
    <t xml:space="preserve">ISVR</t>
  </si>
  <si>
    <t xml:space="preserve">Roguelike Deckbuilder · Roguelike · Deckbuilding · Card Battler · Card Game · Real Time Tactics · Bullet Time · Roguelite</t>
  </si>
  <si>
    <t xml:space="preserve">Card Hog</t>
  </si>
  <si>
    <t xml:space="preserve">SnoutUp</t>
  </si>
  <si>
    <t xml:space="preserve">Card Battler · Turn-Based · Roguelike Deckbuilder · Deckbuilding · Roguelite · Turn-Based Strategy · Comedy · Funny</t>
  </si>
  <si>
    <t xml:space="preserve">Towerful Defense: A Rogue TD</t>
  </si>
  <si>
    <t xml:space="preserve">Mini Fun Games</t>
  </si>
  <si>
    <t xml:space="preserve">Action Roguelike · Auto Battler · Tower Defense · Shoot 'Em Up · Roguelite · Bullet Heaven · Bullet Hell · Survival</t>
  </si>
  <si>
    <t xml:space="preserve">SolForge Fusion</t>
  </si>
  <si>
    <t xml:space="preserve">Justin Gary; Richard Garfield</t>
  </si>
  <si>
    <t xml:space="preserve">Early Access · Free to Play · Card Game · Roguelike Deckbuilder · Trading Card Game · Roguelite · Card Battler · Deckbuilding</t>
  </si>
  <si>
    <t xml:space="preserve">Castle Morihisa</t>
  </si>
  <si>
    <t xml:space="preserve">Smokingbear Studio</t>
  </si>
  <si>
    <t xml:space="preserve">Roguelike Deckbuilder · Card Battler · Dungeon Crawler · Turn-Based · Replay Value · Card Game · Difficult · Turn-Based Tactics</t>
  </si>
  <si>
    <t xml:space="preserve">Hell Deck</t>
  </si>
  <si>
    <t xml:space="preserve">OFFMOON Inc.</t>
  </si>
  <si>
    <t xml:space="preserve">Card Battler · Roguelite · Card Game · Roguelike · Strategy · 2D · 2.5D · Horror</t>
  </si>
  <si>
    <t xml:space="preserve">Erannorth Reborn</t>
  </si>
  <si>
    <t xml:space="preserve">Spyridon Thalassinos</t>
  </si>
  <si>
    <t xml:space="preserve">Roguelike Deckbuilder · Character Customization · Deckbuilding · Fantasy · Card Game · Card Battler · RPG · Indie</t>
  </si>
  <si>
    <t xml:space="preserve">Is It Wrong to Repay the Debt in a Dungeon?</t>
  </si>
  <si>
    <t xml:space="preserve">Atelier Wanko</t>
  </si>
  <si>
    <t xml:space="preserve">Nudity · Sexual Content · Roguelike Deckbuilder · Card Game · Female Protagonist · Mystery Dungeon · Adventure · RPG</t>
  </si>
  <si>
    <t xml:space="preserve">Lost For Swords</t>
  </si>
  <si>
    <t xml:space="preserve">MaxBytes</t>
  </si>
  <si>
    <t xml:space="preserve">Roguelike · Roguelike Deckbuilder · Deckbuilding · Card Game · Dungeon Crawler · Turn-Based Tactics · Turn-Based Strategy · Roguelite</t>
  </si>
  <si>
    <t xml:space="preserve">DOG WITCH</t>
  </si>
  <si>
    <t xml:space="preserve">Heckmouse</t>
  </si>
  <si>
    <t xml:space="preserve">Roguelike Deckbuilder · Dice · Card Game · Roguelike · Colorful · Strategy · Singleplayer · Deckbuilding</t>
  </si>
  <si>
    <t xml:space="preserve">Dream Quest</t>
  </si>
  <si>
    <t xml:space="preserve">Peter Whalen</t>
  </si>
  <si>
    <t xml:space="preserve">Roguelike Deckbuilder · Roguelike · Deckbuilding · RPG · Card Battler · Card Game · Singleplayer</t>
  </si>
  <si>
    <t xml:space="preserve">Starless Abyss</t>
  </si>
  <si>
    <t xml:space="preserve">Konafa Games</t>
  </si>
  <si>
    <t xml:space="preserve">Strategy · Indie · Lovecraftian · Roguelike Deckbuilder · Turn-Based Combat · 2D · Space · Singleplayer</t>
  </si>
  <si>
    <t xml:space="preserve">From The Top</t>
  </si>
  <si>
    <t xml:space="preserve">JUNKFALL33</t>
  </si>
  <si>
    <t xml:space="preserve">Action Roguelike · Roguelike Deckbuilder · Crafting · Casual · PvE · 3D · Roguelike · Tutorial</t>
  </si>
  <si>
    <t xml:space="preserve">CatPoker</t>
  </si>
  <si>
    <t xml:space="preserve">HotpotGames</t>
  </si>
  <si>
    <t xml:space="preserve">Party Game · Deckbuilding · Incremental · PvP · Roguelike Deckbuilder · Card Game · PvE · Roguelite</t>
  </si>
  <si>
    <t xml:space="preserve">Bone To Gather</t>
  </si>
  <si>
    <t xml:space="preserve">Anyway Games</t>
  </si>
  <si>
    <t xml:space="preserve">Strategy · Action Roguelike · Roguelike Deckbuilder · Creature Collector · Point &amp; Click · Cute · Action · PvE</t>
  </si>
  <si>
    <t xml:space="preserve">Dire Destiny : Time Travel</t>
  </si>
  <si>
    <t xml:space="preserve">Dire Destiny Studio</t>
  </si>
  <si>
    <t xml:space="preserve">Strategy · Turn-Based Strategy · Card Battler · Roguelike · 2D · Medieval · Time Travel · Magic</t>
  </si>
  <si>
    <t xml:space="preserve">MKaiser</t>
  </si>
  <si>
    <t xml:space="preserve">Casual · Sexual Content · RPG · Hentai · Pixel Graphics · 2D · Singleplayer · Adventure</t>
  </si>
  <si>
    <t xml:space="preserve">Flick Shot Rogues</t>
  </si>
  <si>
    <t xml:space="preserve">Butter By The Fish</t>
  </si>
  <si>
    <t xml:space="preserve">Indie · Roguelite · Turn-Based Strategy · Physics · Strategy · Turn-Based Tactics · Board Game · Turn-Based Combat</t>
  </si>
  <si>
    <t xml:space="preserve">Deck Hunter</t>
  </si>
  <si>
    <t xml:space="preserve">L_Draven</t>
  </si>
  <si>
    <t xml:space="preserve">Roguelike Deckbuilder · Roguelite · Deckbuilding · Card Battler · Strategy · Indie · Adventure · Card Game</t>
  </si>
  <si>
    <t xml:space="preserve">Steve's Warehouse: Physics. Roguelike. Chaos.</t>
  </si>
  <si>
    <t xml:space="preserve">Definitely Named Steve</t>
  </si>
  <si>
    <t xml:space="preserve">Physics · Roguelike Deckbuilder · Falling Blocks · Deckbuilding · Score Attack · Roguelite · Roguelike · Funny</t>
  </si>
  <si>
    <t xml:space="preserve">LuckLand</t>
  </si>
  <si>
    <t xml:space="preserve">e-Jade</t>
  </si>
  <si>
    <t xml:space="preserve">Roguelike Deckbuilder · Deckbuilding · Roguelite · Strategy · Indie · Roguelike · Card Game · Board Game</t>
  </si>
  <si>
    <t xml:space="preserve">Senmu Studio</t>
  </si>
  <si>
    <t xml:space="preserve">Roguelike · Deckbuilding · Card Battler · Card Game · Strategy · Historical · Roguelike Deckbuilder · Roguelite</t>
  </si>
  <si>
    <t xml:space="preserve">Moonsigil Atlas</t>
  </si>
  <si>
    <t xml:space="preserve">Snake Tower Games</t>
  </si>
  <si>
    <t xml:space="preserve">Roguelike Deckbuilder · Strategy · Replay Value · Choices Matter · Building · Card Battler · Procedural Generation · Deckbuilding</t>
  </si>
  <si>
    <t xml:space="preserve">Seahorse Games</t>
  </si>
  <si>
    <t xml:space="preserve">Roguelike Deckbuilder · Deckbuilding · Card Battler · Strategy · Roguelike · Card Game · Turn-Based Tactics · Turn-Based Combat</t>
  </si>
  <si>
    <t xml:space="preserve">ZephyrStudio</t>
  </si>
  <si>
    <t xml:space="preserve">Casual · Female Protagonist · Cute · Anime · Cartoony · Roguelike Deckbuilder · RPG · Indie</t>
  </si>
  <si>
    <t xml:space="preserve">Draft of Darkness</t>
  </si>
  <si>
    <t xml:space="preserve">Crawly Games</t>
  </si>
  <si>
    <t xml:space="preserve">Roguelike Deckbuilder · Survival Horror · Dungeon Crawler · Card Battler · Perma Death · Procedural Generation · Deckbuilding · Turn-Based Strategy</t>
  </si>
  <si>
    <t xml:space="preserve">Godslayer Arena</t>
  </si>
  <si>
    <t xml:space="preserve">Hippo Rider Games</t>
  </si>
  <si>
    <t xml:space="preserve">Early Access · Roguelike · Auto Battler · Strategy · Card Game · Action RPG · Card Battler · Roguelike Deckbuilder</t>
  </si>
  <si>
    <t xml:space="preserve">Yamafuda! 2nd station</t>
  </si>
  <si>
    <t xml:space="preserve">KPC</t>
  </si>
  <si>
    <t xml:space="preserve">Roguelike Deckbuilder · Cute · Card Game · Casual · Relaxing · Roguelite · Deckbuilding · Singleplayer</t>
  </si>
  <si>
    <t xml:space="preserve">Wanderlost Interactive</t>
  </si>
  <si>
    <t xml:space="preserve">Strategy · RPG · Indie · Deckbuilding · Card Game · Fantasy · 2D · Roguelite</t>
  </si>
  <si>
    <t xml:space="preserve">Die For The Lich</t>
  </si>
  <si>
    <t xml:space="preserve">Monovoid</t>
  </si>
  <si>
    <t xml:space="preserve">Early Access · Dice · Deckbuilding · Roguelike · Turn-Based Strategy · Dungeon Crawler · Board Game · Roguelike Deckbuilder</t>
  </si>
  <si>
    <t xml:space="preserve">Right and Down</t>
  </si>
  <si>
    <t xml:space="preserve">mc2games</t>
  </si>
  <si>
    <t xml:space="preserve">Roguelike · Roguelike Deckbuilder · Deckbuilding · Dungeon Crawler · Card Game · Turn-Based Tactics · Strategy · Card Battler</t>
  </si>
  <si>
    <t xml:space="preserve">Union of Gnomes</t>
  </si>
  <si>
    <t xml:space="preserve">Lost Chapter</t>
  </si>
  <si>
    <t xml:space="preserve">Almichadia</t>
  </si>
  <si>
    <t xml:space="preserve">Sexual Content · Roguelike Deckbuilder · Deckbuilding · Nudity · Card Battler · Card Game · Roguelike · Strategy</t>
  </si>
  <si>
    <t xml:space="preserve">Power Chord</t>
  </si>
  <si>
    <t xml:space="preserve">Big Blue Bubble</t>
  </si>
  <si>
    <t xml:space="preserve">Roguelike Deckbuilder · Deckbuilding · Roguelite · Turn-Based Combat · Card Game · Dungeon Crawler · Roguelike · Turn-Based Strategy</t>
  </si>
  <si>
    <t xml:space="preserve">BLOODLETTER</t>
  </si>
  <si>
    <t xml:space="preserve">ALDAMAMI GAMES</t>
  </si>
  <si>
    <t xml:space="preserve">Lovecraftian · Roguelike Deckbuilder · Deckbuilding · Dark Fantasy · Medieval · Hand-drawn · Choices Matter · Simulation</t>
  </si>
  <si>
    <t xml:space="preserve">Hexpion</t>
  </si>
  <si>
    <t xml:space="preserve">Card Battler · Turn-Based Tactics · Roguelite · Dungeon Crawler · PvE · Difficult · Card Game · Turn-Based</t>
  </si>
  <si>
    <t xml:space="preserve">Don't Let It Starve</t>
  </si>
  <si>
    <t xml:space="preserve">Eduardo Scarpato</t>
  </si>
  <si>
    <t xml:space="preserve">Strategy · Roguelike · Roguelite · Horror · Cooking · Simulation · 3D · First-Person</t>
  </si>
  <si>
    <t xml:space="preserve">Ultimate Hero</t>
  </si>
  <si>
    <t xml:space="preserve">Fishwharf</t>
  </si>
  <si>
    <t xml:space="preserve">Roguelike Deckbuilder · Roguelite · Turn-Based Combat · Strategy · Roguelike · Martial Arts · Swordplay · Deckbuilding</t>
  </si>
  <si>
    <t xml:space="preserve">Archon Soul</t>
  </si>
  <si>
    <t xml:space="preserve">PolyGryph</t>
  </si>
  <si>
    <t xml:space="preserve">Roguelike Deckbuilder · Dice · Card Battler · Turn-Based · Strategy · Fantasy · Magic · Deckbuilding</t>
  </si>
  <si>
    <t xml:space="preserve">Hoochoo Game Studios</t>
  </si>
  <si>
    <t xml:space="preserve">Strategy · Tower Defense · Roguelike Deckbuilder · Singleplayer · Card Battler · Casual · Roguelite · 2D</t>
  </si>
  <si>
    <t xml:space="preserve">Dice In You</t>
  </si>
  <si>
    <t xml:space="preserve">Team DICE</t>
  </si>
  <si>
    <t xml:space="preserve">Roguelike Deckbuilder · Deckbuilding · Strategy · Simulation · Roguelike · Board Game · Dice · Female Protagonist</t>
  </si>
  <si>
    <t xml:space="preserve">Born of Fire</t>
  </si>
  <si>
    <t xml:space="preserve">Leaf Boat Studio</t>
  </si>
  <si>
    <t xml:space="preserve">Roguelike Deckbuilder · Free to Play · Strategy · Early Access · RPG · Roguelite · Card Game · PvP</t>
  </si>
  <si>
    <t xml:space="preserve">RogueJack21</t>
  </si>
  <si>
    <t xml:space="preserve">Zandbox Studio</t>
  </si>
  <si>
    <t xml:space="preserve">Roguelike Deckbuilder · Strategy · Card Game · Deckbuilding · Roguelite · Turn-Based · Gambling · Roguelike</t>
  </si>
  <si>
    <t xml:space="preserve">Hidden Realm of the Enchantress</t>
  </si>
  <si>
    <t xml:space="preserve">T.F.A.N.C.S.</t>
  </si>
  <si>
    <t xml:space="preserve">Sexual Content · Nudity · Roguelike Deckbuilder · RPG · Cute · Casual · Simulation · Turn-Based Strategy</t>
  </si>
  <si>
    <t xml:space="preserve">Ruff Ghanor</t>
  </si>
  <si>
    <t xml:space="preserve">DX Gameworks</t>
  </si>
  <si>
    <t xml:space="preserve">Strategy · Roguelike Deckbuilder · Card Battler · Trading Card Game · Roguelite · Singleplayer · Fantasy · Story Rich</t>
  </si>
  <si>
    <t xml:space="preserve">Pip My Dice</t>
  </si>
  <si>
    <t xml:space="preserve">Diving Swan Games</t>
  </si>
  <si>
    <t xml:space="preserve">Strategy · Roguelike Deckbuilder · Replay Value · Dice · Casual · Score Attack · Tabletop · Relaxing</t>
  </si>
  <si>
    <t xml:space="preserve">Master of Piece</t>
  </si>
  <si>
    <t xml:space="preserve">I M GAME; I M fine</t>
  </si>
  <si>
    <t xml:space="preserve">Early Access · Turn-Based Strategy · Roguelike Deckbuilder · Tactical · Board Game · Tabletop · Turn-Based Combat · Card Battler</t>
  </si>
  <si>
    <t xml:space="preserve">Frost</t>
  </si>
  <si>
    <t xml:space="preserve">Jérôme Bodin</t>
  </si>
  <si>
    <t xml:space="preserve">Deckbuilding · Card Game · Survival · Strategy · Singleplayer · Roguelike Deckbuilder · Roguelike · Turn-Based</t>
  </si>
  <si>
    <t xml:space="preserve">DUNGEON ARTIFACT</t>
  </si>
  <si>
    <t xml:space="preserve">いとこん</t>
  </si>
  <si>
    <t xml:space="preserve">Early Access · Card Battler · Turn-Based Tactics · Card Game · Roguelike · Roguelike Deckbuilder · Female Protagonist · RPG</t>
  </si>
  <si>
    <t xml:space="preserve">Zony</t>
  </si>
  <si>
    <t xml:space="preserve">Roguelike Deckbuilder · Deckbuilding · Auto Battler · Strategy · Roguelike · Card Game · Minimalist · Pixel Graphics</t>
  </si>
  <si>
    <t xml:space="preserve">Zero Division</t>
  </si>
  <si>
    <t xml:space="preserve">Robot Cat Limited</t>
  </si>
  <si>
    <t xml:space="preserve">Card Battler · Card Game · Roguelike Deckbuilder · Deckbuilding · Trading Card Game · Cyberpunk · Strategy · Roguelite</t>
  </si>
  <si>
    <t xml:space="preserve">Destiny or Fate</t>
  </si>
  <si>
    <t xml:space="preserve">Blaster</t>
  </si>
  <si>
    <t xml:space="preserve">Dungeon Crawler · Card Battler · Card Game · Roguelike · Deckbuilding · Turn-Based · Strategy · Singleplayer</t>
  </si>
  <si>
    <t xml:space="preserve">Battle Bands: Rock &amp; Roll Deckbuilder</t>
  </si>
  <si>
    <t xml:space="preserve">Aerie Digital</t>
  </si>
  <si>
    <t xml:space="preserve">Roguelike Deckbuilder · Card Battler · Roguelike · Deckbuilding · Character Customization · Hand-drawn · Multiplayer · 1990's</t>
  </si>
  <si>
    <t xml:space="preserve">Clutchtime™: Basketball Deckbuilder</t>
  </si>
  <si>
    <t xml:space="preserve">Bigosaur</t>
  </si>
  <si>
    <t xml:space="preserve">Roguelike Deckbuilder · Basketball · Card Game · Sports · Deckbuilding · Strategy · Roguelike · Card Battler</t>
  </si>
  <si>
    <t xml:space="preserve">Hunter's Moon: A Sovereign Syndicate Adventure</t>
  </si>
  <si>
    <t xml:space="preserve">Crimson Herring Studios</t>
  </si>
  <si>
    <t xml:space="preserve">Roguelike Deckbuilder · Deckbuilding · Roguelite · Card Game · RPG · Card Battler · Strategy · Singleplayer</t>
  </si>
  <si>
    <t xml:space="preserve">攻城与召唤 Siege and Summons 【5分钟一局 策略竞技 】</t>
  </si>
  <si>
    <t xml:space="preserve">Siege and Summons</t>
  </si>
  <si>
    <t xml:space="preserve">Multiplayer · Historical · Alternate History · Strategy RPG · Roguelike Deckbuilder · Auto Battler · Trading Card Game · 2D</t>
  </si>
  <si>
    <t xml:space="preserve">Dungeon Raid: Zero Floor</t>
  </si>
  <si>
    <t xml:space="preserve">4Cats</t>
  </si>
  <si>
    <t xml:space="preserve">Roguelike · Roguelike Deckbuilder · Deckbuilding · Singleplayer · Roguelite · Card Game · Dungeon Crawler · Strategy</t>
  </si>
  <si>
    <t xml:space="preserve">Kill the Brickman</t>
  </si>
  <si>
    <t xml:space="preserve">Doonutsaur</t>
  </si>
  <si>
    <t xml:space="preserve">Roguelite · Arcade · Roguelike · Strategy · Difficult · Relaxing · Singleplayer · Deckbuilding</t>
  </si>
  <si>
    <t xml:space="preserve">Demonlore</t>
  </si>
  <si>
    <t xml:space="preserve">Barrel Smash Studios</t>
  </si>
  <si>
    <t xml:space="preserve">Strategy · Roguelite · Tower Defense · Zombies · Singleplayer · Deckbuilding · Fantasy · Comedy</t>
  </si>
  <si>
    <t xml:space="preserve">The First Million</t>
  </si>
  <si>
    <t xml:space="preserve">Sonderland</t>
  </si>
  <si>
    <t xml:space="preserve">Roguelike Deckbuilder · Incremental · Capitalism · Management · Strategy · Deckbuilding · Idler · Resource Management</t>
  </si>
  <si>
    <t xml:space="preserve">DIMENSION REIGN - ROGUELIKE DECKBUILDER</t>
  </si>
  <si>
    <t xml:space="preserve">ScopeNext Inc</t>
  </si>
  <si>
    <t xml:space="preserve">Roguelike Deckbuilder · Card Battler · Roguelite · Card Game · Roguelike · Deckbuilding · RPG · Strategy</t>
  </si>
  <si>
    <t xml:space="preserve">outpost4</t>
  </si>
  <si>
    <t xml:space="preserve">BananaDogGames</t>
  </si>
  <si>
    <t xml:space="preserve">Strategy · Tower Defense · Roguelike · Bullet Hell · Roguelite · 2D · Mars · Casual</t>
  </si>
  <si>
    <t xml:space="preserve">Dicealot</t>
  </si>
  <si>
    <t xml:space="preserve">goodviewgames</t>
  </si>
  <si>
    <t xml:space="preserve">Roguelike Deckbuilder · Deckbuilding · Dungeon Crawler · Turn-Based · Gambling · Roguelike · Replay Value · Medieval</t>
  </si>
  <si>
    <t xml:space="preserve">Maze Keeper</t>
  </si>
  <si>
    <t xml:space="preserve">Spaceward Games</t>
  </si>
  <si>
    <t xml:space="preserve">Strategy · Tower Defense · Auto Battler · Roguelike · Roguelike Deckbuilder · Card Battler · Creature Collector · Stylized</t>
  </si>
  <si>
    <t xml:space="preserve">langyouzi</t>
  </si>
  <si>
    <t xml:space="preserve">Strategy · Roguelike · Roguelike Deckbuilder · Mythology · Martial Arts · Simulation · 2D · Singleplayer</t>
  </si>
  <si>
    <t xml:space="preserve">Museum Mystery: Deckbuilding Card Game</t>
  </si>
  <si>
    <t xml:space="preserve">ST Stepanov Ivan Andreevich; Recently Played</t>
  </si>
  <si>
    <t xml:space="preserve">Card Battler · Roguelite · Turn-Based · Card Game · Roguelike · Strategy · RPG · 2D</t>
  </si>
  <si>
    <t xml:space="preserve">Isekai Big Dick</t>
  </si>
  <si>
    <t xml:space="preserve">Hippo Games</t>
  </si>
  <si>
    <t xml:space="preserve">Sexual Content · Hentai · Nudity · Card Game · Romance · Female Protagonist · Roguelike · Dating Sim</t>
  </si>
  <si>
    <t xml:space="preserve">Big Bite Games; Ad Luna</t>
  </si>
  <si>
    <t xml:space="preserve">Roguelike Deckbuilder · Dungeon Crawler · Card Battler · Card Game · Roguelike · Deckbuilding · Turn-Based Combat · Mouse Only</t>
  </si>
  <si>
    <t xml:space="preserve">Ant Workshop Ltd</t>
  </si>
  <si>
    <t xml:space="preserve">Action Roguelike · Roguelike Deckbuilder · Dungeon Crawler · Roguelite · Auto Battler · Mystery Dungeon · Action RPG · Strategy</t>
  </si>
  <si>
    <t xml:space="preserve">Pairs &amp; Perils</t>
  </si>
  <si>
    <t xml:space="preserve">Little Horror Studios</t>
  </si>
  <si>
    <t xml:space="preserve">Card Battler · Roguelike Deckbuilder · Dungeon Crawler · Card Game · Roguelike · Strategy · Turn-Based Strategy · Casual</t>
  </si>
  <si>
    <t xml:space="preserve">Nozomu Games</t>
  </si>
  <si>
    <t xml:space="preserve">Dark · Cozy · Story Rich · Card Game · Creature Collector · Roguelike Deckbuilder · Deckbuilding · Roguelike</t>
  </si>
  <si>
    <t xml:space="preserve">A Long Way Down</t>
  </si>
  <si>
    <t xml:space="preserve">Seenapsis Studio</t>
  </si>
  <si>
    <t xml:space="preserve">Card Battler · Card Game · Difficult · Roguelike · Strategy · Roguelite · Deckbuilding · Dungeon Crawler</t>
  </si>
  <si>
    <t xml:space="preserve">Dragon Call</t>
  </si>
  <si>
    <t xml:space="preserve">organelemonhouse</t>
  </si>
  <si>
    <t xml:space="preserve">Roguelike Deckbuilder · Card Battler · Strategy · Indie · Casual · Deckbuilding · Massively Multiplayer · Roguelite</t>
  </si>
  <si>
    <t xml:space="preserve">Rogue Hex</t>
  </si>
  <si>
    <t xml:space="preserve">Topstitch Games</t>
  </si>
  <si>
    <t xml:space="preserve">4X · Roguelike Deckbuilder · Strategy · Roguelike · Grand Strategy · Deckbuilding · Turn-Based Strategy · Replay Value</t>
  </si>
  <si>
    <t xml:space="preserve">Lucky Shot</t>
  </si>
  <si>
    <t xml:space="preserve">Tomas Gonzalez; Lucas Rodas; Lucas Pirito; Ignacio Yglesias</t>
  </si>
  <si>
    <t xml:space="preserve">Roguelike Deckbuilder · FPS · Roguelite · Score Attack · Strategy · Deckbuilding · Shooter · Action Roguelike</t>
  </si>
  <si>
    <t xml:space="preserve">Curtain Call</t>
  </si>
  <si>
    <t xml:space="preserve">元气弹工作室(GD Studio)</t>
  </si>
  <si>
    <t xml:space="preserve">Card Battler · Strategy · Card Game · Roguelite · Roguelike · Deckbuilding · Roguelike Deckbuilder · 2D</t>
  </si>
  <si>
    <t xml:space="preserve">Super Algebrawl</t>
  </si>
  <si>
    <t xml:space="preserve">PUNKCAKE Délicieux</t>
  </si>
  <si>
    <t xml:space="preserve">Indie · Logic · Turn-Based Tactics · Party-Based RPG · Fantasy · Deckbuilding · Cartoon · Education</t>
  </si>
  <si>
    <t xml:space="preserve">Neon Ascending</t>
  </si>
  <si>
    <t xml:space="preserve">TheCarmineDepth</t>
  </si>
  <si>
    <t xml:space="preserve">Bullet Hell · Roguelite · Tower Defense · Incremental · Perma Death · Roguelike · RTS · Strategy</t>
  </si>
  <si>
    <t xml:space="preserve">Summon Masters</t>
  </si>
  <si>
    <t xml:space="preserve">Trading Card Game · Deckbuilding · Roguelite · Roguelike Deckbuilder · Tower Defense · Card Battler · PvP · Turn-Based Tactics</t>
  </si>
  <si>
    <t xml:space="preserve">Tiny Kingdom</t>
  </si>
  <si>
    <t xml:space="preserve">neltile</t>
  </si>
  <si>
    <t xml:space="preserve">City Builder · Roguelike Deckbuilder · Difficult · Deckbuilding · Building · Resource Management · Card Game · Sandbox</t>
  </si>
  <si>
    <t xml:space="preserve">Feng Shui Meowjong</t>
  </si>
  <si>
    <t xml:space="preserve">Wavebreak Studio</t>
  </si>
  <si>
    <t xml:space="preserve">Roguelike Deckbuilder · Mahjong · Card Game · Strategy · Cats · Deckbuilding · Roguelite · 2D</t>
  </si>
  <si>
    <t xml:space="preserve">La Grange</t>
  </si>
  <si>
    <t xml:space="preserve">Roguelike Deckbuilder · Turn-Based Combat · Turn-Based Tactics · Grid-Based Movement · Resource Management · Deckbuilding · City Builder · Tactical</t>
  </si>
  <si>
    <t xml:space="preserve">Wander Stars</t>
  </si>
  <si>
    <t xml:space="preserve">Paper Castle Games</t>
  </si>
  <si>
    <t xml:space="preserve">Story Rich · Anime · RPG · Turn-Based · Roguelite · Female Protagonist · Replay Value · 2D</t>
  </si>
  <si>
    <t xml:space="preserve">Devil's Deck</t>
  </si>
  <si>
    <t xml:space="preserve">Touch Times Studio</t>
  </si>
  <si>
    <t xml:space="preserve">Roguelike Deckbuilder · Indie · RPG · Strategy · Card Battler · Deckbuilding · Adventure · Card Game</t>
  </si>
  <si>
    <t xml:space="preserve">Million Monster Militia</t>
  </si>
  <si>
    <t xml:space="preserve">Space Capsule Games; Dejobaan Games, LLC</t>
  </si>
  <si>
    <t xml:space="preserve">Roguelike Deckbuilder · Deckbuilding · Auto Battler · Strategy · Roguelite · Roguelike · Procedural Generation · Creature Collector</t>
  </si>
  <si>
    <t xml:space="preserve">Monster X Monster</t>
  </si>
  <si>
    <t xml:space="preserve">VanGame</t>
  </si>
  <si>
    <t xml:space="preserve">Roguelike Deckbuilder · Card Battler · Indie · Deckbuilding · Roguelite · Roguelike · Early Access · RPG</t>
  </si>
  <si>
    <t xml:space="preserve">Barrel Roll</t>
  </si>
  <si>
    <t xml:space="preserve">Roguelike · Deckbuilding · Western · Roguelike Deckbuilder · Turn-Based Combat · Roguelite · 3D · Stylized</t>
  </si>
  <si>
    <t xml:space="preserve">Dr. COG</t>
  </si>
  <si>
    <t xml:space="preserve">Re:ZT1</t>
  </si>
  <si>
    <t xml:space="preserve">Visual Novel · Roguelike Deckbuilder · Indie · Point &amp; Click · Atmospheric · Anime · RTS · Roguelike</t>
  </si>
  <si>
    <t xml:space="preserve">Turtle Riders</t>
  </si>
  <si>
    <t xml:space="preserve">Solenya</t>
  </si>
  <si>
    <t xml:space="preserve">Action · Survival · Tower Defense · Roguelike · Pixel Graphics · Adventure · Roguelike Deckbuilder · Atmospheric</t>
  </si>
  <si>
    <t xml:space="preserve">Lucky Hero</t>
  </si>
  <si>
    <t xml:space="preserve">mora churrasco studio</t>
  </si>
  <si>
    <t xml:space="preserve">Roguelike Deckbuilder · Roguelite · Replay Value · Turn-Based Combat · Casual · Resource Management · Deckbuilding · Strategy</t>
  </si>
  <si>
    <t xml:space="preserve">The Last Hex</t>
  </si>
  <si>
    <t xml:space="preserve">That Indie Studio</t>
  </si>
  <si>
    <t xml:space="preserve">Deckbuilding · Roguelike Deckbuilder · RPG · Card Game · Indie · Strategy · Fantasy · Turn-Based</t>
  </si>
  <si>
    <t xml:space="preserve">Second Second</t>
  </si>
  <si>
    <t xml:space="preserve">Sinkhole Studio</t>
  </si>
  <si>
    <t xml:space="preserve">Roguelike Deckbuilder · Strategy · Roguelite · Deckbuilding · Card Battler · Card Game · Turn-Based · Difficult</t>
  </si>
  <si>
    <t xml:space="preserve">Obsidian Prince</t>
  </si>
  <si>
    <t xml:space="preserve">Unleash The Giraffe</t>
  </si>
  <si>
    <t xml:space="preserve">Roguelike Deckbuilder · Turn-Based Strategy · Tactical RPG · Dungeon Crawler · Turn-Based · Turn-Based Tactics · Deckbuilding · Turn-Based Combat</t>
  </si>
  <si>
    <t xml:space="preserve">Atman:Rebel Flame</t>
  </si>
  <si>
    <t xml:space="preserve">JUP GAME</t>
  </si>
  <si>
    <t xml:space="preserve">Card Battler · PvP · Roguelike · Multiplayer · Deckbuilding · Card Game · Strategy · Solitaire</t>
  </si>
  <si>
    <t xml:space="preserve">Into The Grid</t>
  </si>
  <si>
    <t xml:space="preserve">Flatline Studios</t>
  </si>
  <si>
    <t xml:space="preserve">Early Access · Roguelike Deckbuilder · Dungeon Crawler · Deckbuilding · Roguelite · Cyberpunk · Replay Value · Card Game</t>
  </si>
  <si>
    <t xml:space="preserve">Arrogue</t>
  </si>
  <si>
    <t xml:space="preserve">PIPAPOU</t>
  </si>
  <si>
    <t xml:space="preserve">Deckbuilding · Roguelike · Perma Death · Roguelite · Choices Matter · Physics · Turn-Based Combat · Roguelike Deckbuilder</t>
  </si>
  <si>
    <t xml:space="preserve">Takara Cards</t>
  </si>
  <si>
    <t xml:space="preserve">Post Mortem Pixels</t>
  </si>
  <si>
    <t xml:space="preserve">Card Battler · Choices Matter · Roguelite · Roguelike Deckbuilder · Spaceships · Sci-fi · Card Game · Multiple Endings</t>
  </si>
  <si>
    <t xml:space="preserve">RogueDiceR</t>
  </si>
  <si>
    <t xml:space="preserve">GAMPANY</t>
  </si>
  <si>
    <t xml:space="preserve">Early Access · Roguelike Deckbuilder · Dice · Deckbuilding · Roguelite · Strategy · Anime · Casual</t>
  </si>
  <si>
    <t xml:space="preserve">Balantica</t>
  </si>
  <si>
    <t xml:space="preserve">Team Hanzan</t>
  </si>
  <si>
    <t xml:space="preserve">Indie · Strategy · Card Game · Roguelike Deckbuilder · Solitaire · Deckbuilding · Roguelike · Procedural Generation</t>
  </si>
  <si>
    <t xml:space="preserve">ON&amp;OFF</t>
  </si>
  <si>
    <t xml:space="preserve">DopamineCrucian</t>
  </si>
  <si>
    <t xml:space="preserve">Roguelike Deckbuilder · Card Game · Indie · Free to Play · Strategy · Roguelike · Card Battler · Deckbuilding</t>
  </si>
  <si>
    <t xml:space="preserve">Lords of Ravage</t>
  </si>
  <si>
    <t xml:space="preserve">Synthetic Domain</t>
  </si>
  <si>
    <t xml:space="preserve">Adventure · Villain Protagonist · Tactical RPG · Roguelike Deckbuilder · Roguelike · JRPG · Story Rich · Pixel Graphics</t>
  </si>
  <si>
    <t xml:space="preserve">Typing Monkey</t>
  </si>
  <si>
    <t xml:space="preserve">Roguelike Deckbuilder · Roguelike · Deckbuilding · Card Game · Strategy · Pixel Graphics · Roguelite · Turn-Based Strategy</t>
  </si>
  <si>
    <t xml:space="preserve">Magecraft: Spellbuilding</t>
  </si>
  <si>
    <t xml:space="preserve">Violet Grimoire</t>
  </si>
  <si>
    <t xml:space="preserve">Roguelike Deckbuilder · Card Game · Card Battler · Roguelite · Deckbuilding · Dungeon Crawler · Turn-Based Strategy · Turn-Based Combat</t>
  </si>
  <si>
    <t xml:space="preserve">MakoTeam</t>
  </si>
  <si>
    <t xml:space="preserve">Roguelike Deckbuilder · Roguelike · Deckbuilding · Replay Value · Turn-Based · Roguelite · Animals · Turn-Based Combat</t>
  </si>
  <si>
    <t xml:space="preserve">Hungry Horrors</t>
  </si>
  <si>
    <t xml:space="preserve">Clumsy Bear Studio</t>
  </si>
  <si>
    <t xml:space="preserve">Card Battler · Lore-Rich · Roguelite · Dungeon Crawler · Cooking · Roguelike Deckbuilder · Turn-Based · Card Game</t>
  </si>
  <si>
    <t xml:space="preserve">Replicat</t>
  </si>
  <si>
    <t xml:space="preserve">Brainoid Games</t>
  </si>
  <si>
    <t xml:space="preserve">Cats · Roguelike · Deckbuilding · Roguelike Deckbuilder · Family Friendly · Strategy · Singleplayer · Cozy</t>
  </si>
  <si>
    <t xml:space="preserve">Deck of Souls</t>
  </si>
  <si>
    <t xml:space="preserve">Bigboot Studios</t>
  </si>
  <si>
    <t xml:space="preserve">Turn-Based Strategy · Card Game · Turn-Based Tactics · Deckbuilding · Tactical RPG · Strategy RPG · Turn-Based Combat · Tactical</t>
  </si>
  <si>
    <t xml:space="preserve">Golden Swirl</t>
  </si>
  <si>
    <t xml:space="preserve">Snako Production</t>
  </si>
  <si>
    <t xml:space="preserve">Deckbuilding · Card Battler · Card Game · Roguelite · Strategy · Action Roguelike · Roguelike Deckbuilder · Roguelike</t>
  </si>
  <si>
    <t xml:space="preserve">Neon Village</t>
  </si>
  <si>
    <t xml:space="preserve">Encraft</t>
  </si>
  <si>
    <t xml:space="preserve">Roguelike Deckbuilder · Match 3 · Puzzle · Roguelike · Procedural Generation · Strategy · Mouse Only · Inventory Management</t>
  </si>
  <si>
    <t xml:space="preserve">Become the Moon</t>
  </si>
  <si>
    <t xml:space="preserve">Feldspar Games; Ben Allen; Mosman</t>
  </si>
  <si>
    <t xml:space="preserve">Auto Battler · Deckbuilding · Difficult · Roguelike · Card Game · PvE · Roguelike Deckbuilder · Strategy</t>
  </si>
  <si>
    <t xml:space="preserve">Stash: A Card Looter</t>
  </si>
  <si>
    <t xml:space="preserve">WheeGaming</t>
  </si>
  <si>
    <t xml:space="preserve">Strategy · Auto Battler · Roguelite · Loot · Asynchronous Multiplayer · Card Battler · Roguelike Deckbuilder · Card Game</t>
  </si>
  <si>
    <t xml:space="preserve">Urban Cards</t>
  </si>
  <si>
    <t xml:space="preserve">Hues Games</t>
  </si>
  <si>
    <t xml:space="preserve">Roguelike Deckbuilder · Strategy · Economy · Card Battler · Tabletop · PvP · Card Game · Deckbuilding</t>
  </si>
  <si>
    <t xml:space="preserve">Summerfall Studios</t>
  </si>
  <si>
    <t xml:space="preserve">Strategy · Roguelike Deckbuilder · Hand-drawn · Demons · Roguelite · Story Rich · Card Game · Narrative</t>
  </si>
  <si>
    <t xml:space="preserve">Wander Hero</t>
  </si>
  <si>
    <t xml:space="preserve">Dimension Travler</t>
  </si>
  <si>
    <t xml:space="preserve">Strategy · RPG · Roguelike Deckbuilder · Cartoony · Turn-Based Combat · Card Game · Indie · Anime</t>
  </si>
  <si>
    <t xml:space="preserve">Haxity</t>
  </si>
  <si>
    <t xml:space="preserve">Megapop</t>
  </si>
  <si>
    <t xml:space="preserve">Card Battler · Roguelike Deckbuilder · Indie · Early Access · Strategy · Card Game · Cyberpunk · Multiplayer</t>
  </si>
  <si>
    <t xml:space="preserve">Inventorix</t>
  </si>
  <si>
    <t xml:space="preserve">Arcaludi</t>
  </si>
  <si>
    <t xml:space="preserve">Inventory Management · Roguelike Deckbuilder · Turn-Based · Replay Value · Capitalism · Singleplayer · Strategy · Auto Battler</t>
  </si>
  <si>
    <t xml:space="preserve">Montabi</t>
  </si>
  <si>
    <t xml:space="preserve">Mankibo</t>
  </si>
  <si>
    <t xml:space="preserve">Roguelike Deckbuilder · Strategy · Deckbuilding · Team-Based · Creature Collector · Turn-Based Combat · Card Battler · Grid-Based Movement</t>
  </si>
  <si>
    <t xml:space="preserve">Rise of the Slime</t>
  </si>
  <si>
    <t xml:space="preserve">Bunkovsky Games</t>
  </si>
  <si>
    <t xml:space="preserve">Cute · Roguelike Deckbuilder · Replay Value · Adventure · Card Battler · Card Game · Roguelike · Deckbuilding</t>
  </si>
  <si>
    <t xml:space="preserve">Cupiclaw</t>
  </si>
  <si>
    <t xml:space="preserve">Typin</t>
  </si>
  <si>
    <t xml:space="preserve">Roguelike Deckbuilder · Deckbuilding · Strategy · Gambling · Roguelike · Pixel Graphics · Physics · Resource Management</t>
  </si>
  <si>
    <t xml:space="preserve">Clonizer</t>
  </si>
  <si>
    <t xml:space="preserve">Juicy Plume</t>
  </si>
  <si>
    <t xml:space="preserve">Space · Roguelite · Turn-Based Combat · Hex Grid · Deckbuilding · Roguelike Deckbuilder · Strategy · Card Battler</t>
  </si>
  <si>
    <t xml:space="preserve">Isle of Swaps</t>
  </si>
  <si>
    <t xml:space="preserve">Fuzz Force</t>
  </si>
  <si>
    <t xml:space="preserve">Creature Collector · Roguelike Deckbuilder · Deckbuilding · Trading Card Game · Card Battler · Turn-Based Strategy · Roguelite · Turn-Based Tactics</t>
  </si>
  <si>
    <t xml:space="preserve">Stellar Witch</t>
  </si>
  <si>
    <t xml:space="preserve">배머루@결속</t>
  </si>
  <si>
    <t xml:space="preserve">Inventory Management · Strategy · Female Protagonist · Roguelike Deckbuilder · Action · Pixel Graphics · Action Roguelike · Free to Play</t>
  </si>
  <si>
    <t xml:space="preserve">ANTHEM#9</t>
  </si>
  <si>
    <t xml:space="preserve">koeda</t>
  </si>
  <si>
    <t xml:space="preserve">Roguelite · Puzzle · Deckbuilding · Roguelike Deckbuilder · Match 3 · Roguelike · PvE · Turn-Based Tactics</t>
  </si>
  <si>
    <t xml:space="preserve">Moka Games</t>
  </si>
  <si>
    <t xml:space="preserve">Roguelike · Strategy · Tower Defense · Base Building · Roguelike Deckbuilder · Auto Battler · Roguelite · Card Game</t>
  </si>
  <si>
    <t xml:space="preserve">デュエホロ (DUEHOLO)</t>
  </si>
  <si>
    <t xml:space="preserve">テイク</t>
  </si>
  <si>
    <t xml:space="preserve">Roguelike Deckbuilder · Cute · Card Game · Strategy · Female Protagonist · RPG · Deckbuilding · Card Battler</t>
  </si>
  <si>
    <t xml:space="preserve">Helmetman</t>
  </si>
  <si>
    <t xml:space="preserve">GoniNmimi Games</t>
  </si>
  <si>
    <t xml:space="preserve">Early Access · Roguelike Deckbuilder · Roguelike · Card Game · Dating Sim · Visual Novel · Card Battler · Strategy</t>
  </si>
  <si>
    <t xml:space="preserve">Pepperbox Studios</t>
  </si>
  <si>
    <t xml:space="preserve">Poker · Roguelike Deckbuilder · Deckbuilding · Card Game · Gambling · Dice · Pixel Graphics · Roguelike</t>
  </si>
  <si>
    <t xml:space="preserve">Pirates Outlaws 2: Heritage</t>
  </si>
  <si>
    <t xml:space="preserve">Early Access · Roguelike Deckbuilder · Card Game · Pirates · Card Battler · Turn-Based Strategy · Strategy · Steampunk</t>
  </si>
  <si>
    <t xml:space="preserve">Tokyo Valkyries</t>
  </si>
  <si>
    <t xml:space="preserve">qureate</t>
  </si>
  <si>
    <t xml:space="preserve">Sexual Content · Roguelike Deckbuilder · Cute · Card Game · RPG · Anime · Strategy · Roguelike</t>
  </si>
  <si>
    <t xml:space="preserve">Hydra Slayer</t>
  </si>
  <si>
    <t xml:space="preserve">Zeno Rogue</t>
  </si>
  <si>
    <t xml:space="preserve">Traditional Roguelike · Puzzle · Education · Inventory Management · Mythology · Turn-Based · Science · Procedural Generation</t>
  </si>
  <si>
    <t xml:space="preserve">Right and Down and Dice</t>
  </si>
  <si>
    <t xml:space="preserve">Roguelike Deckbuilder · Card Battler · Roguelite · Deckbuilding · Card Game · Strategy · Turn-Based · Indie</t>
  </si>
  <si>
    <t xml:space="preserve">Facehand</t>
  </si>
  <si>
    <t xml:space="preserve">foolsroom</t>
  </si>
  <si>
    <t xml:space="preserve">Roguelike Deckbuilder · Deckbuilding · Auto Battler · Strategy · Roguelite · Card Battler · Card Game · Roguelike</t>
  </si>
  <si>
    <t xml:space="preserve">Sky's The Limit MAH-JONG</t>
  </si>
  <si>
    <t xml:space="preserve">MediaLabGames</t>
  </si>
  <si>
    <t xml:space="preserve">Strategy · Mahjong · Casual · Roguelike Deckbuilder · Deckbuilding · Roguelike · Singleplayer · Indie</t>
  </si>
  <si>
    <t xml:space="preserve">Witch and Council : The Card</t>
  </si>
  <si>
    <t xml:space="preserve">G1 Playground</t>
  </si>
  <si>
    <t xml:space="preserve">Roguelike Deckbuilder · Roguelite · Cartoony · Anime · Female Protagonist · Fantasy · Magic · 2D</t>
  </si>
  <si>
    <t xml:space="preserve">First Day Games</t>
  </si>
  <si>
    <t xml:space="preserve">Strategy · Roguelike Deckbuilder · Roguelike · Card Game · Poker · Indie · RPG · Pixel Graphics</t>
  </si>
  <si>
    <t xml:space="preserve">Dice Dice Baby</t>
  </si>
  <si>
    <t xml:space="preserve">Nugget Games Studio</t>
  </si>
  <si>
    <t xml:space="preserve">Strategy · Roguelike · Dice · Procedural Generation · Casual · Deckbuilding · Score Attack · Tactical</t>
  </si>
  <si>
    <t xml:space="preserve">Deckstination</t>
  </si>
  <si>
    <t xml:space="preserve">GoldKids</t>
  </si>
  <si>
    <t xml:space="preserve">Action · Strategy · Indie · Deckbuilding · Roguelike · Cyberpunk · Real Time Tactics · 2D</t>
  </si>
  <si>
    <t xml:space="preserve">HoloSeeker</t>
  </si>
  <si>
    <t xml:space="preserve">Imoyokan</t>
  </si>
  <si>
    <t xml:space="preserve">Simulation · Strategy · Deckbuilding · Roguelite · Card Game · Roguelike · 2D · Card Battler</t>
  </si>
  <si>
    <t xml:space="preserve">GameFarmer; Pone Games</t>
  </si>
  <si>
    <t xml:space="preserve">Early Access · Cartoon · Indie · Procedural Generation · Casual · Farming Sim · Turn-Based · Strategy</t>
  </si>
  <si>
    <t xml:space="preserve">The Corpsmen</t>
  </si>
  <si>
    <t xml:space="preserve">Multicell Games</t>
  </si>
  <si>
    <t xml:space="preserve">Roguelike Deckbuilder · Creature Collector · Deckbuilding · Card Battler · Strategy · Card Game · Indie · Roguelite</t>
  </si>
  <si>
    <t xml:space="preserve">the World According to Girl</t>
  </si>
  <si>
    <t xml:space="preserve">yondray</t>
  </si>
  <si>
    <t xml:space="preserve">Cute · Roguelike Deckbuilder · Post-apocalyptic · Deckbuilding · Roguelike · Adventure · Card Game · Simulation</t>
  </si>
  <si>
    <t xml:space="preserve">Archon Soul: Prologue</t>
  </si>
  <si>
    <t xml:space="preserve">Roguelike Deckbuilder · Dice · Card Battler · Turn-Based · Strategy · Deckbuilding · Roguelike · Dark Fantasy</t>
  </si>
  <si>
    <t xml:space="preserve">Yoon</t>
  </si>
  <si>
    <t xml:space="preserve">Roguelike Deckbuilder · Creature Collector · Card Game · Auto Battler · Turn-Based Strategy · Collectathon · Dungeon Crawler · Strategy</t>
  </si>
  <si>
    <t xml:space="preserve">Master of Piece: Prologue</t>
  </si>
  <si>
    <t xml:space="preserve">I M GAME</t>
  </si>
  <si>
    <t xml:space="preserve">Roguelike Deckbuilder · Free to Play · Turn-Based Strategy · Strategy · Medieval · Roguelite · Auto Battler · Roguelike</t>
  </si>
  <si>
    <t xml:space="preserve">Valefor Ltd</t>
  </si>
  <si>
    <t xml:space="preserve">Auto Battler · Inventory Management · Indie · Strategy · PvP · Multiplayer · Roguelike Deckbuilder · Asynchronous Multiplayer</t>
  </si>
  <si>
    <t xml:space="preserve">Little Dungeon Stories</t>
  </si>
  <si>
    <t xml:space="preserve">David Moralejo Sánchez</t>
  </si>
  <si>
    <t xml:space="preserve">Roguelike Deckbuilder · Roguelite · RPG · Card Game · Card Battler · Pixel Graphics · Adventure · Choices Matter</t>
  </si>
  <si>
    <t xml:space="preserve">Singular Sunshine Studios</t>
  </si>
  <si>
    <t xml:space="preserve">Turn-Based Tactics · Roguelite · Dark Fantasy · Hex Grid · Board Game · Turn-Based Strategy · Tabletop · Strategy</t>
  </si>
  <si>
    <t xml:space="preserve">Beyond Words</t>
  </si>
  <si>
    <t xml:space="preserve">MindFuel Games</t>
  </si>
  <si>
    <t xml:space="preserve">Roguelike Deckbuilder · Card Game · Deckbuilding · Roguelike · Word Game · Strategy · Casual · Roguelite</t>
  </si>
  <si>
    <t xml:space="preserve">EXE.CUTOR</t>
  </si>
  <si>
    <t xml:space="preserve">A.S.K.S.</t>
  </si>
  <si>
    <t xml:space="preserve">Strategy · Free to Play · Indie · Card Game · Turn-Based Strategy · Puzzle · Dungeon Crawler · Turn-Based Tactics</t>
  </si>
  <si>
    <t xml:space="preserve">Crash The Core</t>
  </si>
  <si>
    <t xml:space="preserve">Jerome Labelle</t>
  </si>
  <si>
    <t xml:space="preserve">Roguelike Deckbuilder · Choices Matter · Roguelite · Turn-Based Strategy · Card Game · Roguelike · RPG · Card Battler</t>
  </si>
  <si>
    <t xml:space="preserve">Greedy Wolf Studio</t>
  </si>
  <si>
    <t xml:space="preserve">Roguelike Deckbuilder · Card Battler · Roguelite · Difficult · Party-Based RPG · Mythology · Fantasy · Procedural Generation</t>
  </si>
  <si>
    <t xml:space="preserve">Terrible Posture Games; Nerd Ninjas</t>
  </si>
  <si>
    <t xml:space="preserve">Roguelike Deckbuilder · Card Battler · Deckbuilding · Card Game · Strategy · Trains · Roguelite · Tactical</t>
  </si>
  <si>
    <t xml:space="preserve">Spellsword Cards: Origins</t>
  </si>
  <si>
    <t xml:space="preserve">Roguelike Deckbuilder · Roguelite · Deckbuilding · Card Battler · Strategy · Indie · Card Game · Adventure</t>
  </si>
  <si>
    <t xml:space="preserve">Souls of Star Game Lab.</t>
  </si>
  <si>
    <t xml:space="preserve">Early Access · Roguelike Deckbuilder · Turn-Based Tactics · Roguelike · Hex Grid · Sci-fi · Card Battler · Deckbuilding</t>
  </si>
  <si>
    <t xml:space="preserve">WildFront</t>
  </si>
  <si>
    <t xml:space="preserve">Etheral Games</t>
  </si>
  <si>
    <t xml:space="preserve">2D · Colorful · Strategy · Roguelike Deckbuilder · Dungeon Crawler · Card Game · Deckbuilding · Turn-Based Combat</t>
  </si>
  <si>
    <t xml:space="preserve"> STICKER/BALL</t>
  </si>
  <si>
    <t xml:space="preserve">bilge</t>
  </si>
  <si>
    <t xml:space="preserve">Roguelike · Deckbuilding · Physics · Funny · Arcade · Strategy · Pixel Graphics · Roguelite</t>
  </si>
  <si>
    <t xml:space="preserve">Relief</t>
  </si>
  <si>
    <t xml:space="preserve">Billiontail</t>
  </si>
  <si>
    <t xml:space="preserve">Roguelite · Roguelike Deckbuilder · Card Battler · Turn-Based Combat · Strategy · Card Game · Story Rich · Turn-Based Tactics</t>
  </si>
  <si>
    <t xml:space="preserve">Words Can Kill</t>
  </si>
  <si>
    <t xml:space="preserve">Roguelike Deckbuilder · Card Battler · Deckbuilding · Roguelike · Card Game · Word Game · Turn-Based · Roguelite</t>
  </si>
  <si>
    <t xml:space="preserve">Spellsword Cards: Demontide</t>
  </si>
  <si>
    <t xml:space="preserve">Roguelike Deckbuilder · Indie · Card Game · Strategy · Adventure · 2D · Roguelite · Dragons</t>
  </si>
  <si>
    <t xml:space="preserve">Void Tyrant</t>
  </si>
  <si>
    <t xml:space="preserve">Quite Fresh Games</t>
  </si>
  <si>
    <t xml:space="preserve">Roguelike Deckbuilder · Strategy · Card Battler · Card Game · Roguelike · Roguelite · Difficult · Deckbuilding</t>
  </si>
  <si>
    <t xml:space="preserve">Combo Card Clashers</t>
  </si>
  <si>
    <t xml:space="preserve">Burnt Games LLC</t>
  </si>
  <si>
    <t xml:space="preserve">Tactical · Roguelike Deckbuilder · Card Battler · Strategy · Auto Battler · Singleplayer · Roguelike · Indie</t>
  </si>
  <si>
    <t xml:space="preserve">Karigurashi Ren'ai: Living on Borrowed Love</t>
  </si>
  <si>
    <t xml:space="preserve">ASa Project</t>
  </si>
  <si>
    <t xml:space="preserve">Visual Novel · Adventure · Anime · Casual · Comedy · Choose Your Own Adventure · Cute · Story Rich</t>
  </si>
  <si>
    <t xml:space="preserve">Railroads &amp; Catacombs: Prologue</t>
  </si>
  <si>
    <t xml:space="preserve">Roguelike Deckbuilder · Dungeon Crawler · Turn-Based Tactics · Dark · Tactical · Card Battler · Strategy · Deckbuilding</t>
  </si>
  <si>
    <t xml:space="preserve">幻斋阴阳录 Genzai:Serialization</t>
  </si>
  <si>
    <t xml:space="preserve">Genzai Studio</t>
  </si>
  <si>
    <t xml:space="preserve">Casual · Strategy · Card Game · JRPG · Roguelike · 2D Platformer · Card Battler · Trading Card Game</t>
  </si>
  <si>
    <t xml:space="preserve">Stellar Orphans</t>
  </si>
  <si>
    <t xml:space="preserve">Artifex Parvus</t>
  </si>
  <si>
    <t xml:space="preserve">Roguelike Deckbuilder · Deckbuilding · Card Game · Replay Value · Strategy · Turn-Based Strategy · Roguelite · Roguelike</t>
  </si>
  <si>
    <t xml:space="preserve">Moon Watch</t>
  </si>
  <si>
    <t xml:space="preserve">Early Access · Strategy · Roguelike · Deckbuilding · Action Roguelike · Roguelike Deckbuilder · Card Battler · Bullet Hell</t>
  </si>
  <si>
    <t xml:space="preserve">Moon's Creed</t>
  </si>
  <si>
    <t xml:space="preserve">Creedon Games</t>
  </si>
  <si>
    <t xml:space="preserve">Roguelike Deckbuilder · Deckbuilding · Card Game · Card Battler · Roguelike · Turn-Based Tactics · Dungeon Crawler · Roguelite</t>
  </si>
  <si>
    <t xml:space="preserve">Wyldernook</t>
  </si>
  <si>
    <t xml:space="preserve">Studio Kejami</t>
  </si>
  <si>
    <t xml:space="preserve">Early Access · Trading Card Game · Card Game · Strategy · Multiplayer · Roguelike Deckbuilder · PvP · Card Battler</t>
  </si>
  <si>
    <t xml:space="preserve">Cloudgear Games</t>
  </si>
  <si>
    <t xml:space="preserve">Strategy · Deckbuilding · Card Battler · Roguelike · Anime · Fantasy · Singleplayer · Card Game</t>
  </si>
  <si>
    <t xml:space="preserve">ULTRA LMAD</t>
  </si>
  <si>
    <t xml:space="preserve">Headless</t>
  </si>
  <si>
    <t xml:space="preserve">Roguelike Deckbuilder · Card Battler · Turn-Based Combat · Difficult · RPG · Card Game · Roguelike · Turn-Based</t>
  </si>
  <si>
    <t xml:space="preserve">Shapebreaker - Tower Defense Deckbuilder</t>
  </si>
  <si>
    <t xml:space="preserve">Alexander Van den Bulck</t>
  </si>
  <si>
    <t xml:space="preserve">Tower Defense · Strategy · Singleplayer · Roguelike Deckbuilder · 2D · Tactical · Roguelike · Roguelite</t>
  </si>
  <si>
    <t xml:space="preserve">Xendra</t>
  </si>
  <si>
    <t xml:space="preserve">Early Access · Roguelike Deckbuilder · RPG · Strategy · Roguelite · Creature Collector · Deckbuilding · Card Battler</t>
  </si>
  <si>
    <t xml:space="preserve">WizardChess</t>
  </si>
  <si>
    <t xml:space="preserve">TwoPM Studios</t>
  </si>
  <si>
    <t xml:space="preserve">Chess · Roguelike Deckbuilder · Grid-Based Movement · Turn-Based Tactics · Board Game · RPG · Card Game · Strategy</t>
  </si>
  <si>
    <t xml:space="preserve">Arcana of Paradise —The Tower—</t>
  </si>
  <si>
    <t xml:space="preserve">株式会社タストα</t>
  </si>
  <si>
    <t xml:space="preserve">Roguelike Deckbuilder · Card Battler · Roguelike · Roguelite · Action Roguelike · Card Game · Fantasy · Deckbuilding</t>
  </si>
  <si>
    <t xml:space="preserve">Bearly Brave</t>
  </si>
  <si>
    <t xml:space="preserve">Barbaric Games</t>
  </si>
  <si>
    <t xml:space="preserve">Roguelike Deckbuilder · Card Game · Roguelike · Deckbuilding · Strategy · Singleplayer · Replay Value · Turn-Based</t>
  </si>
  <si>
    <t xml:space="preserve">School of Magic: Deck and Slash Prologue</t>
  </si>
  <si>
    <t xml:space="preserve">PartTimeIndie</t>
  </si>
  <si>
    <t xml:space="preserve">Roguelike Deckbuilder · Hack and Slash · Roguelike · RPG · Strategy · Dungeon Crawler · Card Game · Board Game</t>
  </si>
  <si>
    <t xml:space="preserve">THE SPIRIT LIFT</t>
  </si>
  <si>
    <t xml:space="preserve">prettysmart games</t>
  </si>
  <si>
    <t xml:space="preserve">Roguelike Deckbuilder · Card Game · Roguelike · Roguelite · Card Battler · Strategy · Horror · Deckbuilding</t>
  </si>
  <si>
    <t xml:space="preserve">Acolyte of the Altar</t>
  </si>
  <si>
    <t xml:space="preserve">Black Kite Games</t>
  </si>
  <si>
    <t xml:space="preserve">Roguelike Deckbuilder · Card Game · Card Battler · Strategy · Roguelike · Deckbuilding · Roguelite · Replay Value</t>
  </si>
  <si>
    <t xml:space="preserve">Tower Tactics II</t>
  </si>
  <si>
    <t xml:space="preserve">Tower Defense · Roguelike Deckbuilder · Strategy · Space · Roguelike · Deckbuilding · Roguelite · 2D</t>
  </si>
  <si>
    <t xml:space="preserve">Voice of Belldona</t>
  </si>
  <si>
    <t xml:space="preserve">StoryCropStudio</t>
  </si>
  <si>
    <t xml:space="preserve">Early Access · Roguelike Deckbuilder · Turn-Based Combat · Multiple Endings · Turn-Based Tactics · Anime · Card Battler · Tactical RPG</t>
  </si>
  <si>
    <t xml:space="preserve">Ultaan Games</t>
  </si>
  <si>
    <t xml:space="preserve">Deckbuilding · Roguelike Deckbuilder · PvE · Character Customization · Card Game · Card Battler · Sandbox · Difficult</t>
  </si>
  <si>
    <t xml:space="preserve">Arvis Games</t>
  </si>
  <si>
    <t xml:space="preserve">Strategy · Roguelike Deckbuilder · Indie · Roguelike · Roguelite · Resource Management · 2D · Cute</t>
  </si>
  <si>
    <t xml:space="preserve">Tamarak Trail</t>
  </si>
  <si>
    <t xml:space="preserve">Yarrow Games</t>
  </si>
  <si>
    <t xml:space="preserve">Procedural Generation · Deckbuilding · Strategy · Roguelike Deckbuilder · Roguelike · Casual · Card Game · Card Battler</t>
  </si>
  <si>
    <t xml:space="preserve">Calamity Eliminator</t>
  </si>
  <si>
    <t xml:space="preserve">White Knight</t>
  </si>
  <si>
    <t xml:space="preserve">Early Access · Roguelike · Anime · Roguelite · Roguelike Deckbuilder · Deckbuilding · Turn-Based Tactics · JRPG</t>
  </si>
  <si>
    <t xml:space="preserve">Squiggle Football</t>
  </si>
  <si>
    <t xml:space="preserve">Max Barry</t>
  </si>
  <si>
    <t xml:space="preserve">Sports · Simulation · Auto Battler · Management · Card Game · Roguelike Deckbuilder · Deckbuilding · Roguelike</t>
  </si>
  <si>
    <t xml:space="preserve">Pop! Pachinko</t>
  </si>
  <si>
    <t xml:space="preserve">Pangolin Interactive; Robot Lion Games</t>
  </si>
  <si>
    <t xml:space="preserve">Roguelike Deckbuilder · Roguelite · Deckbuilding · Strategy · Physics · Indie · Arcade · Score Attack</t>
  </si>
  <si>
    <t xml:space="preserve">Thunderrock Innovations</t>
  </si>
  <si>
    <t xml:space="preserve">Roguelike Deckbuilder · Relaxing · Puzzle · Casual · Strategy · Turn-Based Strategy · City Builder · Simulation</t>
  </si>
  <si>
    <t xml:space="preserve">Nanika Game Online</t>
  </si>
  <si>
    <t xml:space="preserve">Marble Works</t>
  </si>
  <si>
    <t xml:space="preserve">Puzzle · 2D Platformer · 2D · Pixel Graphics · Free to Play · Early Access · Casual · Indie</t>
  </si>
  <si>
    <t xml:space="preserve">Dishventory</t>
  </si>
  <si>
    <t xml:space="preserve">Final Offer</t>
  </si>
  <si>
    <t xml:space="preserve">Card Game · Roguelike Deckbuilder · Roguelike · Strategy · Deckbuilding · Singleplayer · Pixel Graphics · Replay Value</t>
  </si>
  <si>
    <t xml:space="preserve">Tomb of the Bloodletter</t>
  </si>
  <si>
    <t xml:space="preserve">Ethan's Secretions</t>
  </si>
  <si>
    <t xml:space="preserve">Roguelike Deckbuilder · Word Game · Strategy · Roguelike · Deckbuilding · Puzzle · Typing · Dungeon Crawler</t>
  </si>
  <si>
    <t xml:space="preserve">Cartridge Defense</t>
  </si>
  <si>
    <t xml:space="preserve">Out Gaming</t>
  </si>
  <si>
    <t xml:space="preserve">Tower Defense · Card Game · Deckbuilding · Roguelike Deckbuilder · Roguelite · Card Battler · Cyberpunk · Sci-fi</t>
  </si>
  <si>
    <t xml:space="preserve">Erlend Kirkeboe; Kay Arne Kirkeboe</t>
  </si>
  <si>
    <t xml:space="preserve">Card Game · Roguelike Deckbuilder · Adventure · Card Battler · Deckbuilding · Roguelite · Strategy · Roguelike</t>
  </si>
  <si>
    <t xml:space="preserve">Rise of the Slime: Prologue</t>
  </si>
  <si>
    <t xml:space="preserve">Free to Play · Roguelike Deckbuilder · Cute · Replay Value · Early Access · Card Battler · Card Game · Roguelike</t>
  </si>
  <si>
    <t xml:space="preserve">Neongarten</t>
  </si>
  <si>
    <t xml:space="preserve">Moonroof Studios</t>
  </si>
  <si>
    <t xml:space="preserve">Strategy · Simulation · City Builder · Cyberpunk · Roguelite · Building · Minimalist · Capitalism</t>
  </si>
  <si>
    <t xml:space="preserve">Brute Farce</t>
  </si>
  <si>
    <t xml:space="preserve">Early Access · Roguelike Deckbuilder · Card Game · Card Battler · Deckbuilding · Tactical · Roguelike · Turn-Based</t>
  </si>
  <si>
    <t xml:space="preserve">Infinite Cards</t>
  </si>
  <si>
    <t xml:space="preserve">Tubby Turtle Studios</t>
  </si>
  <si>
    <t xml:space="preserve">Strategy · Roguelike Deckbuilder · Card Game · Procedural Generation · Deckbuilding · Card Battler · Singleplayer · Roguelike</t>
  </si>
  <si>
    <t xml:space="preserve">Tabulo</t>
  </si>
  <si>
    <t xml:space="preserve">Noah Games</t>
  </si>
  <si>
    <t xml:space="preserve">Strategy · Roguelike Deckbuilder · Roguelike · Card Game · Turn-Based Strategy · Card Battler · Deckbuilding · Casual</t>
  </si>
  <si>
    <t xml:space="preserve">John August; Corey Martin</t>
  </si>
  <si>
    <t xml:space="preserve">Word Game · Roguelike · Deckbuilding · Card Game · Relaxing · Cartoon · Cartoony · Cute</t>
  </si>
  <si>
    <t xml:space="preserve">ploink</t>
  </si>
  <si>
    <t xml:space="preserve">Pyrocreep</t>
  </si>
  <si>
    <t xml:space="preserve">Pinball · Roguelike · Roguelite · Deckbuilding · Turn-Based · Auto Battler · Score Attack · Turn-Based Tactics</t>
  </si>
  <si>
    <t xml:space="preserve">Decks &amp; Daggers</t>
  </si>
  <si>
    <t xml:space="preserve">Osarion</t>
  </si>
  <si>
    <t xml:space="preserve">RPG · Strategy · Card Game · Adventure · Roguelike Deckbuilder · Dungeon Crawler · Tabletop · Singleplayer</t>
  </si>
  <si>
    <t xml:space="preserve">58BLADES</t>
  </si>
  <si>
    <t xml:space="preserve">Early Access · Roguelike Deckbuilder · Strategy · Deckbuilding · Replay Value · Card Game · Card Battler · Difficult</t>
  </si>
  <si>
    <t xml:space="preserve">Digs TD</t>
  </si>
  <si>
    <t xml:space="preserve">Digs Team</t>
  </si>
  <si>
    <t xml:space="preserve">Tower Defense · Strategy · Dwarves · Difficult · Roguelite · Mining · Old School · Turn-Based Tactics</t>
  </si>
  <si>
    <t xml:space="preserve">Spellrune: Realm of Portals</t>
  </si>
  <si>
    <t xml:space="preserve">Microlith Games</t>
  </si>
  <si>
    <t xml:space="preserve">Roguelike Deckbuilder · Card Battler · Strategy · RPG · Early Access · Indie · Card Game · Singleplayer</t>
  </si>
  <si>
    <t xml:space="preserve">Order Automatica</t>
  </si>
  <si>
    <t xml:space="preserve">New Beings</t>
  </si>
  <si>
    <t xml:space="preserve">Auto Battler · Roguelike Deckbuilder · Card Game · Roguelite · Board Game · Deckbuilding · Pixel Graphics · Singleplayer</t>
  </si>
  <si>
    <t xml:space="preserve">Starcrow Dev</t>
  </si>
  <si>
    <t xml:space="preserve">Card Battler · Turn-Based Tactics · Roguelike Deckbuilder · Card Game · Roguelike · Faith · Board Game · Turn-Based Strategy</t>
  </si>
  <si>
    <t xml:space="preserve">Ace Benoff</t>
  </si>
  <si>
    <t xml:space="preserve">Strategy · Card Game · Deckbuilding · Roguelite · Roguelike Deckbuilder · Singleplayer · Board Game · Fantasy</t>
  </si>
  <si>
    <t xml:space="preserve">Cento</t>
  </si>
  <si>
    <t xml:space="preserve">Hoshimadara Lab.</t>
  </si>
  <si>
    <t xml:space="preserve">Rhythm · Casual · Pixel Graphics · Roguelike Deckbuilder · Turn-Based Tactics · Deckbuilding · Roguelite · Indie</t>
  </si>
  <si>
    <t xml:space="preserve">Jabari Alii; Adrian Marple; manadream</t>
  </si>
  <si>
    <t xml:space="preserve">Roguelike Deckbuilder · Card Battler · Roguelike · Turn-Based Tactics · Deckbuilding · Tactical · Grid-Based Movement · Card Game</t>
  </si>
  <si>
    <t xml:space="preserve">Clutchtime™: Tournament Edition</t>
  </si>
  <si>
    <t xml:space="preserve">Roguelike Deckbuilder · Basketball · Time Management · Sports · Minimalist · Turn-Based Tactics · PvP · PvE</t>
  </si>
  <si>
    <t xml:space="preserve">Pegs X Stickers</t>
  </si>
  <si>
    <t xml:space="preserve">Mister Morris Games; Tyler Ray Games</t>
  </si>
  <si>
    <t xml:space="preserve">Strategy · Roguelite · Physics · Roguelike Deckbuilder · Deckbuilding · Turn-Based Tactics · Arcade · Indie</t>
  </si>
  <si>
    <t xml:space="preserve">SuperTotalCarnage!</t>
  </si>
  <si>
    <t xml:space="preserve">IndieGala</t>
  </si>
  <si>
    <t xml:space="preserve">Action Roguelike · Action · Bullet Hell · Roguelite · Action RPG · 2D · Horror · Pixel Graphics</t>
  </si>
  <si>
    <t xml:space="preserve">Northwind</t>
  </si>
  <si>
    <t xml:space="preserve">Barking Kitten Interactive</t>
  </si>
  <si>
    <t xml:space="preserve">Roguelike Deckbuilder · Card Game · Card Battler · Deckbuilding · Roguelike · Roguelite · Strategy · Turn-Based Strategy</t>
  </si>
  <si>
    <t xml:space="preserve">Acram Digital</t>
  </si>
  <si>
    <t xml:space="preserve">Early Access · Roguelike Deckbuilder · Card Game · Roguelike · Strategy · Deckbuilding · Card Battler · Turn-Based</t>
  </si>
  <si>
    <t xml:space="preserve">Madcap Mosaic</t>
  </si>
  <si>
    <t xml:space="preserve">1classydude</t>
  </si>
  <si>
    <t xml:space="preserve">Strategy · Roguelite · Deckbuilding · Card Game · Roguelike · Singleplayer · Perma Death · Card Battler</t>
  </si>
  <si>
    <t xml:space="preserve">Sigilfarer: A Dice-Rolling Roguelite</t>
  </si>
  <si>
    <t xml:space="preserve">Viabo Games</t>
  </si>
  <si>
    <t xml:space="preserve">Dice · Roguelike Deckbuilder · Roguelite · Singleplayer · Party-Based RPG · Turn-Based Combat · Hex Grid · Procedural Generation</t>
  </si>
  <si>
    <t xml:space="preserve">Game Studio Inc.; KADOKAWA</t>
  </si>
  <si>
    <t xml:space="preserve">Indie · Roguelike Deckbuilder · Roguelite · Auto Battler · Deckbuilding · Roguelike · Gambling · Pixel Graphics</t>
  </si>
  <si>
    <t xml:space="preserve">Old School Vibes; Gray Boss</t>
  </si>
  <si>
    <t xml:space="preserve">Adventure · Action Roguelike · Action RPG · Bullet Hell · Early Access · Pixel Graphics · Roguelike · Roguelike Deckbuilder</t>
  </si>
  <si>
    <t xml:space="preserve">Once Upon A Card</t>
  </si>
  <si>
    <t xml:space="preserve">Dreamborne Studio</t>
  </si>
  <si>
    <t xml:space="preserve">Strategy · Card Game · Indie · Roguelike · Puzzle · Card Battler · Deckbuilding · Roguelike Deckbuilder</t>
  </si>
  <si>
    <t xml:space="preserve">Grave New World</t>
  </si>
  <si>
    <t xml:space="preserve">grishkogameplay; Dwang</t>
  </si>
  <si>
    <t xml:space="preserve">Turn-Based Strategy · Falling Blocks · Resource Management · Logic · Strategy · Singleplayer · Tactical · Puzzle</t>
  </si>
  <si>
    <t xml:space="preserve">Fruit Fusion!</t>
  </si>
  <si>
    <t xml:space="preserve">Mangobits Studios</t>
  </si>
  <si>
    <t xml:space="preserve">Singleplayer · Casual · Deckbuilding · Female Protagonist · Cute · Colorful · Roguelike Deckbuilder · Roguelike</t>
  </si>
  <si>
    <t xml:space="preserve">酒馆战争</t>
  </si>
  <si>
    <t xml:space="preserve">战魂工作室</t>
  </si>
  <si>
    <t xml:space="preserve">Roguelike Deckbuilder · Roguelike · Turn-Based Tactics · Replay Value · Deckbuilding · Strategy · Auto Battler · Card Game</t>
  </si>
  <si>
    <t xml:space="preserve">Fuzz Force: Spook Squad</t>
  </si>
  <si>
    <t xml:space="preserve">Roguelike Deckbuilder · Deckbuilding · Supernatural · Turn-Based · Roguelike · Board Game · RPG · Roguelite</t>
  </si>
  <si>
    <t xml:space="preserve">Philipp Lehner</t>
  </si>
  <si>
    <t xml:space="preserve">Roguelike Deckbuilder · Card Battler · Difficult · Card Game · Strategy · Roguelike · Deckbuilding · 3D</t>
  </si>
  <si>
    <t xml:space="preserve">Cats &amp; Dice</t>
  </si>
  <si>
    <t xml:space="preserve">Yongjustyong</t>
  </si>
  <si>
    <t xml:space="preserve">Card Battler · Roguelike · Deckbuilding · Card Game · Turn-Based Strategy · Strategy · Roguelite · Roguelike Deckbuilder</t>
  </si>
  <si>
    <t xml:space="preserve">Mechanibot</t>
  </si>
  <si>
    <t xml:space="preserve">Jon Nielsen</t>
  </si>
  <si>
    <t xml:space="preserve">Tactical · Strategy · Replay Value · Auto Battler · Action Roguelike · Roguelite · Roguelike · Deckbuilding</t>
  </si>
  <si>
    <t xml:space="preserve">Wild City</t>
  </si>
  <si>
    <t xml:space="preserve">Monka Studios</t>
  </si>
  <si>
    <t xml:space="preserve">Roguelike Deckbuilder · Strategy · Roguelite · Deckbuilding · Roguelike · Card Game · Replay Value · Dark Humor</t>
  </si>
  <si>
    <t xml:space="preserve">Dice Assassin</t>
  </si>
  <si>
    <t xml:space="preserve">Afil Games</t>
  </si>
  <si>
    <t xml:space="preserve">Roguelike · Card Battler · Auto Battler · Strategy · Action Roguelike · Turn-Based Tactics · Turn-Based Strategy · Action-Adventure</t>
  </si>
  <si>
    <t xml:space="preserve">C.A.R.D.S. RPG: The Misty Battlefield</t>
  </si>
  <si>
    <t xml:space="preserve">ACQUIRE Corp.</t>
  </si>
  <si>
    <t xml:space="preserve">Kunpo</t>
  </si>
  <si>
    <t xml:space="preserve">Indie · Strategy · Roguelike Deckbuilder · Deckbuilding · Card Game · Adventure · Roguelike · Roguelite</t>
  </si>
  <si>
    <t xml:space="preserve">dicehit</t>
  </si>
  <si>
    <t xml:space="preserve">Early Access · Roguelike Deckbuilder · Card Game · Deckbuilding · Card Battler · Roguelite · Mouse Only · Replay Value</t>
  </si>
  <si>
    <t xml:space="preserve">Talespinner</t>
  </si>
  <si>
    <t xml:space="preserve">Flash Cat Games</t>
  </si>
  <si>
    <t xml:space="preserve">Roguelike Deckbuilder · Card Battler · Roguelike · Card Game · Turn-Based · Deckbuilding · RPG · Roguelite</t>
  </si>
  <si>
    <t xml:space="preserve">Soneka Games</t>
  </si>
  <si>
    <t xml:space="preserve">Roguelike Deckbuilder · Deckbuilding · Card Game · Roguelike · Turn-Based · Roguelite · Turn-Based Strategy · Difficult</t>
  </si>
  <si>
    <t xml:space="preserve">Novus Orbis</t>
  </si>
  <si>
    <t xml:space="preserve">Seizo Games</t>
  </si>
  <si>
    <t xml:space="preserve">Early Access · Roguelike Deckbuilder · Roguelike · Deckbuilding · Adventure · Card Battler · Turn-Based · Turn-Based Combat</t>
  </si>
  <si>
    <t xml:space="preserve">能量冲击 Energy Shock</t>
  </si>
  <si>
    <t xml:space="preserve">Meowtoy Games</t>
  </si>
  <si>
    <t xml:space="preserve">Roguelike Deckbuilder · Strategy · Indie · Early Access · Roguelite · Card Game · Difficult</t>
  </si>
  <si>
    <t xml:space="preserve">Sorcerer's Servant</t>
  </si>
  <si>
    <t xml:space="preserve">2202GAMES,LLC</t>
  </si>
  <si>
    <t xml:space="preserve">RPG · Roguelike · 2D · Anime · Pixel Graphics · Hand-drawn · Comic Book · Dark Fantasy</t>
  </si>
  <si>
    <t xml:space="preserve">CosmoPirates</t>
  </si>
  <si>
    <t xml:space="preserve">BlackMoon Design</t>
  </si>
  <si>
    <t xml:space="preserve">Roguelike Deckbuilder · Deckbuilding · Card Game · Roguelike · Card Battler · Exploration · Roguelite · Pirates</t>
  </si>
  <si>
    <t xml:space="preserve">Sigil of the Magi</t>
  </si>
  <si>
    <t xml:space="preserve">Roguelike · Roguelike Deckbuilder · Deckbuilding · Card Game · Adventure · Turn-Based Tactics · Card Battler · RPG</t>
  </si>
  <si>
    <t xml:space="preserve">Heat Death</t>
  </si>
  <si>
    <t xml:space="preserve">Gallistrix</t>
  </si>
  <si>
    <t xml:space="preserve">Roguelike Deckbuilder · Card Battler · Turn-Based Tactics · Difficult · Card Game · Deckbuilding · Singleplayer · Roguelike</t>
  </si>
  <si>
    <t xml:space="preserve">DeadPixel</t>
  </si>
  <si>
    <t xml:space="preserve">Tower Defense · Roguelike · Strategy · Roguelite · RTS · Singleplayer · Roguelike Deckbuilder · Bullet Hell</t>
  </si>
  <si>
    <t xml:space="preserve">Corrupted: Dawn of Havoc</t>
  </si>
  <si>
    <t xml:space="preserve">36Litters</t>
  </si>
  <si>
    <t xml:space="preserve">Early Access · Roguelike Deckbuilder · Strategy · Auto Battler · Roguelike · Deckbuilding · Roguelite · Online Co-Op</t>
  </si>
  <si>
    <t xml:space="preserve">Ricochet Abyss</t>
  </si>
  <si>
    <t xml:space="preserve">DreamForge</t>
  </si>
  <si>
    <t xml:space="preserve">Pixel Graphics · Action Roguelike · Strategy RPG · Roguelike · Strategy · RPG · 2D · Top-Down</t>
  </si>
  <si>
    <t xml:space="preserve">Usurper</t>
  </si>
  <si>
    <t xml:space="preserve">Rogue Brain Studios</t>
  </si>
  <si>
    <t xml:space="preserve">Roguelike Deckbuilder · Chess · Turn-Based Tactics · Roguelite · Roguelike · Card Battler · Difficult · Board Game</t>
  </si>
  <si>
    <t xml:space="preserve">Acki Nacki - Popit Game</t>
  </si>
  <si>
    <t xml:space="preserve">GOSH Technology Ltd</t>
  </si>
  <si>
    <t xml:space="preserve">Early Access · Card Game · Roguelike Deckbuilder · Roguelike · Deckbuilding · Strategy · Singleplayer · Asynchronous Multiplayer</t>
  </si>
  <si>
    <t xml:space="preserve">Cultivation Story: Infinite Sword Realm</t>
  </si>
  <si>
    <t xml:space="preserve">Bid Pond Studio Ltd.</t>
  </si>
  <si>
    <t xml:space="preserve">Early Access · Card Battler · Roguelite · Difficult · Turn-Based · Card Game · Roguelike · RPG</t>
  </si>
  <si>
    <t xml:space="preserve">Nightpark Journal</t>
  </si>
  <si>
    <t xml:space="preserve">升海宫</t>
  </si>
  <si>
    <t xml:space="preserve">Roguelike Deckbuilder · Card Battler · Replay Value · Strategy · Roguelite · Roguelike · Deckbuilding · RPG</t>
  </si>
  <si>
    <t xml:space="preserve">Golden Record Retriever</t>
  </si>
  <si>
    <t xml:space="preserve">Indie · Deckbuilding · Board Game · Roguelike · Roguelite · Casual · Card Game · Cartoon</t>
  </si>
  <si>
    <t xml:space="preserve">元卡牌MetaCard</t>
  </si>
  <si>
    <t xml:space="preserve">KY Games</t>
  </si>
  <si>
    <t xml:space="preserve">Roguelike Deckbuilder · Deckbuilding · Card Game · Roguelite · Roguelike · Trading Card Game · Turn-Based Combat · RPG</t>
  </si>
  <si>
    <t xml:space="preserve">Prof. Scherer</t>
  </si>
  <si>
    <t xml:space="preserve">Roguelike Deckbuilder · Strategy · Card Battler · Card Game · Inventory Management · Deckbuilding · Turn-Based Combat · Singleplayer</t>
  </si>
  <si>
    <t xml:space="preserve">It's Raining Acorn!</t>
  </si>
  <si>
    <t xml:space="preserve">Reima Project</t>
  </si>
  <si>
    <t xml:space="preserve">Free to Play · Idler · Physics · Incremental · Pinball · Deckbuilding · Casual · 2D</t>
  </si>
  <si>
    <t xml:space="preserve">Keycard Studio, LLC</t>
  </si>
  <si>
    <t xml:space="preserve">Roguelike Deckbuilder · Card Game · Space · Military · RTS · Story Rich · 2D · Singleplayer</t>
  </si>
  <si>
    <t xml:space="preserve">Elf Lifia and the Labyrinth of Everdream</t>
  </si>
  <si>
    <t xml:space="preserve">kagurado</t>
  </si>
  <si>
    <t xml:space="preserve">RPG · Singleplayer · 2D · Nudity · Anime · Sexual Content · Card Battler · Card Game</t>
  </si>
  <si>
    <t xml:space="preserve">Turn-Based Combat · Strategy · Deckbuilding · Roguelite · Card Game · Card Battler · Roguelike · Turn-Based Strategy</t>
  </si>
  <si>
    <t xml:space="preserve">Warlords of the Deck</t>
  </si>
  <si>
    <t xml:space="preserve">Legion Forge Games</t>
  </si>
  <si>
    <t xml:space="preserve">Roguelike Deckbuilder · Casual · Strategy · Replay Value · Indie · Roguelike · Deckbuilding · Card Game</t>
  </si>
  <si>
    <t xml:space="preserve">Ragtag Heroes : CO-OP Deckbuilder</t>
  </si>
  <si>
    <t xml:space="preserve">Ragtag Heroes Team</t>
  </si>
  <si>
    <t xml:space="preserve">Early Access · Co-op · Online Co-Op · Roguelike Deckbuilder · Deckbuilding · Roguelike · RPG · Card Game</t>
  </si>
  <si>
    <t xml:space="preserve">Space Order Mine</t>
  </si>
  <si>
    <t xml:space="preserve">Fluffy Lotus</t>
  </si>
  <si>
    <t xml:space="preserve">Strategy · RPG · Roguelike · Roguelite · Turn-Based Tactics · 2D · Pixel Graphics · Futuristic</t>
  </si>
  <si>
    <t xml:space="preserve">Ringer</t>
  </si>
  <si>
    <t xml:space="preserve">Ideas Per Second</t>
  </si>
  <si>
    <t xml:space="preserve">Deckbuilding · Roguelike · Strategy · Physics · Perma Death · Colorful · Casual · Cute</t>
  </si>
  <si>
    <t xml:space="preserve">Card Game · Card Battler · Deckbuilding · Resource Management · Choices Matter · Multiple Endings · Comedy · Indie</t>
  </si>
  <si>
    <t xml:space="preserve">h8machine</t>
  </si>
  <si>
    <t xml:space="preserve">gaem by jj</t>
  </si>
  <si>
    <t xml:space="preserve">Card Battler · Real-Time with Pause · Roguelike Deckbuilder · Time Management · Roguelite · Card Game · Female Protagonist · Roguelike</t>
  </si>
  <si>
    <t xml:space="preserve">Escape the Dynasty</t>
  </si>
  <si>
    <t xml:space="preserve">Early Access · Strategy · Roguelike · Card Game · Deckbuilding · Indie · Replay Value · Card Battler</t>
  </si>
  <si>
    <t xml:space="preserve">Crazy Pocket</t>
  </si>
  <si>
    <t xml:space="preserve">Deckbuilding · Roguelike · Roguelite · Turn-Based · Strategy · Arcade · Difficult · 2D</t>
  </si>
  <si>
    <t xml:space="preserve">George Financial Holding Ltd.</t>
  </si>
  <si>
    <t xml:space="preserve">Roguelite · Deckbuilding · Real Time Tactics · Card Game · Strategy · RPG · Martial Arts · Sci-fi</t>
  </si>
  <si>
    <t xml:space="preserve">Project Solaris</t>
  </si>
  <si>
    <t xml:space="preserve">Greenhorn</t>
  </si>
  <si>
    <t xml:space="preserve">Indie · Roguelite · Multiple Endings · Pixel Graphics · Roguelike Deckbuilder · Turn-Based Tactics · Cute · JRPG</t>
  </si>
  <si>
    <t xml:space="preserve">Boogey Hunters</t>
  </si>
  <si>
    <t xml:space="preserve">Keep The Engine Games</t>
  </si>
  <si>
    <t xml:space="preserve">Horror · Roguelike Deckbuilder · Strategy · Deckbuilding · Turn-Based Strategy · Western · Card Battler · Roguelike</t>
  </si>
  <si>
    <t xml:space="preserve">Devwind</t>
  </si>
  <si>
    <t xml:space="preserve">Roguelike Deckbuilder · Card Battler · Card Game · Roguelike · Deckbuilding · Strategy · Roguelite · 2D</t>
  </si>
  <si>
    <t xml:space="preserve">Spooky Mahjong</t>
  </si>
  <si>
    <t xml:space="preserve">Triakola Studios</t>
  </si>
  <si>
    <t xml:space="preserve">Hidden Object · Casual · Singleplayer · Mahjong · Runner · Puzzle · Horror · Family Friendly</t>
  </si>
  <si>
    <t xml:space="preserve">Command Deck</t>
  </si>
  <si>
    <t xml:space="preserve">k-critical</t>
  </si>
  <si>
    <t xml:space="preserve">Early Access · Strategy · Sci-fi · Roguelike Deckbuilder · Space · Deckbuilding · Roguelike · Combat</t>
  </si>
  <si>
    <t xml:space="preserve">Dice Hero: The Unoriginal Story</t>
  </si>
  <si>
    <t xml:space="preserve">MistByte</t>
  </si>
  <si>
    <t xml:space="preserve">Roguelike Deckbuilder · Card Game · Card Battler · Roguelike · Deckbuilding · Turn-Based Strategy · Strategy · Turn-Based Tactics</t>
  </si>
  <si>
    <t xml:space="preserve">Metroplex Zero: Sci-Fi Card Battler</t>
  </si>
  <si>
    <t xml:space="preserve">Enigma Dragons LLC</t>
  </si>
  <si>
    <t xml:space="preserve">Roguelike Deckbuilder · Turn-Based · Card Battler · Cyberpunk · Strategy · Deckbuilding · Roguelike · Turn-Based Combat</t>
  </si>
  <si>
    <t xml:space="preserve">Creeping Deck: Pharaoh's Curse Prologue</t>
  </si>
  <si>
    <t xml:space="preserve">BlanketGames</t>
  </si>
  <si>
    <t xml:space="preserve">Action · Adventure · RPG · Strategy · Action-Adventure · Action RPG · Card Game · Turn-Based Strategy</t>
  </si>
  <si>
    <t xml:space="preserve">Perfect  Dice</t>
  </si>
  <si>
    <t xml:space="preserve">Tilt Station</t>
  </si>
  <si>
    <t xml:space="preserve">Card Game · Deckbuilding · Side Scroller · Card Battler · Pixel Graphics · Roguelike · Turn-Based Tactics · 2D</t>
  </si>
  <si>
    <t xml:space="preserve">Sleeper Games</t>
  </si>
  <si>
    <t xml:space="preserve">Roguelike Deckbuilder · Card Game · Roguelike · Deckbuilding · Difficult · Turn-Based Tactics · Roguelite · Sci-fi</t>
  </si>
  <si>
    <t xml:space="preserve">Infest</t>
  </si>
  <si>
    <t xml:space="preserve">Chute Apps</t>
  </si>
  <si>
    <t xml:space="preserve">Roguelike Deckbuilder · Deckbuilding · Card Battler · Physics · Sandbox · Card Game · Real-Time with Pause · Strategy</t>
  </si>
  <si>
    <t xml:space="preserve">Good Day Games</t>
  </si>
  <si>
    <t xml:space="preserve">Action · Casual · Strategy · Arcade · Pinball · Physics · Indie · Puzzle</t>
  </si>
  <si>
    <t xml:space="preserve">Ribbit Rogue</t>
  </si>
  <si>
    <t xml:space="preserve">King Krab Games</t>
  </si>
  <si>
    <t xml:space="preserve">Card Battler · Turn-Based Tactics · Roguelite · Dungeon Crawler · Turn-Based · Card Game · Roguelike · 2D</t>
  </si>
  <si>
    <t xml:space="preserve">Ashes of Morgravia</t>
  </si>
  <si>
    <t xml:space="preserve">background blur.</t>
  </si>
  <si>
    <t xml:space="preserve">Deckbuilding · Card Battler · Roguelike Deckbuilder · Roguelite · Dark Fantasy · Turn-Based Combat · Tactical RPG · Difficult</t>
  </si>
  <si>
    <t xml:space="preserve">Happy Poker</t>
  </si>
  <si>
    <t xml:space="preserve">VGameX</t>
  </si>
  <si>
    <t xml:space="preserve">Roguelike Deckbuilder · Card Game · Strategy · Funny · Solitaire · Turn-Based Strategy · Roguelite · Deckbuilding</t>
  </si>
  <si>
    <t xml:space="preserve">A la Card</t>
  </si>
  <si>
    <t xml:space="preserve">Shook Loose</t>
  </si>
  <si>
    <t xml:space="preserve">Roguelike Deckbuilder · Card Game · Card Battler · Roguelike · Strategy · Turn-Based · Deckbuilding · 2D</t>
  </si>
  <si>
    <t xml:space="preserve">Flawed Games</t>
  </si>
  <si>
    <t xml:space="preserve">Strategy · Auto Battler · Multiplayer · PvP · Tactical · Online Co-Op · Turn-Based Tactics · Card Battler</t>
  </si>
  <si>
    <t xml:space="preserve">Zombie Epoch:Deck Apocalypse</t>
  </si>
  <si>
    <t xml:space="preserve">HY Indie Game</t>
  </si>
  <si>
    <t xml:space="preserve">Strategy · Roguelike Deckbuilder · Card Game · Roguelike · Card Battler · Choices Matter · Deckbuilding · Turn-Based Tactics</t>
  </si>
  <si>
    <t xml:space="preserve">Deckbuilder Fantasy</t>
  </si>
  <si>
    <t xml:space="preserve">Dr. Cyril Splutterworth</t>
  </si>
  <si>
    <t xml:space="preserve">Roguelike Deckbuilder · Card Game · Card Battler · Roguelike · Strategy · Deckbuilding · Turn-Based · Roguelite</t>
  </si>
  <si>
    <t xml:space="preserve">Tinker Shot</t>
  </si>
  <si>
    <t xml:space="preserve">CodeRed</t>
  </si>
  <si>
    <t xml:space="preserve">Roguelike Deckbuilder · Turn-Based Combat · Strategy · Card Battler · Deckbuilding · Roguelike · Roguelite · Turn-Based Strategy</t>
  </si>
  <si>
    <t xml:space="preserve">fishbone games</t>
  </si>
  <si>
    <t xml:space="preserve">Roguelike · Deckbuilding · Card Game · Turn-Based Strategy · Indie · Roguelike Deckbuilder · Turn-Based Tactics · Strategy</t>
  </si>
  <si>
    <t xml:space="preserve">Barney Whiteman</t>
  </si>
  <si>
    <t xml:space="preserve">Action Roguelike · Deckbuilding · Space · Mining · Perma Death · Procedural Generation · Strategy · Roguelike</t>
  </si>
  <si>
    <t xml:space="preserve">SPELLHACK!!</t>
  </si>
  <si>
    <t xml:space="preserve">Computer Dream</t>
  </si>
  <si>
    <t xml:space="preserve">Roguelike Deckbuilder · Real Time Tactics · Survival · Action · Card Battler · Roguelite · Deckbuilding · Card Game</t>
  </si>
  <si>
    <t xml:space="preserve">Insane Robots</t>
  </si>
  <si>
    <t xml:space="preserve">Playniac</t>
  </si>
  <si>
    <t xml:space="preserve">Card Battler · Roguelike Deckbuilder · Indie · Strategy · Casual · Adventure · RPG · Card Game</t>
  </si>
  <si>
    <t xml:space="preserve">Hillforts</t>
  </si>
  <si>
    <t xml:space="preserve">Five Head Games</t>
  </si>
  <si>
    <t xml:space="preserve">Strategy · Auto Battler · Roguelike · Medieval · Card Battler · Deckbuilding · Card Game · Indie</t>
  </si>
  <si>
    <t xml:space="preserve">Neuter Master</t>
  </si>
  <si>
    <t xml:space="preserve">PcZ Games</t>
  </si>
  <si>
    <t xml:space="preserve">Strategy · Management · Roguelike Deckbuilder · Deckbuilding · Resource Management · Roguelite · Roguelike · Simulation</t>
  </si>
  <si>
    <t xml:space="preserve">Metal Queen Dungeon</t>
  </si>
  <si>
    <t xml:space="preserve">KRAKL Games</t>
  </si>
  <si>
    <t xml:space="preserve">Roguelike Deckbuilder · Card Game · Card Battler · Roguelike · Strategy · Deckbuilding · Auto Battler · Indie</t>
  </si>
  <si>
    <t xml:space="preserve">Big Quail Games</t>
  </si>
  <si>
    <t xml:space="preserve">Roguelike Deckbuilder · Deckbuilding · Roguelike · Replay Value · Strategy · Choices Matter · Singleplayer · Roguelite</t>
  </si>
  <si>
    <t xml:space="preserve">Towers Deck</t>
  </si>
  <si>
    <t xml:space="preserve">ThinKING Cat Games</t>
  </si>
  <si>
    <t xml:space="preserve">Tower Defense · Isometric · Minimalist · Roguelike Deckbuilder · Strategy · Procedural Generation · Card Game · Base Building</t>
  </si>
  <si>
    <t xml:space="preserve">NET.CRAWL</t>
  </si>
  <si>
    <t xml:space="preserve">Everyone is Solid</t>
  </si>
  <si>
    <t xml:space="preserve">Roguelike Deckbuilder · Roguelite · Deckbuilding · Roguelike · Cyberpunk · Sci-fi · Tactical RPG · Puzzle</t>
  </si>
  <si>
    <t xml:space="preserve">Vegangsters</t>
  </si>
  <si>
    <t xml:space="preserve">Poison Pill Games</t>
  </si>
  <si>
    <t xml:space="preserve">Roguelike Deckbuilder · Card Battler · Card Game · Roguelike · Deckbuilding · Roguelite · Difficult · Turn-Based</t>
  </si>
  <si>
    <t xml:space="preserve">Glass Cannon</t>
  </si>
  <si>
    <t xml:space="preserve">LisiSoft</t>
  </si>
  <si>
    <t xml:space="preserve">Arena Shooter · Physics · Roguelike Deckbuilder · Procedural Generation · Inventory Management · Difficult · Arcade · Combat</t>
  </si>
  <si>
    <t xml:space="preserve">Cthulhu Dungeon</t>
  </si>
  <si>
    <t xml:space="preserve">SanYeGame</t>
  </si>
  <si>
    <t xml:space="preserve">Early Access · Roguelike Deckbuilder · Card Battler · Card Game · Deckbuilding · 2D · Roguelike · Moddable</t>
  </si>
  <si>
    <t xml:space="preserve">飞天海牛工作室</t>
  </si>
  <si>
    <t xml:space="preserve">Roguelite · Roguelike · RPG · Story Rich · Atmospheric · Modern · Dark Humor · Dialogue Heavy</t>
  </si>
  <si>
    <t xml:space="preserve">Crimson Connect Origin</t>
  </si>
  <si>
    <t xml:space="preserve">Team_UnderBar</t>
  </si>
  <si>
    <t xml:space="preserve">Strategy · Roguelike · Roguelite · 2D · Colorful · Post-apocalyptic · Base Building · Singleplayer</t>
  </si>
  <si>
    <t xml:space="preserve">Succubus Abyss: 30-Day Survival Guide</t>
  </si>
  <si>
    <t xml:space="preserve">魅魔深淵</t>
  </si>
  <si>
    <t xml:space="preserve">Roguelike Deckbuilder · Roguelike · Card Game · Card Battler · Strategy · Deckbuilding · Turn-Based Tactics · Roguelite</t>
  </si>
  <si>
    <t xml:space="preserve">Into the Dungeon</t>
  </si>
  <si>
    <t xml:space="preserve">Jamie Sullivan-Phillips</t>
  </si>
  <si>
    <t xml:space="preserve">Roguelike Deckbuilder · Co-op · Card Game · Card Battler · Roguelike · Deckbuilding · RPG · Turn-Based Combat</t>
  </si>
  <si>
    <t xml:space="preserve">Goblin "Gnight" Garuru</t>
  </si>
  <si>
    <t xml:space="preserve">Sleepy Mog Studio</t>
  </si>
  <si>
    <t xml:space="preserve">Sexual Content · Roguelike Deckbuilder · Hentai · Deckbuilding · Nudity · Roguelite · Female Protagonist · Turn-Based Tactics</t>
  </si>
  <si>
    <t xml:space="preserve">Age of Enchantment</t>
  </si>
  <si>
    <t xml:space="preserve">Psychic Monkey Studio</t>
  </si>
  <si>
    <t xml:space="preserve">Tower Defense · Deckbuilding · Roguelite · Card Game · Strategy · Roguelike Deckbuilder · 2D · Roguelike</t>
  </si>
  <si>
    <t xml:space="preserve">Might &amp; Poison Mushroom</t>
  </si>
  <si>
    <t xml:space="preserve">GooloolooGames</t>
  </si>
  <si>
    <t xml:space="preserve">Auto Battler · Roguelike Deckbuilder · Strategy · Resource Management · Deckbuilding · Asynchronous Multiplayer · Roguelite · Tactical</t>
  </si>
  <si>
    <t xml:space="preserve">Noir Lords</t>
  </si>
  <si>
    <t xml:space="preserve">Speed Trail Games</t>
  </si>
  <si>
    <t xml:space="preserve">Card Game · Card Battler · Roguelike Deckbuilder · Deckbuilding · Noir · Indie · Roguelite · Roguelike</t>
  </si>
  <si>
    <t xml:space="preserve">Joey's Nightmare II</t>
  </si>
  <si>
    <t xml:space="preserve">A* Studio</t>
  </si>
  <si>
    <t xml:space="preserve">Early Access · Strategy · Roguelike Deckbuilder · Turn-Based Tactics · Deckbuilding · Card Battler · Roguelite · Cute</t>
  </si>
  <si>
    <t xml:space="preserve">Shapebreaker - Prologue</t>
  </si>
  <si>
    <t xml:space="preserve">Spirits of The Silicium Forest</t>
  </si>
  <si>
    <t xml:space="preserve">PixelGreeds; Kujjaoo</t>
  </si>
  <si>
    <t xml:space="preserve">Roguelike Deckbuilder · Turn-Based · Card Game · Card Battler · Strategy · Female Protagonist · 2D · Post-apocalyptic</t>
  </si>
  <si>
    <t xml:space="preserve">Tic Tactic</t>
  </si>
  <si>
    <t xml:space="preserve">unbreaded</t>
  </si>
  <si>
    <t xml:space="preserve">Deckbuilding · Roguelike · Turn-Based Strategy · Strategy · Board Game · Card Game · Turn-Based Combat · Pixel Graphics</t>
  </si>
  <si>
    <t xml:space="preserve">Ancient Guardians: The Dragon</t>
  </si>
  <si>
    <t xml:space="preserve">Luphix</t>
  </si>
  <si>
    <t xml:space="preserve">Roguelike · Indie · Dragons · Magic · Action Roguelike · Medieval · Roguelite · Combat</t>
  </si>
  <si>
    <t xml:space="preserve">Grid Slayer</t>
  </si>
  <si>
    <t xml:space="preserve">Otis Miller</t>
  </si>
  <si>
    <t xml:space="preserve">Card Battler · Grid-Based Movement · Tabletop · Card Game · Roguelike Deckbuilder · Perma Death · Turn-Based Strategy · RPG</t>
  </si>
  <si>
    <t xml:space="preserve">GIVE ME A WEAPON!</t>
  </si>
  <si>
    <t xml:space="preserve">nogagong</t>
  </si>
  <si>
    <t xml:space="preserve">Roguelike Deckbuilder · Auto Battler · Roguelike · Strategy · Deckbuilding · Pixel Graphics · Fantasy · Singleplayer</t>
  </si>
  <si>
    <t xml:space="preserve">Roulette Dungeon</t>
  </si>
  <si>
    <t xml:space="preserve">Hooded Traveler Games</t>
  </si>
  <si>
    <t xml:space="preserve">Roguelike Deckbuilder · Dungeon Crawler · Adventure · Roguelike · Gambling · Cats · Turn-Based Combat · Deckbuilding</t>
  </si>
  <si>
    <t xml:space="preserve">ROOT GAMES</t>
  </si>
  <si>
    <t xml:space="preserve">Roguelike Deckbuilder · Replay Value · Card Game · Auto Battler · Deckbuilding · Roguelike · Turn-Based Strategy · Turn-Based Combat</t>
  </si>
  <si>
    <t xml:space="preserve">Nightmare Raid: Blood Card Storm</t>
  </si>
  <si>
    <t xml:space="preserve">Bloodforge Studio</t>
  </si>
  <si>
    <t xml:space="preserve">Action · Card Battler · Strategy · Dungeon Crawler · Card Game · Deckbuilding · Turn-Based Combat · Dark Fantasy</t>
  </si>
  <si>
    <t xml:space="preserve">Kresent</t>
  </si>
  <si>
    <t xml:space="preserve">Early Access · Roguelike Deckbuilder · Card Game · Card Battler · Adventure · Roguelike · Deckbuilding · Turn-Based</t>
  </si>
  <si>
    <t xml:space="preserve">Chess: The Lost Pieces</t>
  </si>
  <si>
    <t xml:space="preserve">Yağız Selimoğlu</t>
  </si>
  <si>
    <t xml:space="preserve">Strategy · Chess · Roguelike · Board Game · Turn-Based Tactics · Turn-Based Strategy · Memes · 2D</t>
  </si>
  <si>
    <t xml:space="preserve">Alchemia: Creatio Ex Nihilo</t>
  </si>
  <si>
    <t xml:space="preserve">Space Paca Games</t>
  </si>
  <si>
    <t xml:space="preserve">Crafting · Strategy · Roguelite · Turn-Based Strategy · Roguelike · 2D · Choices Matter · Deckbuilding</t>
  </si>
  <si>
    <t xml:space="preserve">Spin Forward</t>
  </si>
  <si>
    <t xml:space="preserve">Bean and Pea Studio</t>
  </si>
  <si>
    <t xml:space="preserve">Roguelike Deckbuilder · Deckbuilding · Perma Death · Replay Value · Roguelike · Idler · Card Battler · RPG</t>
  </si>
  <si>
    <t xml:space="preserve">Pantheion</t>
  </si>
  <si>
    <t xml:space="preserve">Reija</t>
  </si>
  <si>
    <t xml:space="preserve">Roguelike Deckbuilder · Card Game · Card Battler · Roguelike · Deckbuilding · Turn-Based · Puzzle · Strategy</t>
  </si>
  <si>
    <t xml:space="preserve">空と無垢の6機</t>
  </si>
  <si>
    <t xml:space="preserve">Simulation · Adventure · Roguelike Deckbuilder · Roguelike · Singleplayer · Indie</t>
  </si>
  <si>
    <t xml:space="preserve">Baby Goat Billy</t>
  </si>
  <si>
    <t xml:space="preserve">Studio 90</t>
  </si>
  <si>
    <t xml:space="preserve">Roguelike Deckbuilder · Roguelite · Card Battler · 3D · Cute · Card Game · Deckbuilding · Third Person</t>
  </si>
  <si>
    <t xml:space="preserve">Noah's Dilemma</t>
  </si>
  <si>
    <t xml:space="preserve">Guanpeng Chen</t>
  </si>
  <si>
    <t xml:space="preserve">Strategy · Roguelite · Management · Turn-Based Strategy · Auto Battler · Resource Management · Turn-Based Tactics · Turn-Based Combat</t>
  </si>
  <si>
    <t xml:space="preserve">Shogun Curse</t>
  </si>
  <si>
    <t xml:space="preserve">Oh Baby Games</t>
  </si>
  <si>
    <t xml:space="preserve">Roguelike Deckbuilder · Card Game · Strategy · Singleplayer · Roguelike · Deckbuilding · Card Battler · Turn-Based Combat</t>
  </si>
  <si>
    <t xml:space="preserve">Nick Papageorgiou</t>
  </si>
  <si>
    <t xml:space="preserve">Deckbuilding · Card Battler · Roguelite · RPG · Card Game · Strategy · Roguelike · 2D</t>
  </si>
  <si>
    <t xml:space="preserve">Journey to the Void</t>
  </si>
  <si>
    <t xml:space="preserve">RuneHeads</t>
  </si>
  <si>
    <t xml:space="preserve">Card Game · Deckbuilding · Card Battler · Strategy · Roguelike · RPG · Roguelike Deckbuilder · Roguelite</t>
  </si>
  <si>
    <t xml:space="preserve">Spellcats: Auto Card Tactics</t>
  </si>
  <si>
    <t xml:space="preserve">Nintai Studios</t>
  </si>
  <si>
    <t xml:space="preserve">Roguelike Deckbuilder · Deckbuilding · Card Game · Singleplayer · Auto Battler · Turn-Based · Card Battler · Strategy</t>
  </si>
  <si>
    <t xml:space="preserve">Mysteries Of Darkness</t>
  </si>
  <si>
    <t xml:space="preserve">Mercier Christophe</t>
  </si>
  <si>
    <t xml:space="preserve">Card Game · Mystery Dungeon · Strategy · 2D · Early Access · Deckbuilding · Fantasy · Traditional Roguelike</t>
  </si>
  <si>
    <t xml:space="preserve">Card Artisan</t>
  </si>
  <si>
    <t xml:space="preserve">Fullen Games</t>
  </si>
  <si>
    <t xml:space="preserve">Card Battler · Roguelike · Deckbuilding · Moddable · Singleplayer · Procedural Generation · Card Game · RPG</t>
  </si>
  <si>
    <t xml:space="preserve">Fadedlands: The Reckless Squad</t>
  </si>
  <si>
    <t xml:space="preserve">ForindGames</t>
  </si>
  <si>
    <t xml:space="preserve">Strategy · Roguelike Deckbuilder · RPG · Turn-Based Strategy · Roguelite · Turn-Based Combat · RTS · Roguelike</t>
  </si>
  <si>
    <t xml:space="preserve">Monster Girl Descent</t>
  </si>
  <si>
    <t xml:space="preserve">MGGEDev</t>
  </si>
  <si>
    <t xml:space="preserve">Sexual Content · Hentai · Nudity · Anime · Roguelike Deckbuilder · Card Battler · Roguelite · Roguelike</t>
  </si>
  <si>
    <t xml:space="preserve">Dark Stone: The Lightseeker</t>
  </si>
  <si>
    <t xml:space="preserve">Jinny Lab Inc.</t>
  </si>
  <si>
    <t xml:space="preserve">Roguelike · Strategy · Deckbuilding · Turn-Based Tactics · Dark Fantasy · Singleplayer · Medieval · 2D</t>
  </si>
  <si>
    <t xml:space="preserve">Overdrawn</t>
  </si>
  <si>
    <t xml:space="preserve">Rethuna Games</t>
  </si>
  <si>
    <t xml:space="preserve">Roguelike Deckbuilder · Strategy · Card Game · Card Battler · Turn-Based Strategy · Roguelike · 2D · Deckbuilding</t>
  </si>
  <si>
    <t xml:space="preserve">Pool Shark</t>
  </si>
  <si>
    <t xml:space="preserve">Motivation Stack LLC</t>
  </si>
  <si>
    <t xml:space="preserve">Sports · Roguelite · PvP · Roguelike Deckbuilder · Casual · Difficult · Billiards · Arcade</t>
  </si>
  <si>
    <t xml:space="preserve">Dice To Pay</t>
  </si>
  <si>
    <t xml:space="preserve">Dave Hive</t>
  </si>
  <si>
    <t xml:space="preserve">Card Battler · Turn-Based · Roguelike Deckbuilder · Card Game · Roguelike · Turn-Based Strategy · Turn-Based Combat · Strategy</t>
  </si>
  <si>
    <t xml:space="preserve">Dungeon Raid</t>
  </si>
  <si>
    <t xml:space="preserve">Roguelike · Card Game · Deckbuilding · Strategy · Roguelike Deckbuilder · Exploration · Card Battler · Dungeon Crawler</t>
  </si>
  <si>
    <t xml:space="preserve">Necromancer For A Week</t>
  </si>
  <si>
    <t xml:space="preserve">QuietPenguinGaming</t>
  </si>
  <si>
    <t xml:space="preserve">Roguelike Deckbuilder · Replay Value · Roguelike · Deckbuilding · Strategy · Creature Collector · Turn-Based Combat · Perma Death</t>
  </si>
  <si>
    <t xml:space="preserve">Dominova</t>
  </si>
  <si>
    <t xml:space="preserve">Glenn Verheij</t>
  </si>
  <si>
    <t xml:space="preserve">Roguelike Deckbuilder · Deckbuilding · Roguelite · Turn-Based Strategy · Difficult · Strategy · Replay Value · Puzzle</t>
  </si>
  <si>
    <t xml:space="preserve">Monster Tavern</t>
  </si>
  <si>
    <t xml:space="preserve">Toki Games LLC</t>
  </si>
  <si>
    <t xml:space="preserve">Card Game · Roguelike Deckbuilder · Deckbuilding · Roguelite · Card Battler · Strategy · Singleplayer · Roguelike</t>
  </si>
  <si>
    <t xml:space="preserve">Gamble Tower</t>
  </si>
  <si>
    <t xml:space="preserve">Indiebuild</t>
  </si>
  <si>
    <t xml:space="preserve">Strategy · Roguelike Deckbuilder · Gambling · Roguelite · Deckbuilding · Card Battler · Turn-Based Combat · Turn-Based Strategy</t>
  </si>
  <si>
    <t xml:space="preserve">Lucky Farm</t>
  </si>
  <si>
    <t xml:space="preserve">帝歌 DIGEGames</t>
  </si>
  <si>
    <t xml:space="preserve">Roguelike Deckbuilder · Deckbuilding · Roguelite · Farming · Strategy · Management · Fishing · Resource Management</t>
  </si>
  <si>
    <t xml:space="preserve">Dicey Hacker 1999</t>
  </si>
  <si>
    <t xml:space="preserve">HuanMos Game</t>
  </si>
  <si>
    <t xml:space="preserve">Strategy · Deckbuilding · Roguelike Deckbuilder · Card Battler · Turn-Based Combat · Dice · Roguelike · Roguelite</t>
  </si>
  <si>
    <t xml:space="preserve">Solitaire Battle</t>
  </si>
  <si>
    <t xml:space="preserve">diabolodev</t>
  </si>
  <si>
    <t xml:space="preserve">Roguelike Deckbuilder · Solitaire · Auto Battler · Deckbuilding · Card Battler · Card Game · Strategy · Singleplayer</t>
  </si>
  <si>
    <t xml:space="preserve">CHUTNEY: Space Survivor</t>
  </si>
  <si>
    <t xml:space="preserve">Fourthought</t>
  </si>
  <si>
    <t xml:space="preserve">Action · Singleplayer · 3D · Action Roguelike · Bullet Hell · Combat · Comic Book · Deckbuilding</t>
  </si>
  <si>
    <t xml:space="preserve">Card of Legend</t>
  </si>
  <si>
    <t xml:space="preserve">Anchor Node</t>
  </si>
  <si>
    <t xml:space="preserve">Strategy · Card Game · Roguelike · Card Battler · Trading Card Game · Deckbuilding · Roguelike Deckbuilder · PvP</t>
  </si>
  <si>
    <t xml:space="preserve">Godfist</t>
  </si>
  <si>
    <t xml:space="preserve">Icehelm</t>
  </si>
  <si>
    <t xml:space="preserve">Action · Action Roguelike · Hack and Slash · Roguelite · Martial Arts · Mythology · Dark Fantasy · Dark</t>
  </si>
  <si>
    <t xml:space="preserve">Path to Warband</t>
  </si>
  <si>
    <t xml:space="preserve">ForeShine</t>
  </si>
  <si>
    <t xml:space="preserve">Roguelike Deckbuilder · Card Battler · Roguelite · Auto Battler · PvE · Card Game · Board Game · Turn-Based Strategy</t>
  </si>
  <si>
    <t xml:space="preserve">Lucky Island</t>
  </si>
  <si>
    <t xml:space="preserve">Just L Studio</t>
  </si>
  <si>
    <t xml:space="preserve">Strategy · Roguelike Deckbuilder · Building · Casual · Resource Management · Pixel Graphics · Automation · Roguelike</t>
  </si>
  <si>
    <t xml:space="preserve">GoldPumpkin Inc.</t>
  </si>
  <si>
    <t xml:space="preserve">Turn-Based Strategy · Roguelike Deckbuilder · Choices Matter · Card Battler · Roguelite · Turn-Based Combat · Roguelike · Pixel Graphics</t>
  </si>
  <si>
    <t xml:space="preserve">Hex Strikers</t>
  </si>
  <si>
    <t xml:space="preserve">Sid Fish Games; Foster Turtle</t>
  </si>
  <si>
    <t xml:space="preserve">Deckbuilding · Roguelike · Score Attack · Indie · Roguelike Deckbuilder · Strategy · Singleplayer · Free to Play</t>
  </si>
  <si>
    <t xml:space="preserve">Midnight Study</t>
  </si>
  <si>
    <t xml:space="preserve">Geniesoft Inc.</t>
  </si>
  <si>
    <t xml:space="preserve">Fantasy · Indie · Female Protagonist · Turn-Based Combat · PvE · Perma Death · Casual · Roguelike</t>
  </si>
  <si>
    <t xml:space="preserve">Trailblader</t>
  </si>
  <si>
    <t xml:space="preserve">迟到的南雨亭</t>
  </si>
  <si>
    <t xml:space="preserve">Strategy · Fantasy · Roguelike · 4X · Deckbuilding · Choices Matter · Turn-Based Strategy · Management</t>
  </si>
  <si>
    <t xml:space="preserve">Nhneno</t>
  </si>
  <si>
    <t xml:space="preserve">Strategy · Card Game · Choices Matter · Multiple Endings · Roguelike Deckbuilder · Choose Your Own Adventure · Roguelike · Singleplayer</t>
  </si>
  <si>
    <t xml:space="preserve">Patterns Of The Oak</t>
  </si>
  <si>
    <t xml:space="preserve">BossmobGames</t>
  </si>
  <si>
    <t xml:space="preserve">Card Battler · Card Game · Roguelike · Strategy · 2.5D · Deckbuilding · Turn-Based Combat · Hand-drawn</t>
  </si>
  <si>
    <t xml:space="preserve">Mangobits Studios; Aico Labs</t>
  </si>
  <si>
    <t xml:space="preserve">Turn-Based Strategy · Falling Blocks · Physics · Simulation · Score Attack · Roguelike · Roguelite · Roguelike Deckbuilder</t>
  </si>
  <si>
    <t xml:space="preserve">Dicey Bugs</t>
  </si>
  <si>
    <t xml:space="preserve">ProdigalSon Games</t>
  </si>
  <si>
    <t xml:space="preserve">Roguelite · Turn-Based Strategy · Creature Collector · Dice · Deckbuilding · Turn-Based Combat · Strategy · Strategy RPG</t>
  </si>
  <si>
    <t xml:space="preserve">Seal the Rift</t>
  </si>
  <si>
    <t xml:space="preserve">Game Dog Studios</t>
  </si>
  <si>
    <t xml:space="preserve">Strategy · Difficult · Card Game · Roguelike · Turn-Based Strategy · Card Battler · Roguelite · RPG</t>
  </si>
  <si>
    <t xml:space="preserve">Learn Japanese: Yuke and the Book of Yokai</t>
  </si>
  <si>
    <t xml:space="preserve">lpares12</t>
  </si>
  <si>
    <t xml:space="preserve">Indie · Language Learning · Roguelike Deckbuilder · Action Roguelike · Strategy · Deckbuilding · Card Game · 2D</t>
  </si>
  <si>
    <t xml:space="preserve">MistsBook</t>
  </si>
  <si>
    <t xml:space="preserve">Dehist Games</t>
  </si>
  <si>
    <t xml:space="preserve">Roguelike Deckbuilder · Deckbuilding · Card Game · Auto Battler · Roguelike · Roguelite · Automation · Strategy</t>
  </si>
  <si>
    <t xml:space="preserve">Age Of Privateer</t>
  </si>
  <si>
    <t xml:space="preserve">Over Dog</t>
  </si>
  <si>
    <t xml:space="preserve">Card Battler · Roguelike Deckbuilder · Sailing · RTS · Pirates · Card Game · Deckbuilding · Strategy</t>
  </si>
  <si>
    <t xml:space="preserve">Blue Hunter</t>
  </si>
  <si>
    <t xml:space="preserve">NourSaiFR</t>
  </si>
  <si>
    <t xml:space="preserve">Shuffles 'n Scuffles</t>
  </si>
  <si>
    <t xml:space="preserve">Sour Circuit Studios</t>
  </si>
  <si>
    <t xml:space="preserve">Card Game · Strategy · Roguelite · Card Battler · Deckbuilding · Tabletop · Turn-Based Strategy · Roguelike</t>
  </si>
  <si>
    <t xml:space="preserve">Cards of Divinity</t>
  </si>
  <si>
    <t xml:space="preserve">Lorrie Vimes</t>
  </si>
  <si>
    <t xml:space="preserve">Roguelike Deckbuilder · Card Battler · Card Game · Deckbuilding · Roguelite · Difficult · Turn-Based Combat · Realistic</t>
  </si>
  <si>
    <t xml:space="preserve">Conquer Lands</t>
  </si>
  <si>
    <t xml:space="preserve">Virtual Fable</t>
  </si>
  <si>
    <t xml:space="preserve">Memoria Arcana</t>
  </si>
  <si>
    <t xml:space="preserve">Card Game · Strategy · Roguelike · Roguelike Deckbuilder · Deckbuilding · Casual · Singleplayer · Indie</t>
  </si>
  <si>
    <t xml:space="preserve">Catbot Games</t>
  </si>
  <si>
    <t xml:space="preserve">Roguelike · Card Game · Deckbuilding · Strategy · Card Battler · Mystery Dungeon · Dungeon Crawler · Roguelike Deckbuilder</t>
  </si>
  <si>
    <t xml:space="preserve">Unsung Knight</t>
  </si>
  <si>
    <t xml:space="preserve">Cole</t>
  </si>
  <si>
    <t xml:space="preserve">Strategy · Card Battler · Deckbuilding · Roguelike Deckbuilder · 2D Platformer · Card Game · 2D · Early Access</t>
  </si>
  <si>
    <t xml:space="preserve">Scrongly</t>
  </si>
  <si>
    <t xml:space="preserve">Silver Dubloons</t>
  </si>
  <si>
    <t xml:space="preserve">Poker · Roguelike Deckbuilder · Deckbuilding · Roguelike · Card Game · Roguelite · Solitaire · 2D</t>
  </si>
  <si>
    <t xml:space="preserve">Mayhem Maidens</t>
  </si>
  <si>
    <t xml:space="preserve">Tower Defense · Singleplayer · Anime · Roguelike Deckbuilder · Female Protagonist · Pixel Graphics · 2D · Roguelite</t>
  </si>
  <si>
    <t xml:space="preserve">Grimslair</t>
  </si>
  <si>
    <t xml:space="preserve">ThunderRam Studios</t>
  </si>
  <si>
    <t xml:space="preserve">Roguelike Deckbuilder · Card Game · Card Battler · Roguelike · Deckbuilding · Strategy · Time Manipulation · Turn-Based</t>
  </si>
  <si>
    <t xml:space="preserve">King’s Well</t>
  </si>
  <si>
    <t xml:space="preserve">Fire Brick Games</t>
  </si>
  <si>
    <t xml:space="preserve">Roguelike Deckbuilder · Card Battler · Turn-Based Combat · Steampunk · Deckbuilding · Roguelite · Card Game · Turn-Based Strategy</t>
  </si>
  <si>
    <t xml:space="preserve">Arcane Path</t>
  </si>
  <si>
    <t xml:space="preserve">stygian games</t>
  </si>
  <si>
    <t xml:space="preserve">Roguelike Deckbuilder · Roguelike · Deckbuilding · Card Game · Card Battler · Turn-Based · Fantasy · Strategy</t>
  </si>
  <si>
    <t xml:space="preserve">Millennium Strategy</t>
  </si>
  <si>
    <t xml:space="preserve">MiMo Games</t>
  </si>
  <si>
    <t xml:space="preserve">Roguelike Deckbuilder · Card Game · Roguelike · Deckbuilding · Strategy · Moddable · Card Battler · 2D</t>
  </si>
  <si>
    <t xml:space="preserve">TaxingTiles</t>
  </si>
  <si>
    <t xml:space="preserve">GDO_Games</t>
  </si>
  <si>
    <t xml:space="preserve">Roguelite · Roguelike · Roguelike Deckbuilder · Deckbuilding · Card Game · Arcade · Puzzle · Turn-Based Strategy</t>
  </si>
  <si>
    <t xml:space="preserve">Team X</t>
  </si>
  <si>
    <t xml:space="preserve">Strategy · RPG · Singleplayer · Hentai · Deckbuilding · Roguelike Deckbuilder · FPS · Sexual Content</t>
  </si>
  <si>
    <t xml:space="preserve">Payroll Dice</t>
  </si>
  <si>
    <t xml:space="preserve">Thyme</t>
  </si>
  <si>
    <t xml:space="preserve">Roguelike Deckbuilder · Dice · Roguelike · Deckbuilding · Strategy · Gambling · Roguelite · Turn-Based Strategy</t>
  </si>
  <si>
    <t xml:space="preserve">Madville+</t>
  </si>
  <si>
    <t xml:space="preserve">Mushy Jukebox</t>
  </si>
  <si>
    <t xml:space="preserve">Action Roguelike · Bullet Heaven · Arena Shooter · Character Customization · Deckbuilding · Aliens · Dark Humor · Roguelike Deckbuilder</t>
  </si>
  <si>
    <t xml:space="preserve">Hex Blast</t>
  </si>
  <si>
    <t xml:space="preserve">Soy Boy Games</t>
  </si>
  <si>
    <t xml:space="preserve">Roguelike Deckbuilder · Turn-Based Strategy · Hex Grid · Deckbuilding · Card Game · Roguelike · Strategy · Card Battler</t>
  </si>
  <si>
    <t xml:space="preserve">云玩家:口口</t>
  </si>
  <si>
    <t xml:space="preserve">猫不在 / Cat404</t>
  </si>
  <si>
    <t xml:space="preserve">Puzzle · Word Game · Base Building · Exploration · Idler · Collectathon · 2D · Roguelike Deckbuilder</t>
  </si>
  <si>
    <t xml:space="preserve">Tower of the Sage</t>
  </si>
  <si>
    <t xml:space="preserve">Arka</t>
  </si>
  <si>
    <t xml:space="preserve">Roguelike Deckbuilder · Card Battler · Deckbuilding · Card Game · Casual · 2D · Stylized · Singleplayer</t>
  </si>
  <si>
    <t xml:space="preserve">Mage Tower</t>
  </si>
  <si>
    <t xml:space="preserve">Super Mega Games</t>
  </si>
  <si>
    <t xml:space="preserve">Roguelike Deckbuilder · Card Battler · Card Game · Strategy · Roguelike · Deckbuilding · Roguelite · Difficult</t>
  </si>
  <si>
    <t xml:space="preserve">DeckLand</t>
  </si>
  <si>
    <t xml:space="preserve">JellySnow Studio</t>
  </si>
  <si>
    <t xml:space="preserve">Deckbuilding · 2D · Card Game · Roguelite · Cinematic · Cute · Casual · Indie</t>
  </si>
  <si>
    <t xml:space="preserve">Hand of Hexes</t>
  </si>
  <si>
    <t xml:space="preserve">emmdieh</t>
  </si>
  <si>
    <t xml:space="preserve">Strategy · Tower Defense · Tactical · Card Battler · Roguelite · Roguelike · 2D · Procedural Generation</t>
  </si>
  <si>
    <t xml:space="preserve">Ravenland</t>
  </si>
  <si>
    <t xml:space="preserve">Prince Game Studio</t>
  </si>
  <si>
    <t xml:space="preserve">Roguelike Deckbuilder · Strategy · Indie · Adventure · Card Game · Roguelite · Singleplayer · Mouse Only</t>
  </si>
  <si>
    <t xml:space="preserve">IT Startup: Tech Fodder</t>
  </si>
  <si>
    <t xml:space="preserve">Kupilas Media</t>
  </si>
  <si>
    <t xml:space="preserve">Roguelike Deckbuilder · Card Game · Deckbuilding · Card Battler · Roguelite · Replay Value · Turn-Based · Roguelike</t>
  </si>
  <si>
    <t xml:space="preserve">Tacape</t>
  </si>
  <si>
    <t xml:space="preserve">Really Long Birds; Aiyra</t>
  </si>
  <si>
    <t xml:space="preserve">Card Game · Roguelike Deckbuilder · Roguelike · Card Battler · Roguelite · Fantasy · Mythology · Tactical</t>
  </si>
  <si>
    <t xml:space="preserve">Wunder: The Double-Sided Deckbuilder</t>
  </si>
  <si>
    <t xml:space="preserve">BumbleMumble</t>
  </si>
  <si>
    <t xml:space="preserve">Strategy · Card Game · Casual · Roguelike · Roguelike Deckbuilder · Deckbuilding · Indie · 3D</t>
  </si>
  <si>
    <t xml:space="preserve">Sweep</t>
  </si>
  <si>
    <t xml:space="preserve">On.Production</t>
  </si>
  <si>
    <t xml:space="preserve">Roguelike · Strategy · Card Battler · Deckbuilding · Roguelite · Card Game · Roguelike Deckbuilder · Strategy RPG</t>
  </si>
  <si>
    <t xml:space="preserve">Lust Dungeon</t>
  </si>
  <si>
    <t xml:space="preserve">Cute Pen Games</t>
  </si>
  <si>
    <t xml:space="preserve">Sexual Content · Roguelike Deckbuilder · LGBTQ+ · Roguelike · 3D · Casual · Card Game · Deckbuilding</t>
  </si>
  <si>
    <t xml:space="preserve">SadOnionDev</t>
  </si>
  <si>
    <t xml:space="preserve">Roguelike · Strategy · Deckbuilding · Simulation · Casual · Resource Management · Roguelite · Auto Battler</t>
  </si>
  <si>
    <t xml:space="preserve">Light Speed Ride Out</t>
  </si>
  <si>
    <t xml:space="preserve">brimselGames</t>
  </si>
  <si>
    <t xml:space="preserve">Early Access · Action Roguelike · Shoot 'Em Up · Top-Down Shooter · Twin Stick Shooter · Creature Collector · Roguelite · Interactive Fiction</t>
  </si>
  <si>
    <t xml:space="preserve">School of Magic: Deck &amp; Slash</t>
  </si>
  <si>
    <t xml:space="preserve">Early Access · Hack and Slash · Roguelike Deckbuilder · Dungeon Crawler · Roguelite · Card Game · Board Game · Isometric</t>
  </si>
  <si>
    <t xml:space="preserve">Card Homestead</t>
  </si>
  <si>
    <t xml:space="preserve">CoffeeNap Games</t>
  </si>
  <si>
    <t xml:space="preserve">Roguelike Deckbuilder · Deckbuilding · Card Game · Roguelite · Strategy · Puzzle · Resource Management · Capitalism</t>
  </si>
  <si>
    <t xml:space="preserve">Void Salvage</t>
  </si>
  <si>
    <t xml:space="preserve">myradann</t>
  </si>
  <si>
    <t xml:space="preserve">Roguelike · Space · Strategy · Sci-fi · Perma Death · Difficult · Replay Value · Real-Time with Pause</t>
  </si>
  <si>
    <t xml:space="preserve">Arcane Eternity</t>
  </si>
  <si>
    <t xml:space="preserve">MoussyCat</t>
  </si>
  <si>
    <t xml:space="preserve">Singleplayer · Strategy · Roguelike Deckbuilder · Card Game · Female Protagonist · Anime · 2D · Cute</t>
  </si>
  <si>
    <t xml:space="preserve">Seekers of Eclipse</t>
  </si>
  <si>
    <t xml:space="preserve">Roguelike Deckbuilder · Card Game · City Builder · Roguelike · Resource Management · Deckbuilding · Turn-Based · Singleplayer</t>
  </si>
  <si>
    <t xml:space="preserve">Dollar King</t>
  </si>
  <si>
    <t xml:space="preserve">kan.kikuchi</t>
  </si>
  <si>
    <t xml:space="preserve">Deckbuilding · PvP · Card Game · Roguelike Deckbuilder · Casual · Cute · Board Game · Strategy</t>
  </si>
  <si>
    <t xml:space="preserve">Bowerwhelm</t>
  </si>
  <si>
    <t xml:space="preserve">Nash Equilibrium</t>
  </si>
  <si>
    <t xml:space="preserve">Action · Minimalist · FPS · Roguelike · Casual · Shooter · First-Person · 3D</t>
  </si>
  <si>
    <t xml:space="preserve">Little Immortal Cultivator</t>
  </si>
  <si>
    <t xml:space="preserve">YiHuan Game</t>
  </si>
  <si>
    <t xml:space="preserve">Roguelike Deckbuilder · Game Development · Card Battler · Turn-Based · Card Game · Roguelike · Strategy · Indie</t>
  </si>
  <si>
    <t xml:space="preserve">Echoes Of Spellcraft</t>
  </si>
  <si>
    <t xml:space="preserve">Fossil Circuit</t>
  </si>
  <si>
    <t xml:space="preserve">Strategy · Roguelike Deckbuilder · Deckbuilding · Indie · Action · Pixel Graphics · Replay Value · Action Roguelike</t>
  </si>
  <si>
    <t xml:space="preserve">Alchi</t>
  </si>
  <si>
    <t xml:space="preserve">HOMEK</t>
  </si>
  <si>
    <t xml:space="preserve">Roguelike Deckbuilder · Deckbuilding · Card Game · Card Battler · Roguelike · Roguelite · Turn-Based Combat · Singleplayer</t>
  </si>
  <si>
    <t xml:space="preserve">Caemdale</t>
  </si>
  <si>
    <t xml:space="preserve">JRB</t>
  </si>
  <si>
    <t xml:space="preserve">Roguelike Deckbuilder · Card Game · Deckbuilding · Strategy · Roguelike · Singleplayer · Turn-Based · 2D</t>
  </si>
  <si>
    <t xml:space="preserve">Void Grimm</t>
  </si>
  <si>
    <t xml:space="preserve">Ravery</t>
  </si>
  <si>
    <t xml:space="preserve">Early Access · Roguelike Deckbuilder · Action Roguelike · Real-Time · Strategy · Card Battler · Deckbuilding · Sci-fi</t>
  </si>
  <si>
    <t xml:space="preserve">Hamster, Eat, Run</t>
  </si>
  <si>
    <t xml:space="preserve">CocoZzzzzzzs</t>
  </si>
  <si>
    <t xml:space="preserve">Roguelike Deckbuilder · Animals · Casual · Cute · Resource Management · Roguelite · Deckbuilding · Strategy</t>
  </si>
  <si>
    <t xml:space="preserve">Folding Edge</t>
  </si>
  <si>
    <t xml:space="preserve">XiaoMing</t>
  </si>
  <si>
    <t xml:space="preserve">Indie · Adventure · Roguelike Deckbuilder · Card Battler · Deckbuilding · Roguelite · Card Game · Sci-fi</t>
  </si>
  <si>
    <t xml:space="preserve">Wrangle Ranch</t>
  </si>
  <si>
    <t xml:space="preserve">BenBonk; XraiDev</t>
  </si>
  <si>
    <t xml:space="preserve">Roguelike Deckbuilder · Farming Sim · Roguelike · Arcade · Deckbuilding · Strategy · Roguelite · Solitaire</t>
  </si>
  <si>
    <t xml:space="preserve">A game about cards</t>
  </si>
  <si>
    <t xml:space="preserve">SUPERita</t>
  </si>
  <si>
    <t xml:space="preserve">Casual · Strategy · Deckbuilding · Card Game · Choices Matter · Turn-Based · Turn-Based Tactics · Roguelike</t>
  </si>
  <si>
    <t xml:space="preserve">BlueCloud Summit</t>
  </si>
  <si>
    <t xml:space="preserve">Star Surfer</t>
  </si>
  <si>
    <t xml:space="preserve">Early Access · Card Battler · Roguelike Deckbuilder · Turn-Based Tactics · Roguelike · Deckbuilding · Difficult · Turn-Based Strategy</t>
  </si>
  <si>
    <t xml:space="preserve">Kingmaker Academy: Warrior's Duels</t>
  </si>
  <si>
    <t xml:space="preserve">2dragontails</t>
  </si>
  <si>
    <t xml:space="preserve">Roguelike Deckbuilder · Card Battler · Roguelike · Deckbuilding · Turn-Based Combat · Indie · RPG · Card Game</t>
  </si>
  <si>
    <t xml:space="preserve">Gaister Studios</t>
  </si>
  <si>
    <t xml:space="preserve">Turn-Based Tactics · Card Battler · Tactical RPG · Roguelike Deckbuilder · Turn-Based · Turn-Based Strategy · Turn-Based Combat · Deckbuilding</t>
  </si>
  <si>
    <t xml:space="preserve">Palette: Cards &amp; Chaos</t>
  </si>
  <si>
    <t xml:space="preserve">Inkbloom Games</t>
  </si>
  <si>
    <t xml:space="preserve">Action Roguelike · Bullet Hell · Difficult · Roguelike · Roguelike Deckbuilder · 2D · Twin Stick Shooter · Deckbuilding</t>
  </si>
  <si>
    <t xml:space="preserve">Cards and Dungeons</t>
  </si>
  <si>
    <t xml:space="preserve">Family Devs</t>
  </si>
  <si>
    <t xml:space="preserve">Action Roguelike · Hack and Slash · Roguelite · Perma Death · Action RPG · Roguelike · Isometric · 3D</t>
  </si>
  <si>
    <t xml:space="preserve">Lost Veridian</t>
  </si>
  <si>
    <t xml:space="preserve">Half D Gaming</t>
  </si>
  <si>
    <t xml:space="preserve">Action Roguelike · Card Battler · Deckbuilding · RPG · Trading Card Game · Strategy · Roguelike · Character Customization</t>
  </si>
  <si>
    <t xml:space="preserve">ROGOLF</t>
  </si>
  <si>
    <t xml:space="preserve">Seabird Interactive</t>
  </si>
  <si>
    <t xml:space="preserve">Casual · Roguelike Deckbuilder · Mini Golf · Arcade · Relaxing · Roguelite · Singleplayer · Roguelike</t>
  </si>
  <si>
    <t xml:space="preserve">Dice Carnival</t>
  </si>
  <si>
    <t xml:space="preserve">Phantom Script Studio</t>
  </si>
  <si>
    <t xml:space="preserve">Roguelite · Roguelike Deckbuilder · Roguelike · Card Game · 2D · Deckbuilding · Strategy · Turn-Based Tactics</t>
  </si>
  <si>
    <t xml:space="preserve">Shady O'Grady's™ Overnight Sensation</t>
  </si>
  <si>
    <t xml:space="preserve">Gilligames</t>
  </si>
  <si>
    <t xml:space="preserve">Roguelike · Card Battler · Simulation · Strategy · Rock Music · Singleplayer · Roguelike Deckbuilder · Deckbuilding</t>
  </si>
  <si>
    <t xml:space="preserve">Crouching Tiger Hidden Hanafuda</t>
  </si>
  <si>
    <t xml:space="preserve">Garuru Software labs inc.</t>
  </si>
  <si>
    <t xml:space="preserve">Card Game · Card Battler · Roguelike Deckbuilder · Deckbuilding · Roguelike · Roguelite · Tutorial · Cats</t>
  </si>
  <si>
    <t xml:space="preserve">NikNaks</t>
  </si>
  <si>
    <t xml:space="preserve">Boombot; Etheral Games</t>
  </si>
  <si>
    <t xml:space="preserve">Asynchronous Multiplayer · Creature Collector · Strategy RPG · Roguelike Deckbuilder · RPG · Roguelite · Dungeon Crawler · Turn-Based Combat</t>
  </si>
  <si>
    <t xml:space="preserve">Groob</t>
  </si>
  <si>
    <t xml:space="preserve">KameGames</t>
  </si>
  <si>
    <t xml:space="preserve">Card Game · Roguelike Deckbuilder · Strategy · Card Battler · Deckbuilding · Roguelike · Anime · Hack and Slash</t>
  </si>
  <si>
    <t xml:space="preserve">DIMENSION RANGER</t>
  </si>
  <si>
    <t xml:space="preserve">游际线</t>
  </si>
  <si>
    <t xml:space="preserve">Strategy · Card Game · RTS · Turn-Based Strategy · Roguelike · Auto Battler · Card Battler · Trading Card Game</t>
  </si>
  <si>
    <t xml:space="preserve">Cardwheel</t>
  </si>
  <si>
    <t xml:space="preserve">nitzan.games LLC</t>
  </si>
  <si>
    <t xml:space="preserve">Action · Casual · Action Roguelike · Card Game · Roguelike · Indie · Roguelite · 2D</t>
  </si>
  <si>
    <t xml:space="preserve">Iterative Interactive</t>
  </si>
  <si>
    <t xml:space="preserve">Roguelike · Turn-Based Tactics · Pixel Graphics · Difficult · Turn-Based Combat · Turn-Based Strategy · Tactical · Fantasy</t>
  </si>
  <si>
    <t xml:space="preserve">Forestygian</t>
  </si>
  <si>
    <t xml:space="preserve">Sergii Ievtushenko; Michael Ievtushenko</t>
  </si>
  <si>
    <t xml:space="preserve">Roguelike Deckbuilder · Card Game · Turn-Based Combat · Deckbuilding · 2D · Colorful · Turn-Based Tactics · Turn-Based Strategy</t>
  </si>
  <si>
    <t xml:space="preserve">Split Square</t>
  </si>
  <si>
    <t xml:space="preserve">Shedin</t>
  </si>
  <si>
    <t xml:space="preserve">Action Roguelike · 2D Platformer · Dungeon Crawler · Roguelite · Action RPG · Roguelike · Female Protagonist · RPG</t>
  </si>
  <si>
    <t xml:space="preserve">The Abyss Within</t>
  </si>
  <si>
    <t xml:space="preserve">LOM Games</t>
  </si>
  <si>
    <t xml:space="preserve">Roguelike Deckbuilder · Card Battler · Card Game · Difficult · Dungeon Crawler · Loot · PvE · Roguelike</t>
  </si>
  <si>
    <t xml:space="preserve">Elemental Exiles</t>
  </si>
  <si>
    <t xml:space="preserve">Final Game Studio</t>
  </si>
  <si>
    <t xml:space="preserve">Roguelike Deckbuilder · Card Battler · Turn-Based Tactics · Card Game · Roguelite · Replay Value · Roguelike · Turn-Based Strategy</t>
  </si>
  <si>
    <t xml:space="preserve">Daydam Knight</t>
  </si>
  <si>
    <t xml:space="preserve">Parham</t>
  </si>
  <si>
    <t xml:space="preserve">Roguelike Deckbuilder · Roguelike · Card Battler · Turn-Based Tactics · Dungeon Crawler · Roguelite · Difficult · Card Game</t>
  </si>
  <si>
    <t xml:space="preserve">Orcish Skies</t>
  </si>
  <si>
    <t xml:space="preserve">Certeis Lirre</t>
  </si>
  <si>
    <t xml:space="preserve">Card Battler · Tactical RPG · Turn-Based Tactics · Roguelite · Card Game · Turn-Based Strategy · Roguelike · Strategy</t>
  </si>
  <si>
    <t xml:space="preserve">Trial of Ariah</t>
  </si>
  <si>
    <t xml:space="preserve">30 Minute Games</t>
  </si>
  <si>
    <t xml:space="preserve">Roguelike Deckbuilder · RPG · Action · Adventure · Card Battler · Strategy · Turn-Based Tactics · Roguelite</t>
  </si>
  <si>
    <t xml:space="preserve">Rogue Citadel</t>
  </si>
  <si>
    <t xml:space="preserve">MalumGames</t>
  </si>
  <si>
    <t xml:space="preserve">Tower Defense · Action Roguelike · Bullet Hell · RPG · Base Building · Roguelite · Hack and Slash · Real Time Tactics</t>
  </si>
  <si>
    <t xml:space="preserve">Card Toons</t>
  </si>
  <si>
    <t xml:space="preserve">Toon Games</t>
  </si>
  <si>
    <t xml:space="preserve">Early Access · Roguelike Deckbuilder · Card Game · Card Battler · Indie · Roguelike · Deckbuilding · Turn-Based Strategy</t>
  </si>
  <si>
    <t xml:space="preserve">Load Roll Die</t>
  </si>
  <si>
    <t xml:space="preserve">ToothPike Games</t>
  </si>
  <si>
    <t xml:space="preserve">Strategy · Roguelike Deckbuilder · Roguelite · Turn-Based · Colorful · Tutorial · 3D · Roguelike</t>
  </si>
  <si>
    <t xml:space="preserve">Ruiz Studio</t>
  </si>
  <si>
    <t xml:space="preserve">Billiards · Roguelike Deckbuilder · Puzzle · Difficult · Roguelite · Turn-Based Tactics · Singleplayer · Roguelike</t>
  </si>
  <si>
    <t xml:space="preserve">Luck of the Draw</t>
  </si>
  <si>
    <t xml:space="preserve">SuperFake Games</t>
  </si>
  <si>
    <t xml:space="preserve">Strategy · Card Battler · Turn-Based Tactics · Roguelike · Funny · Deckbuilding · Turn-Based Combat · Pixel Graphics</t>
  </si>
  <si>
    <t xml:space="preserve">hidekihanida</t>
  </si>
  <si>
    <t xml:space="preserve">Deckbuilding · Card Game · Turn-Based Tactics · Ninja · Tactical · Minimalist · Strategy · Singleplayer</t>
  </si>
  <si>
    <t xml:space="preserve">Loonicy Entertainment</t>
  </si>
  <si>
    <t xml:space="preserve">Action Roguelike · Dice · Bullet Heaven · Roguelike Deckbuilder · Top-Down Shooter · Deckbuilding · Roguelite · Roguelike</t>
  </si>
  <si>
    <t xml:space="preserve">Umbra Lumen</t>
  </si>
  <si>
    <t xml:space="preserve">Opacheco</t>
  </si>
  <si>
    <t xml:space="preserve">Falling Blocks · Strategy · Roguelike · Indie · Difficult · Replay Value · Roguelite · Roguelike Deckbuilder</t>
  </si>
  <si>
    <t xml:space="preserve">Nightmares</t>
  </si>
  <si>
    <t xml:space="preserve">https://steamcommunity.com/groups/NightmaresCardGaming</t>
  </si>
  <si>
    <t xml:space="preserve">Strategy · Card Game · Roguelite · Trading Card Game · 2D · Dark Fantasy · Deckbuilding · Turn-Based Tactics</t>
  </si>
  <si>
    <t xml:space="preserve">COMBOTRONICA</t>
  </si>
  <si>
    <t xml:space="preserve">Grid Cortex Games</t>
  </si>
  <si>
    <t xml:space="preserve">Strategy · Casual · Roguelike Deckbuilder · Futuristic · 2D · Roguelike · Deckbuilding · Board Game</t>
  </si>
  <si>
    <t xml:space="preserve">Negative Space</t>
  </si>
  <si>
    <t xml:space="preserve">Tier 87 Games</t>
  </si>
  <si>
    <t xml:space="preserve">Roguelike · Deckbuilding · Card Battler · Strategy · Tactical · Roguelite · Card Game · Sci-fi</t>
  </si>
  <si>
    <t xml:space="preserve">Curling</t>
  </si>
  <si>
    <t xml:space="preserve">Blank Studios LLC</t>
  </si>
  <si>
    <t xml:space="preserve">Roguelike Deckbuilder · Sports · Turn-Based Tactics · PvE · PvP · Turn-Based Strategy · Arcade · Roguelike</t>
  </si>
  <si>
    <t xml:space="preserve">Papercraft Tactics</t>
  </si>
  <si>
    <t xml:space="preserve">AGE Zero</t>
  </si>
  <si>
    <t xml:space="preserve">Auto Battler · Roguelite · Dungeon Crawler · Replay Value · Strategy · Inventory Management · Roguelike · Dark</t>
  </si>
  <si>
    <t xml:space="preserve">Zodiac Mountain</t>
  </si>
  <si>
    <t xml:space="preserve">Mystic Road</t>
  </si>
  <si>
    <t xml:space="preserve">Early Access · Roguelike Deckbuilder · Deckbuilding · Card Battler · Roguelike · Strategy · Card Game · Roguelite</t>
  </si>
  <si>
    <t xml:space="preserve">Perfect Teams</t>
  </si>
  <si>
    <t xml:space="preserve">Lys Games</t>
  </si>
  <si>
    <t xml:space="preserve">Roguelike Deckbuilder · Card Game · Card Battler · Roguelike · Strategy · Deckbuilding · Choices Matter · Turn-Based</t>
  </si>
  <si>
    <t xml:space="preserve">DINO MERCS</t>
  </si>
  <si>
    <t xml:space="preserve">Unusual Undertaking</t>
  </si>
  <si>
    <t xml:space="preserve">Card Game · Roguelite · Turn-Based Tactics · Roguelike Deckbuilder · Dinosaurs · Card Battler · Roguelike · Turn-Based Combat</t>
  </si>
  <si>
    <t xml:space="preserve">Deck of Stabs</t>
  </si>
  <si>
    <t xml:space="preserve">RetroAction Games</t>
  </si>
  <si>
    <t xml:space="preserve">Roguelike Deckbuilder · Card Game · Card Battler · Dungeon Crawler · Retro · Deckbuilding · Roguelike · Turn-Based Strategy</t>
  </si>
  <si>
    <t xml:space="preserve">Youth Academy</t>
  </si>
  <si>
    <t xml:space="preserve">Oba Games</t>
  </si>
  <si>
    <t xml:space="preserve">Auto Battler · Football (Soccer) · Relaxing · Arcade · Management · Card Game · Roguelike · Card Battler</t>
  </si>
  <si>
    <t xml:space="preserve">Sengodai</t>
  </si>
  <si>
    <t xml:space="preserve">Tsunoa Games</t>
  </si>
  <si>
    <t xml:space="preserve">Roguelike Deckbuilder · Strategy · Creature Collector · RPG · Card Battler · Trading Card Game · Roguelike · Deckbuilding</t>
  </si>
  <si>
    <t xml:space="preserve">One More Try: Prologue</t>
  </si>
  <si>
    <t xml:space="preserve">Deckbuilding · Roguelike Deckbuilder · Strategy · RPG · Adventure · Singleplayer · 2D · Card Game</t>
  </si>
  <si>
    <t xml:space="preserve">ArchZoDo</t>
  </si>
  <si>
    <t xml:space="preserve">Strategy · Card Game · Indie · Roguelike · Auto Battler · Card Battler · Roguelite · Singleplayer</t>
  </si>
  <si>
    <t xml:space="preserve">Gridfall</t>
  </si>
  <si>
    <t xml:space="preserve">Lucerna Frameworks</t>
  </si>
  <si>
    <t xml:space="preserve">Card Game · Roguelike · Roguelike Deckbuilder · Deckbuilding · Singleplayer · Pixel Graphics · Strategy · Replay Value</t>
  </si>
  <si>
    <t xml:space="preserve">NOMIA</t>
  </si>
  <si>
    <t xml:space="preserve">Magnesium Ninja</t>
  </si>
  <si>
    <t xml:space="preserve">Turn-Based Tactics · Roguelike Deckbuilder · Tactical RPG · Card Battler · Story Rich · Fantasy · Isometric · Female Protagonist</t>
  </si>
  <si>
    <t xml:space="preserve">NINDO Guardian of the Starlit Shadow</t>
  </si>
  <si>
    <t xml:space="preserve">MORIKICHIDO</t>
  </si>
  <si>
    <t xml:space="preserve">Roguelike Deckbuilder · Card Game · Card Battler · Roguelike · Deckbuilding · Strategy · Singleplayer · Replay Value</t>
  </si>
  <si>
    <t xml:space="preserve">Aliosso</t>
  </si>
  <si>
    <t xml:space="preserve">Fioretto Studios</t>
  </si>
  <si>
    <t xml:space="preserve">Strategy · Roguelike Deckbuilder · Card Game · Roguelike · Deckbuilding · Singleplayer · Card Battler · Turn-Based</t>
  </si>
  <si>
    <t xml:space="preserve">SOLARFLARE</t>
  </si>
  <si>
    <t xml:space="preserve">Swarmforge</t>
  </si>
  <si>
    <t xml:space="preserve">Auto Battler · Character Customization · Roguelike Deckbuilder · Sci-fi · Card Battler · Singleplayer · Turn-Based · Dungeon Crawler</t>
  </si>
  <si>
    <t xml:space="preserve">Staff Only</t>
  </si>
  <si>
    <t xml:space="preserve">Exilland</t>
  </si>
  <si>
    <t xml:space="preserve">Solitaire · Card Battler · Roguelite · Puzzle · PvE · Card Game · Roguelike · Strategy</t>
  </si>
  <si>
    <t xml:space="preserve">Tiles &amp; Vials</t>
  </si>
  <si>
    <t xml:space="preserve">Iron Axe Games</t>
  </si>
  <si>
    <t xml:space="preserve">Strategy · Roguelike · Deckbuilding · Puzzle · Turn-Based Combat · Roguelite · Roguelike Deckbuilder · Fantasy</t>
  </si>
  <si>
    <t xml:space="preserve">Code Has Price</t>
  </si>
  <si>
    <t xml:space="preserve">Fewjix</t>
  </si>
  <si>
    <t xml:space="preserve">Automation · Turn-Based Tactics · Point &amp; Click · Simulation · Sokoban · Deckbuilding · Pixel Graphics · Logic</t>
  </si>
  <si>
    <t xml:space="preserve">Demon's Bane</t>
  </si>
  <si>
    <t xml:space="preserve">JD van Dingenen</t>
  </si>
  <si>
    <t xml:space="preserve">Roguelike Deckbuilder · Card Battler · Indie · Deckbuilding · Fantasy · RPG · Turn-Based Combat · Roguelite</t>
  </si>
  <si>
    <t xml:space="preserve">Do You Have a Moment to Talk About Our Lord and Savior?</t>
  </si>
  <si>
    <t xml:space="preserve">Worst Event</t>
  </si>
  <si>
    <t xml:space="preserve">Roguelike Deckbuilder · Card Battler · Psychological Horror · Card Game · Horror · Gambling · Deckbuilding · Story Rich</t>
  </si>
  <si>
    <t xml:space="preserve">Roll Five</t>
  </si>
  <si>
    <t xml:space="preserve">One Family Army</t>
  </si>
  <si>
    <t xml:space="preserve">Roguelike Deckbuilder · Deckbuilding · Dice · Strategy · Replay Value · Roguelike · Turn-Based Tactics · Singleplayer</t>
  </si>
  <si>
    <t xml:space="preserve">Boardfall zero</t>
  </si>
  <si>
    <t xml:space="preserve">Follow the fun</t>
  </si>
  <si>
    <t xml:space="preserve">Roguelite · Choices Matter · Chess · Replay Value · Turn-Based Strategy · Deckbuilding · Roguelike · Strategy</t>
  </si>
  <si>
    <t xml:space="preserve">The Valley: XuGu</t>
  </si>
  <si>
    <t xml:space="preserve">7 Funny</t>
  </si>
  <si>
    <t xml:space="preserve">Casual · Strategy · Indie · Roguelike Deckbuilder · Card Game · Roguelike · Roguelite · 2D</t>
  </si>
  <si>
    <t xml:space="preserve">Mage Food Truck</t>
  </si>
  <si>
    <t xml:space="preserve">One Man Left Studios</t>
  </si>
  <si>
    <t xml:space="preserve">Roguelike Deckbuilder · Cooking · Deckbuilding · Card Game · Fantasy · Tabletop · Board Game · Score Attack</t>
  </si>
  <si>
    <t xml:space="preserve">NiNauk</t>
  </si>
  <si>
    <t xml:space="preserve">Dice · Turn-Based · Deckbuilding · Mouse Only · Replay Value · Roguelike · 2D · Dungeon Crawler</t>
  </si>
  <si>
    <t xml:space="preserve">DUNGEON WALK4－蟲毒の魔蟲姫－</t>
  </si>
  <si>
    <t xml:space="preserve">InuiNanGames</t>
  </si>
  <si>
    <t xml:space="preserve">Strategy · Card Game · Roguelike · Card Battler · Dark Fantasy · Fantasy · Deckbuilding · Indie</t>
  </si>
  <si>
    <t xml:space="preserve">Guild of Rogues</t>
  </si>
  <si>
    <t xml:space="preserve">Roots Games</t>
  </si>
  <si>
    <t xml:space="preserve">Roguelike · Strategy · Auto Battler · Card Battler · RPG · Deckbuilding · Casual · Card Game</t>
  </si>
  <si>
    <t xml:space="preserve">Rummy Odyssey</t>
  </si>
  <si>
    <t xml:space="preserve">Anarres Interactive</t>
  </si>
  <si>
    <t xml:space="preserve">Casual · Strategy · Board Game · Card Game · Roguelike · Indie · Tabletop · Mahjong</t>
  </si>
  <si>
    <t xml:space="preserve">Into The Depths</t>
  </si>
  <si>
    <t xml:space="preserve">SmelJey</t>
  </si>
  <si>
    <t xml:space="preserve">City Builder · Strategy · Turn-Based · Roguelike Deckbuilder · Turn-Based Strategy · Roguelite · Exploration · Base Building</t>
  </si>
  <si>
    <t xml:space="preserve">Deckbane</t>
  </si>
  <si>
    <t xml:space="preserve">Soong</t>
  </si>
  <si>
    <t xml:space="preserve">Roguelike Deckbuilder · Deckbuilding · Turn-Based Tactics · Card Battler · Tactical RPG · Roguelite · Solitaire · Traditional Roguelike</t>
  </si>
  <si>
    <t xml:space="preserve">Arcane Board</t>
  </si>
  <si>
    <t xml:space="preserve">Arnolds Ostrovskis; Elena Nazarenko</t>
  </si>
  <si>
    <t xml:space="preserve">Board Game · RPG · Roguelike · 2D · Pixel Graphics · Fantasy · Singleplayer · Roguelike Deckbuilder</t>
  </si>
  <si>
    <t xml:space="preserve">Snack Escort</t>
  </si>
  <si>
    <t xml:space="preserve">JuTek Pixel</t>
  </si>
  <si>
    <t xml:space="preserve">Roguelike Deckbuilder · Tower Defense · Card Game · Card Battler · Fantasy · Indie · Strategy · 2D</t>
  </si>
  <si>
    <t xml:space="preserve">Springfox Games</t>
  </si>
  <si>
    <t xml:space="preserve">Roguelike Deckbuilder · Family Friendly · Card Game · Roguelike · Strategy · Cute · Cozy · Wholesome</t>
  </si>
  <si>
    <t xml:space="preserve">Ember's Love</t>
  </si>
  <si>
    <t xml:space="preserve">LeeBbunsik</t>
  </si>
  <si>
    <t xml:space="preserve">Card Game · Deckbuilding · Roguelike Deckbuilder · Female Protagonist · Roguelike · Card Battler · Strategy · RPG</t>
  </si>
  <si>
    <t xml:space="preserve">Gate Guardian</t>
  </si>
  <si>
    <t xml:space="preserve">Dmitriy Zakharov; Andrey Zakharov</t>
  </si>
  <si>
    <t xml:space="preserve">Roguelike · Deckbuilding · Auto Battler · Replay Value · Roguelike Deckbuilder · Difficult · Fantasy · Roguelite</t>
  </si>
  <si>
    <t xml:space="preserve">Scriver: A Word Game</t>
  </si>
  <si>
    <t xml:space="preserve">doughbody</t>
  </si>
  <si>
    <t xml:space="preserve">Roguelike Deckbuilder · Casual · Strategy · Roguelike · Deckbuilding · Word Game · Hand-drawn · Roguelite</t>
  </si>
  <si>
    <t xml:space="preserve">连杀地牢（Dungeon Killing）</t>
  </si>
  <si>
    <t xml:space="preserve">HuAngLiii GAME</t>
  </si>
  <si>
    <t xml:space="preserve">Strategy · Turn-Based Tactics · Roguelike · Mystery Dungeon · Turn-Based Strategy · 2D · Casual · Pixel Graphics</t>
  </si>
  <si>
    <t xml:space="preserve">Blasted Dice</t>
  </si>
  <si>
    <t xml:space="preserve">Rodrigo Serôdio</t>
  </si>
  <si>
    <t xml:space="preserve">Roguelike Deckbuilder · Dice · Roguelike · Deckbuilding · Replay Value · Roguelite · Turn-Based · Strategy</t>
  </si>
  <si>
    <t xml:space="preserve">Slay The Zone</t>
  </si>
  <si>
    <t xml:space="preserve">To Mayhem</t>
  </si>
  <si>
    <t xml:space="preserve">Action Roguelike · Bullet Hell · Arcade · RPG · Roguelike Deckbuilder · Shoot 'Em Up · Action RPG · Top-Down Shooter</t>
  </si>
  <si>
    <t xml:space="preserve">Greedy Spin: Reel Roguelike</t>
  </si>
  <si>
    <t xml:space="preserve">Spinach Studio</t>
  </si>
  <si>
    <t xml:space="preserve">Roguelike · Gambling · Arcade · Roguelike Deckbuilder · Replay Value · Retro · Card Game · Strategy</t>
  </si>
  <si>
    <t xml:space="preserve">Shadows of Wyrmwood</t>
  </si>
  <si>
    <t xml:space="preserve">Dream Foundry Games</t>
  </si>
  <si>
    <t xml:space="preserve">Early Access · Roguelike Deckbuilder · RPG · Roguelike · Turn-Based Strategy · Strategy · Dungeon Crawler · Procedural Generation</t>
  </si>
  <si>
    <t xml:space="preserve">Backroom</t>
  </si>
  <si>
    <t xml:space="preserve">Molance Games</t>
  </si>
  <si>
    <t xml:space="preserve">Roguelike Deckbuilder · Strategy · Horror · Simulation · Roguelite · Roguelike · Deckbuilding · Turn-Based Strategy</t>
  </si>
  <si>
    <t xml:space="preserve">Deepest Well</t>
  </si>
  <si>
    <t xml:space="preserve">Smoking Cartridge</t>
  </si>
  <si>
    <t xml:space="preserve">Action Roguelike · Roguelike Deckbuilder · Bullet Hell · Roguelike · Fantasy · Deckbuilding · Magic · Retro</t>
  </si>
  <si>
    <t xml:space="preserve">Picaro</t>
  </si>
  <si>
    <t xml:space="preserve">Nightforge Studios</t>
  </si>
  <si>
    <t xml:space="preserve">Strategy · Card Game · Card Battler · Roguelike · Turn-Based Combat · Indie · Dungeon Crawler · Solitaire</t>
  </si>
  <si>
    <t xml:space="preserve">Death: The Ascension</t>
  </si>
  <si>
    <t xml:space="preserve">Dystopian Ruler</t>
  </si>
  <si>
    <t xml:space="preserve">Roguelike Deckbuilder · Tabletop · Management · Medieval · Card Game · Capitalism · Roguelite · Strategy</t>
  </si>
  <si>
    <t xml:space="preserve">Experimental · Racing · Psychedelic · Casual · Education · Science · Strategy · Arcade</t>
  </si>
  <si>
    <t xml:space="preserve">Fairy Card Rogue</t>
  </si>
  <si>
    <t xml:space="preserve">46flare.net</t>
  </si>
  <si>
    <t xml:space="preserve">Strategy · Roguelite · Roguelike · 2D · Procedural Generation · Singleplayer · Roguelike Deckbuilder · Card Game</t>
  </si>
  <si>
    <t xml:space="preserve">Tower Knight</t>
  </si>
  <si>
    <t xml:space="preserve">Sweet Apple Games</t>
  </si>
  <si>
    <t xml:space="preserve">Tower Defense · Roguelike · Puzzle · Deckbuilding · Strategy · Choices Matter · Building · Procedural Generation</t>
  </si>
  <si>
    <t xml:space="preserve">Rogue Zodiacs</t>
  </si>
  <si>
    <t xml:space="preserve">QueL Games</t>
  </si>
  <si>
    <t xml:space="preserve">Roguelite · Turn-Based Combat · JRPG · Party-Based RPG · Turn-Based Strategy · Turn-Based Tactics · Replay Value · Roguelike</t>
  </si>
  <si>
    <t xml:space="preserve">Peganomics</t>
  </si>
  <si>
    <t xml:space="preserve">Brian; Albie the seagull</t>
  </si>
  <si>
    <t xml:space="preserve">Strategy · Roguelite · Physics · Roguelike Deckbuilder · Deckbuilding · Pinball · Arcade · Gambling</t>
  </si>
  <si>
    <t xml:space="preserve">Spin Royale</t>
  </si>
  <si>
    <t xml:space="preserve">Idler · Incremental · Automation · Casual · Strategy · Management · Economy · Capitalism</t>
  </si>
  <si>
    <t xml:space="preserve">Tower of Jank</t>
  </si>
  <si>
    <t xml:space="preserve">Matas Dragūnas</t>
  </si>
  <si>
    <t xml:space="preserve">Deckbuilding · Action · Bullet Hell · Roguelike · Auto Battler · PvE · Card Game · Action Roguelike</t>
  </si>
  <si>
    <t xml:space="preserve">Rutrum</t>
  </si>
  <si>
    <t xml:space="preserve">uncertainkey</t>
  </si>
  <si>
    <t xml:space="preserve">Roguelite · Roguelike Deckbuilder · Physics · Falling Blocks · Replay Value · Roguelike · Indie · PvE</t>
  </si>
  <si>
    <t xml:space="preserve">蓬莱之旅</t>
  </si>
  <si>
    <t xml:space="preserve">Nayuta Studio</t>
  </si>
  <si>
    <t xml:space="preserve">Roguelike Deckbuilder · Strategy · Card Battler · Card Game · Deckbuilding · Replay Value · Roguelike · Procedural Generation</t>
  </si>
  <si>
    <t xml:space="preserve">Wasteland Messenger</t>
  </si>
  <si>
    <t xml:space="preserve">Qingyuan PixelBox Network Co., Ltd.</t>
  </si>
  <si>
    <t xml:space="preserve">Early Access · Card Battler · Roguelike Deckbuilder · Roguelite · Interactive Fiction · Female Protagonist · Strategy · Inventory Management</t>
  </si>
  <si>
    <t xml:space="preserve">Zai Studio</t>
  </si>
  <si>
    <t xml:space="preserve">Roguelike Deckbuilder · Roguelike · Card Game · Card Battler · Deckbuilding · Strategy · Mythology · Female Protagonist</t>
  </si>
  <si>
    <t xml:space="preserve">Card Colony</t>
  </si>
  <si>
    <t xml:space="preserve">iKiNG</t>
  </si>
  <si>
    <t xml:space="preserve">Action · Deckbuilding · Roguelike Deckbuilder · Card Game · Incremental · 2D · Singleplayer · Free to Play</t>
  </si>
  <si>
    <t xml:space="preserve">Pro Nobis Studio</t>
  </si>
  <si>
    <t xml:space="preserve">Deckbuilding · Strategy · Roguelike Deckbuilder · Card Battler · Roguelite · Card Game · Football (Soccer) · Turn-Based Tactics</t>
  </si>
  <si>
    <t xml:space="preserve">RailRogue</t>
  </si>
  <si>
    <t xml:space="preserve">Brain Boost Ninja</t>
  </si>
  <si>
    <t xml:space="preserve">Roguelite · Roguelike Deckbuilder · Dice · Trains · Cozy · Roguelike · Score Attack · Typing</t>
  </si>
  <si>
    <t xml:space="preserve">Ruan Hang</t>
  </si>
  <si>
    <t xml:space="preserve">Roguelike Deckbuilder · Card Battler · Deckbuilding · Roguelike · Card Game · Strategy · Turn-Based · Roguelite</t>
  </si>
  <si>
    <t xml:space="preserve">QPopGirl</t>
  </si>
  <si>
    <t xml:space="preserve">Emotion Dynamics</t>
  </si>
  <si>
    <t xml:space="preserve">Puzzle Platformer · Roguelite · Puzzle · Roguelike · Female Protagonist · Strategy · 2D · Cute</t>
  </si>
  <si>
    <t xml:space="preserve">Crossed Tiles</t>
  </si>
  <si>
    <t xml:space="preserve">doughnutworks</t>
  </si>
  <si>
    <t xml:space="preserve">Strategy · Auto Battler · Inventory Management · PvP · Roguelike Deckbuilder · Tactical · Roguelike · Hex Grid</t>
  </si>
  <si>
    <t xml:space="preserve">Purisic Games</t>
  </si>
  <si>
    <t xml:space="preserve">Card Game · Roguelike Deckbuilder · Card Battler · Deckbuilding · Roguelite · Turn-Based Strategy · Strategy · Turn-Based Tactics</t>
  </si>
  <si>
    <t xml:space="preserve">NUNNA</t>
  </si>
  <si>
    <t xml:space="preserve">SAME QUBE</t>
  </si>
  <si>
    <t xml:space="preserve">Card Battler · Strategy · Turn-Based Tactics · Roguelite · Card Game · 2D · Procedural Generation · Pixel Graphics</t>
  </si>
  <si>
    <t xml:space="preserve">CatCha</t>
  </si>
  <si>
    <t xml:space="preserve">Claw Games</t>
  </si>
  <si>
    <t xml:space="preserve">Roguelike · Cats · Strategy · Score Attack · Roguelike Deckbuilder · Singleplayer · Hand-drawn · Replay Value</t>
  </si>
  <si>
    <t xml:space="preserve">RogueFlip</t>
  </si>
  <si>
    <t xml:space="preserve">Runt9 Productions</t>
  </si>
  <si>
    <t xml:space="preserve">Roguelite · Puzzle · Roguelike Deckbuilder · Logic · Roguelike · Minimalist · Strategy · 2D</t>
  </si>
  <si>
    <t xml:space="preserve">Gorotsuki Paradise</t>
  </si>
  <si>
    <t xml:space="preserve">Kojika Games</t>
  </si>
  <si>
    <t xml:space="preserve">PvP · Card Battler · Card Game · Multiplayer · Deckbuilding · Strategy · Roguelike Deckbuilder · Crime</t>
  </si>
  <si>
    <t xml:space="preserve">Dice Card Heroes</t>
  </si>
  <si>
    <t xml:space="preserve">David Skoko</t>
  </si>
  <si>
    <t xml:space="preserve">Deckbuilding · Roguelike Deckbuilder · Dice · Card Game · Difficult · Strategy · Roguelike · Card Battler</t>
  </si>
  <si>
    <t xml:space="preserve">Ember Light Interactive</t>
  </si>
  <si>
    <t xml:space="preserve">Card Battler · Creature Collector · Roguelite · Strategy · Card Game · Roguelike Deckbuilder · Roguelike · Deckbuilding</t>
  </si>
  <si>
    <t xml:space="preserve">Dominocalypse</t>
  </si>
  <si>
    <t xml:space="preserve">Barely Cohesive Games, LLC</t>
  </si>
  <si>
    <t xml:space="preserve">Roguelite · Puzzle · Board Game · Arcade · Turn-Based · Score Attack · Roguelike · Strategy</t>
  </si>
  <si>
    <t xml:space="preserve">Risk &amp; Riches</t>
  </si>
  <si>
    <t xml:space="preserve">Growlery Games</t>
  </si>
  <si>
    <t xml:space="preserve">Roguelike Deckbuilder · Roguelite · Card Game · Deckbuilding · Card Battler · Strategy · Difficult · Dungeon Crawler</t>
  </si>
  <si>
    <t xml:space="preserve">Deck of Destiny: Battleforge</t>
  </si>
  <si>
    <t xml:space="preserve">Furkan Selcuk</t>
  </si>
  <si>
    <t xml:space="preserve">Action Roguelike · Hack and Slash · Action · Roguelike · Roguelike Deckbuilder · Roguelite · Card Battler · Replay Value</t>
  </si>
  <si>
    <t xml:space="preserve">Raccoons to Riches</t>
  </si>
  <si>
    <t xml:space="preserve">Secret Scroll Software</t>
  </si>
  <si>
    <t xml:space="preserve">Shop Keeper · Roguelike Deckbuilder · Animals · Roguelite · Deckbuilding · Medieval · Management · Cozy</t>
  </si>
  <si>
    <t xml:space="preserve">Ball, Fall, Dungeon Crawl</t>
  </si>
  <si>
    <t xml:space="preserve">Physics · Roguelike Deckbuilder · Procedural Generation · Dungeon Crawler · Perma Death · RPG · Strategy · Roguelike</t>
  </si>
  <si>
    <t xml:space="preserve">FLAG-O-TRON</t>
  </si>
  <si>
    <t xml:space="preserve">RubyRooster</t>
  </si>
  <si>
    <t xml:space="preserve">Strategy · Indie · Casual · Card Game · Roguelike · Turn-Based Strategy · 2D · Difficult</t>
  </si>
  <si>
    <t xml:space="preserve">Death and Ladders</t>
  </si>
  <si>
    <t xml:space="preserve">Lema Games</t>
  </si>
  <si>
    <t xml:space="preserve">Multiplayer · Dark · Gambling · Horror · First-Person · Strategy · Singleplayer · 3D</t>
  </si>
  <si>
    <t xml:space="preserve">Tears RAIN: Tears of Goddess</t>
  </si>
  <si>
    <t xml:space="preserve">NARAENC</t>
  </si>
  <si>
    <t xml:space="preserve">Strategy · Card Game · Roguelite · Turn-Based Combat · Deckbuilding · Action · Casual · Choices Matter</t>
  </si>
  <si>
    <t xml:space="preserve">Talio Games</t>
  </si>
  <si>
    <t xml:space="preserve">Card Game · Strategy · Roguelike · Roguelike Deckbuilder · Deckbuilding · Singleplayer · Casual · Indie</t>
  </si>
  <si>
    <t xml:space="preserve">Joker Master</t>
  </si>
  <si>
    <t xml:space="preserve">QuantumAI Solution</t>
  </si>
  <si>
    <t xml:space="preserve">Strategy · Roguelike Deckbuilder · Card Game · Cartoon · PvP · Score Attack · Turn-Based Tactics · Card Battler</t>
  </si>
  <si>
    <t xml:space="preserve">Star Dice</t>
  </si>
  <si>
    <t xml:space="preserve">Strategy · Roguelike · Turn-Based Strategy · Dice · Roguelike Deckbuilder · Deckbuilding · Roguelite · Replay Value</t>
  </si>
  <si>
    <t xml:space="preserve">Ruina</t>
  </si>
  <si>
    <t xml:space="preserve">Broken Down Software</t>
  </si>
  <si>
    <t xml:space="preserve">Roguelike Deckbuilder · Strategy · Roguelite · Deckbuilding · Score Attack · Puzzle · Singleplayer · Pixel Graphics</t>
  </si>
  <si>
    <t xml:space="preserve">Stancefolio</t>
  </si>
  <si>
    <t xml:space="preserve">TarasFreund</t>
  </si>
  <si>
    <t xml:space="preserve">Adventure · Strategy · Card Game · Turn-Based Strategy · Roguelike · Card Battler · Turn-Based Tactics · Roguelike Deckbuilder</t>
  </si>
  <si>
    <t xml:space="preserve">3P Studios</t>
  </si>
  <si>
    <t xml:space="preserve">Indie · Roguelike Deckbuilder · Strategy · Deckbuilding · Procedural Generation · Roguelite · Simulation · Singleplayer</t>
  </si>
  <si>
    <t xml:space="preserve">SmartOliveGames Ltd</t>
  </si>
  <si>
    <t xml:space="preserve">Action · Roguelike Deckbuilder · Card Battler · Turn-Based Strategy · Strategy · Singleplayer · Tactical</t>
  </si>
  <si>
    <t xml:space="preserve">LYMBUS</t>
  </si>
  <si>
    <t xml:space="preserve">Happy Accident Studios</t>
  </si>
  <si>
    <t xml:space="preserve">Strategy · Action · Card Game · Roguelike · Roguelike Deckbuilder · Action Roguelike · Bullet Hell · Dungeon Crawler</t>
  </si>
  <si>
    <t xml:space="preserve">Xenogames</t>
  </si>
  <si>
    <t xml:space="preserve">Card Game · Roguelike · Anime · Visual Novel · Roguelike Deckbuilder · Singleplayer · Turn-Based Strategy · Card Battler</t>
  </si>
  <si>
    <t xml:space="preserve">Joon x Jin Works</t>
  </si>
  <si>
    <t xml:space="preserve">Roguelike Deckbuilder · Deckbuilding · Roguelike · Card Battler · Gambling · Card Game · Roguelite · Dark Humor</t>
  </si>
  <si>
    <t xml:space="preserve">Solo Chess</t>
  </si>
  <si>
    <t xml:space="preserve">Card Game · Chess · Board Game · Roguelike Deckbuilder · Roguelike · Strategy · Deckbuilding · Singleplayer</t>
  </si>
  <si>
    <t xml:space="preserve">Tristan Barona</t>
  </si>
  <si>
    <t xml:space="preserve">Card Game · Roguelike Deckbuilder · Deckbuilding · Card Battler · Real Time Tactics · Dungeon Crawler · Action-Adventure · Choose Your Own Adventure</t>
  </si>
  <si>
    <t xml:space="preserve">Soulblaze</t>
  </si>
  <si>
    <t xml:space="preserve">Cosmic Mocca</t>
  </si>
  <si>
    <t xml:space="preserve">Early Access · Turn-Based Tactics · Creature Collector · Roguelike Deckbuilder · Roguelite · Tabletop · Roguelike · Female Protagonist</t>
  </si>
  <si>
    <t xml:space="preserve">RogueHanafuda</t>
  </si>
  <si>
    <t xml:space="preserve">WildBerry</t>
  </si>
  <si>
    <t xml:space="preserve">Card Game · Roguelike · Roguelike Deckbuilder · Deckbuilding · Strategy · Replay Value · Turn-Based Strategy · Roguelite</t>
  </si>
  <si>
    <t xml:space="preserve">Medieval Decklords</t>
  </si>
  <si>
    <t xml:space="preserve">Poker · Roguelike Deckbuilder · Deckbuilding · Replay Value · Card Game · Medieval · Turn-Based Strategy · Turn-Based Tactics</t>
  </si>
  <si>
    <t xml:space="preserve">Cards Survivors</t>
  </si>
  <si>
    <t xml:space="preserve">Action Roguelike · Card Battler · Bullet Hell · Roguelite · Difficult · Strategy · Card Game · Roguelike</t>
  </si>
  <si>
    <t xml:space="preserve">Chronicles Of Crystal: Turn-Basde Epoch</t>
  </si>
  <si>
    <t xml:space="preserve">CanYing工作室</t>
  </si>
  <si>
    <t xml:space="preserve">Roguelike Deckbuilder · Card Game · Action Roguelike · Turn-Based Tactics · Turn-Based Strategy · Pixel Graphics · Roguelike · Strategy</t>
  </si>
  <si>
    <t xml:space="preserve">Becoming Captain - The Roguelike Deckbuilder</t>
  </si>
  <si>
    <t xml:space="preserve">Le Havre Création</t>
  </si>
  <si>
    <t xml:space="preserve">Card Battler · Deckbuilding · Turn-Based Combat · Roguelite · Turn-Based Strategy · PvE · Card Game · Tabletop</t>
  </si>
  <si>
    <t xml:space="preserve">BountyHeart</t>
  </si>
  <si>
    <t xml:space="preserve">BountyHeart Team; Larry Wu</t>
  </si>
  <si>
    <t xml:space="preserve">RPG · Hand-drawn · 2D · Indie · Roguelike · Anime · Strategy · Tactical RPG</t>
  </si>
  <si>
    <t xml:space="preserve">Stratum Descent</t>
  </si>
  <si>
    <t xml:space="preserve">Indie · Deckbuilding · Roguelike Deckbuilder · Card Game · Board Game · Roguelite · RPG · Strategy</t>
  </si>
  <si>
    <t xml:space="preserve">Rogue Cards</t>
  </si>
  <si>
    <t xml:space="preserve">Dapper Grim Studios</t>
  </si>
  <si>
    <t xml:space="preserve">Roguelike Deckbuilder · Deckbuilding · Card Game · Tactical RPG · Roguelite · Dark Humor · Turn-Based Combat · Casual</t>
  </si>
  <si>
    <t xml:space="preserve">The Cascadier</t>
  </si>
  <si>
    <t xml:space="preserve">Enchanted Arcade</t>
  </si>
  <si>
    <t xml:space="preserve">Early Access · Roguelike Deckbuilder · Arcade · Puzzle · Strategy · Casual · Roguelike · Roguelite</t>
  </si>
  <si>
    <t xml:space="preserve">Ratatouille Builder</t>
  </si>
  <si>
    <t xml:space="preserve">Balrogames; Talenvin</t>
  </si>
  <si>
    <t xml:space="preserve">Strategy · Cooking · Roguelike Deckbuilder · Crafting · Roguelike · Roguelite · Nature · Inventory Management</t>
  </si>
  <si>
    <t xml:space="preserve">TheOilyGooseStudio</t>
  </si>
  <si>
    <t xml:space="preserve">Roguelike Deckbuilder · Card Battler · Card Game · Roguelike · Strategy · Deckbuilding · Turn-Based · Singleplayer</t>
  </si>
  <si>
    <t xml:space="preserve">Dice with the Devil</t>
  </si>
  <si>
    <t xml:space="preserve">Krause Games</t>
  </si>
  <si>
    <t xml:space="preserve">Roguelike Deckbuilder · Dice · Turn-Based Combat · Roguelite · Dungeon Crawler · Replay Value · Dark Fantasy · Indie</t>
  </si>
  <si>
    <t xml:space="preserve">IzayoiSora</t>
  </si>
  <si>
    <t xml:space="preserve">Grid-Based Movement · Deckbuilding · Turn-Based Tactics · Turn-Based Strategy · Strategy · Roguelike Deckbuilder · Fantasy · Tactical RPG</t>
  </si>
  <si>
    <t xml:space="preserve">Dungen</t>
  </si>
  <si>
    <t xml:space="preserve">SVGames</t>
  </si>
  <si>
    <t xml:space="preserve">Cute · Roguelike Deckbuilder · Roguelike · Card Battler · Mystery Dungeon · Deckbuilding · Strategy · Card Game</t>
  </si>
  <si>
    <t xml:space="preserve">Sentry System</t>
  </si>
  <si>
    <t xml:space="preserve">Penguinium</t>
  </si>
  <si>
    <t xml:space="preserve">Tower Defense · Roguelike · Strategy · Auto Battler · Tactical · Singleplayer · Perma Death · Real Time Tactics</t>
  </si>
  <si>
    <t xml:space="preserve">VicWaku</t>
  </si>
  <si>
    <t xml:space="preserve">Auto Battler · Roguelite · Creature Collector · PvE · Roguelike Deckbuilder · Replay Value · Tactical · Turn-Based Tactics</t>
  </si>
  <si>
    <t xml:space="preserve">Tyrants</t>
  </si>
  <si>
    <t xml:space="preserve">Strategy · Card Game · Deckbuilding · Auto Battler · Roguelike Deckbuilder · Turn-Based Strategy · Card Battler · War</t>
  </si>
  <si>
    <t xml:space="preserve">Indomitus: Path of Ordeals</t>
  </si>
  <si>
    <t xml:space="preserve">Aestone Studio</t>
  </si>
  <si>
    <t xml:space="preserve">Strategy · Roguelike · Roguelike Deckbuilder · Indie · RPG · Card Game · Auto Battler · RTS</t>
  </si>
  <si>
    <t xml:space="preserve">Bobo in Hell</t>
  </si>
  <si>
    <t xml:space="preserve">Arcana Rebels</t>
  </si>
  <si>
    <t xml:space="preserve">Roguelike Deckbuilder · Card Game · Card Battler · Roguelike · Deckbuilding · Roguelite · RPG · Singleplayer</t>
  </si>
  <si>
    <t xml:space="preserve">Puff Games</t>
  </si>
  <si>
    <t xml:space="preserve">Strategy · Roguelike Deckbuilder · Roguelite · Roguelike · Deckbuilding · Casual · Replay Value · Singleplayer</t>
  </si>
  <si>
    <t xml:space="preserve">kill -9</t>
  </si>
  <si>
    <t xml:space="preserve">Jinwe</t>
  </si>
  <si>
    <t xml:space="preserve">Roguelike · Card Game · Singleplayer · Strategy · Card Battler · Deckbuilding · Roguelike Deckbuilder · Turn-Based Combat</t>
  </si>
  <si>
    <t xml:space="preserve">Vulcard</t>
  </si>
  <si>
    <t xml:space="preserve">Goblin Games Studio</t>
  </si>
  <si>
    <t xml:space="preserve">Card Battler · Real Time Tactics · Roguelite · PvE · Card Game · Roguelike · Strategy · 2D</t>
  </si>
  <si>
    <t xml:space="preserve">BLACK STACK</t>
  </si>
  <si>
    <t xml:space="preserve">BLACKGLASS ASSEMBLY</t>
  </si>
  <si>
    <t xml:space="preserve">Strategy · Roguelike · Card Battler · 2D · FMV · Cyberpunk · Dark · Horror</t>
  </si>
  <si>
    <t xml:space="preserve">Hexitten</t>
  </si>
  <si>
    <t xml:space="preserve">Korkea Maki Studios</t>
  </si>
  <si>
    <t xml:space="preserve">Roguelike Deckbuilder · Strategy · Turn-Based Strategy · Roguelike · Card Battler · RPG · Tactical RPG · Turn-Based Combat</t>
  </si>
  <si>
    <t xml:space="preserve">Hexeract</t>
  </si>
  <si>
    <t xml:space="preserve">earendil25; kukuku0517</t>
  </si>
  <si>
    <t xml:space="preserve">Roguelike Deckbuilder · Deckbuilding · Card Game · Puzzle · Solitaire · Logic · Strategy · Roguelike</t>
  </si>
  <si>
    <t xml:space="preserve">MegaBattle</t>
  </si>
  <si>
    <t xml:space="preserve">MadCat Corp; Cavylabs</t>
  </si>
  <si>
    <t xml:space="preserve">Roguelike Deckbuilder · Card Battler · Deckbuilding · Turn-Based Tactics · Mechs · Roguelite · Turn-Based Combat · Turn-Based Strategy</t>
  </si>
  <si>
    <t xml:space="preserve">Tavrik</t>
  </si>
  <si>
    <t xml:space="preserve">Nyra Games</t>
  </si>
  <si>
    <t xml:space="preserve">Tabletop · Turn-Based Strategy · Roguelike Deckbuilder · Exploration · Deckbuilding · Roguelike · Board Game · Adventure</t>
  </si>
  <si>
    <t xml:space="preserve">How Can a Joker Like Me Play Cards with a Beautiful Girl</t>
  </si>
  <si>
    <t xml:space="preserve">可布和常常诶</t>
  </si>
  <si>
    <t xml:space="preserve">Roguelike Deckbuilder · Card Game · Card Battler · Roguelite · Roguelike · Replay Value · Strategy · Deckbuilding</t>
  </si>
  <si>
    <t xml:space="preserve">Bart Alluyn</t>
  </si>
  <si>
    <t xml:space="preserve">Roguelike Deckbuilder · Strategy · RPG · Card Game · Roguelike · Card Battler · Roguelite · 2D</t>
  </si>
  <si>
    <t xml:space="preserve">Hell Dice Gambit</t>
  </si>
  <si>
    <t xml:space="preserve">Bheismarque; PAVDUP</t>
  </si>
  <si>
    <t xml:space="preserve">Strategy · Dice · Roguelike · Roguelike Deckbuilder · Gambling · Turn-Based Strategy · Roguelite · 3D</t>
  </si>
  <si>
    <t xml:space="preserve">That Time I Found A Box</t>
  </si>
  <si>
    <t xml:space="preserve">Otter Paw Press</t>
  </si>
  <si>
    <t xml:space="preserve">Roguelike Deckbuilder · Card Game · Strategy · Roguelike · Deckbuilding · Singleplayer · Card Battler · Turn-Based</t>
  </si>
  <si>
    <t xml:space="preserve">ORBIT: Bingo Roguelite</t>
  </si>
  <si>
    <t xml:space="preserve">BeriaLabs Games</t>
  </si>
  <si>
    <t xml:space="preserve">Roguelike Deckbuilder · Roguelite · Board Game · Deckbuilding · Strategy · Card Game · Score Attack · Roguelike</t>
  </si>
  <si>
    <t xml:space="preserve">Genkai: Primal Awakening</t>
  </si>
  <si>
    <t xml:space="preserve">Mega Game Studios</t>
  </si>
  <si>
    <t xml:space="preserve">Roguelike Deckbuilder · Card Game · Card Battler · Roguelike · Strategy · Deckbuilding · Turn-Based · Singleplayer</t>
  </si>
  <si>
    <t xml:space="preserve">Bonfire Barrage</t>
  </si>
  <si>
    <t xml:space="preserve">Tiny Punch Games</t>
  </si>
  <si>
    <t xml:space="preserve">Action Roguelike · Bullet Hell · Shoot 'Em Up · Roguelite · Perma Death · Arcade · Roguelike · 2D</t>
  </si>
  <si>
    <t xml:space="preserve">Fall Of The Son</t>
  </si>
  <si>
    <t xml:space="preserve">No More Games Studio</t>
  </si>
  <si>
    <t xml:space="preserve">Roguelike Deckbuilder · Card Battler · Deckbuilding · Card Game · Roguelite · Strategy · PvE · Roguelike</t>
  </si>
  <si>
    <t xml:space="preserve">Albedon Wars</t>
  </si>
  <si>
    <t xml:space="preserve">Firemill Games</t>
  </si>
  <si>
    <t xml:space="preserve">Roguelike Deckbuilder · Card Game · Early Access · Strategy · Indie · Turn-Based Tactics · Roguelite · RPG</t>
  </si>
  <si>
    <t xml:space="preserve">Souls Inferno</t>
  </si>
  <si>
    <t xml:space="preserve">simulinati</t>
  </si>
  <si>
    <t xml:space="preserve">Dungeon Crawler · RPG · Turn-Based Combat · Roguelite · Roguelike Deckbuilder · Souls-like · Character Customization · Pixel Graphics</t>
  </si>
  <si>
    <t xml:space="preserve">Frame Forge Studios LLC</t>
  </si>
  <si>
    <t xml:space="preserve">Strategy · RPG · Card Game · Roguelike · Card Battler · Roguelite · Tactical RPG · 2D</t>
  </si>
  <si>
    <t xml:space="preserve">Card Game · Card Battler · Puzzle · Roguelike Deckbuilder · Tower Defense · Roguelike · Strategy · Deckbuilding</t>
  </si>
  <si>
    <t xml:space="preserve">DSgames</t>
  </si>
  <si>
    <t xml:space="preserve">Deckbuilding · Strategy · Roguelike Deckbuilder · Card Battler · Indie · Card Game · Roguelike · Roguelite</t>
  </si>
  <si>
    <t xml:space="preserve">God of Stickfights</t>
  </si>
  <si>
    <t xml:space="preserve">Darksoulx</t>
  </si>
  <si>
    <t xml:space="preserve">2D Fighter · Roguelike Deckbuilder · Action Roguelike · Spectacle fighter · Real Time Tactics · PvP · Roguelike · 2D</t>
  </si>
  <si>
    <t xml:space="preserve">Burn The Witch: Toll of the Bell Bearer</t>
  </si>
  <si>
    <t xml:space="preserve">Grayfox</t>
  </si>
  <si>
    <t xml:space="preserve">Roguelike Deckbuilder · Deckbuilding · Card Battler · Card Game · Roguelike · Turn-Based Strategy · Turn-Based Combat · Procedural Generation</t>
  </si>
  <si>
    <t xml:space="preserve">Unsealed Pact</t>
  </si>
  <si>
    <t xml:space="preserve">Rockbench Studio</t>
  </si>
  <si>
    <t xml:space="preserve">Roguelike Deckbuilder · Trading Card Game · Singleplayer · Difficult · Choices Matter · Deckbuilding · Card Game · Roguelike</t>
  </si>
  <si>
    <t xml:space="preserve">Enerdusk</t>
  </si>
  <si>
    <t xml:space="preserve">tortoiseUGS</t>
  </si>
  <si>
    <t xml:space="preserve">Strategy · Roguelike · Card Game · Deckbuilding · Anime · Indie · Card Battler · Turn-Based Tactics</t>
  </si>
  <si>
    <t xml:space="preserve">Space Recall</t>
  </si>
  <si>
    <t xml:space="preserve">JohnHang</t>
  </si>
  <si>
    <t xml:space="preserve">Action · Adventure · 2D Platformer · Roguelike · Space · Action Roguelike · Roguelite · 2D</t>
  </si>
  <si>
    <t xml:space="preserve">In the Dark</t>
  </si>
  <si>
    <t xml:space="preserve">teamkamakiri</t>
  </si>
  <si>
    <t xml:space="preserve">Roguelike Deckbuilder · Strategy · Card Game · Survival Horror · Deckbuilding · Roguelite · Singleplayer · Gore</t>
  </si>
  <si>
    <t xml:space="preserve">Corpoct</t>
  </si>
  <si>
    <t xml:space="preserve">Wolderado; Belaniax</t>
  </si>
  <si>
    <t xml:space="preserve">Sci-fi · Space · Roguelike · Strategy · Resource Management · Dungeon Crawler · Auto Battler · Real-Time with Pause</t>
  </si>
  <si>
    <t xml:space="preserve">Record of Chaos - Korean Chapter</t>
  </si>
  <si>
    <t xml:space="preserve">Sixstone Games</t>
  </si>
  <si>
    <t xml:space="preserve">Indie · Card Game · Roguelike · Dungeon Crawler · Turn-Based Strategy · 2D · Historical · Atmospheric</t>
  </si>
  <si>
    <t xml:space="preserve">Oogy: Can You Help</t>
  </si>
  <si>
    <t xml:space="preserve">Julian Weiss</t>
  </si>
  <si>
    <t xml:space="preserve">Roguelite · Card Game · Dark Comedy · Choices Matter · Controller · Dialogue Heavy · Deckbuilding · Multiple Endings</t>
  </si>
  <si>
    <t xml:space="preserve">Bumble Rumble</t>
  </si>
  <si>
    <t xml:space="preserve">Studio Pouffy</t>
  </si>
  <si>
    <t xml:space="preserve">Strategy · Roguelike · Tower Defense · Deckbuilding · Cute · 2D · Pixel Graphics · Turn-Based Tactics</t>
  </si>
  <si>
    <t xml:space="preserve">The Wand Wizard</t>
  </si>
  <si>
    <t xml:space="preserve">PX Studio</t>
  </si>
  <si>
    <t xml:space="preserve">Action · Casual · Arcade · Action Roguelike · Bullet Hell · Roguelite · 2D · Fantasy</t>
  </si>
  <si>
    <t xml:space="preserve">Sentinel Point Heroes</t>
  </si>
  <si>
    <t xml:space="preserve">Jellybane</t>
  </si>
  <si>
    <t xml:space="preserve">Turn-Based Tactics · Card Battler · Roguelike Deckbuilder · Roguelite · Moddable · Superhero · Strategy · Time Manipulation</t>
  </si>
  <si>
    <t xml:space="preserve">Escape Ruin</t>
  </si>
  <si>
    <t xml:space="preserve">To The Core Games</t>
  </si>
  <si>
    <t xml:space="preserve">Deckbuilding · Roguelike Deckbuilder · Card Game · Turn-Based Tactics · Roguelite · Strategy · Perma Death · Singleplayer</t>
  </si>
  <si>
    <t xml:space="preserve">Prisoners of Ulag'Bol: A Dungeon Crawling Deckbuilder</t>
  </si>
  <si>
    <t xml:space="preserve">DF Games</t>
  </si>
  <si>
    <t xml:space="preserve">Deckbuilding · RPG · Strategy · Dungeon Crawler · Roguelite · Card Battler · Card Game · Roguelike</t>
  </si>
  <si>
    <t xml:space="preserve">Shadows of Revenge</t>
  </si>
  <si>
    <t xml:space="preserve">Bedrock Fungi Games</t>
  </si>
  <si>
    <t xml:space="preserve">Roguelike Deckbuilder · Strategy · Deckbuilding · Card Battler · Card Game · Roguelite · Roguelike · 2D</t>
  </si>
  <si>
    <t xml:space="preserve">Athyran Studios</t>
  </si>
  <si>
    <t xml:space="preserve">Roguelike Deckbuilder · Card Game · Strategy · Card Battler · Deckbuilding · Turn-Based · Roguelike · Singleplayer</t>
  </si>
  <si>
    <t xml:space="preserve">Politiks - Satirical Roguelite Deckbuilder</t>
  </si>
  <si>
    <t xml:space="preserve">Early Access · Deckbuilding · Strategy · Roguelike Deckbuilder · Casual · Card Game · Card Battler · Turn-Based Strategy</t>
  </si>
  <si>
    <t xml:space="preserve">PINDEMONIUM</t>
  </si>
  <si>
    <t xml:space="preserve">Drypoint</t>
  </si>
  <si>
    <t xml:space="preserve">Casual · Action · Arcade · Board Game · Roguelike · Tabletop · Action Roguelike · Incremental</t>
  </si>
  <si>
    <t xml:space="preserve">Hadarot</t>
  </si>
  <si>
    <t xml:space="preserve">Abel Martín</t>
  </si>
  <si>
    <t xml:space="preserve">Early Access · Roguelike Deckbuilder · Card Game · Card Battler · Roguelike · Turn-Based · Deckbuilding · Turn-Based Tactics</t>
  </si>
  <si>
    <t xml:space="preserve">陨铁山 Falling Mountains</t>
  </si>
  <si>
    <t xml:space="preserve">Harbinger</t>
  </si>
  <si>
    <t xml:space="preserve">Roguelike Deckbuilder · Card Game · Deckbuilding · Roguelite · Perma Death · Strategy · 2D · Procedural Generation</t>
  </si>
  <si>
    <t xml:space="preserve">Dreamians: Card Battle</t>
  </si>
  <si>
    <t xml:space="preserve">White Vortex Games</t>
  </si>
  <si>
    <t xml:space="preserve">Roguelike Deckbuilder · Card Game · Roguelike · Casual · Trading Card Game · Card Battler · Creature Collector · RPG</t>
  </si>
  <si>
    <t xml:space="preserve">Rogue Ninjas</t>
  </si>
  <si>
    <t xml:space="preserve">Mobmonks</t>
  </si>
  <si>
    <t xml:space="preserve">Roguelite · RPG · Turn-Based Tactics · Roguelike · Deckbuilding · Roguelike Deckbuilder · Singleplayer · Strategy</t>
  </si>
  <si>
    <t xml:space="preserve">Lucky Hand: Roguelike Deck Builder</t>
  </si>
  <si>
    <t xml:space="preserve">Hard Shark Games</t>
  </si>
  <si>
    <t xml:space="preserve">Roguelike Deckbuilder · Strategy · Card Game · Card Battler · Roguelike · Procedural Generation · Indie · Singleplayer</t>
  </si>
  <si>
    <t xml:space="preserve">Waterjacked!</t>
  </si>
  <si>
    <t xml:space="preserve">A Frog's Pond</t>
  </si>
  <si>
    <t xml:space="preserve">Early Access · Traditional Roguelike · Roguelike Deckbuilder · Puzzle · Turn-Based Strategy · Turn-Based Combat · Turn-Based · Deckbuilding</t>
  </si>
  <si>
    <t xml:space="preserve">Project Uncover</t>
  </si>
  <si>
    <t xml:space="preserve">KUANG</t>
  </si>
  <si>
    <t xml:space="preserve">Deckbuilding · Arcade · Casual · Roguelite · Roguelike Deckbuilder · 2D · Sexual Content · Nudity</t>
  </si>
  <si>
    <t xml:space="preserve">The Bible Roguelike Deckbuilder</t>
  </si>
  <si>
    <t xml:space="preserve">Entertainment Software International</t>
  </si>
  <si>
    <t xml:space="preserve">Roguelike Deckbuilder · Card Battler · Dungeon Crawler · Card Game · Roguelike · Strategy · 2D · Historical</t>
  </si>
  <si>
    <t xml:space="preserve">Another Round</t>
  </si>
  <si>
    <t xml:space="preserve">Triple Eye Games</t>
  </si>
  <si>
    <t xml:space="preserve">Roguelike Deckbuilder · Turn-Based · Cyberpunk · Card Game · Turn-Based Strategy · RPG · Story Rich · Procedural Generation</t>
  </si>
  <si>
    <t xml:space="preserve">REDTAPE</t>
  </si>
  <si>
    <t xml:space="preserve">HAKDU</t>
  </si>
  <si>
    <t xml:space="preserve">Card Game · Strategy · Roguelike · Roguelike Deckbuilder · Deckbuilding · Casual · Indie · Singleplayer</t>
  </si>
  <si>
    <t xml:space="preserve">Chart Weaver</t>
  </si>
  <si>
    <t xml:space="preserve">Skahd</t>
  </si>
  <si>
    <t xml:space="preserve">Score Attack · Strategy · Casual · Card Battler · Deckbuilding · Roguelike Deckbuilder · Roguelite · Roguelike</t>
  </si>
  <si>
    <t xml:space="preserve">Apocalypse: The Hunger</t>
  </si>
  <si>
    <t xml:space="preserve">Bit Boy Games</t>
  </si>
  <si>
    <t xml:space="preserve">Roguelike Deckbuilder · Card Game · Roguelike · Roguelite · Indie · Mystery Dungeon · Trading Card Game · Crafting</t>
  </si>
  <si>
    <t xml:space="preserve">Lisisoft</t>
  </si>
  <si>
    <t xml:space="preserve">Card Game · Procedural Generation · Roguelike · Gambling · Roguelike Deckbuilder · Choices Matter · Inventory Management · Automation</t>
  </si>
  <si>
    <t xml:space="preserve">OneShotRogue</t>
  </si>
  <si>
    <t xml:space="preserve">Nelfold Works</t>
  </si>
  <si>
    <t xml:space="preserve">Strategy · Roguelike Deckbuilder · Difficult · Deckbuilding · Roguelite · Card Game · Roguelike · 2D</t>
  </si>
  <si>
    <t xml:space="preserve">Slay the Horde</t>
  </si>
  <si>
    <t xml:space="preserve">Regretware</t>
  </si>
  <si>
    <t xml:space="preserve">Bullet Heaven · Action Roguelike · Roguelite · Bullet Hell · Pixel Graphics · Action · Top-Down · Roguelike Deckbuilder</t>
  </si>
  <si>
    <t xml:space="preserve">Spliced</t>
  </si>
  <si>
    <t xml:space="preserve">Orrito</t>
  </si>
  <si>
    <t xml:space="preserve">Roguelike Deckbuilder · Card Game · Turn-Based · Roguelite · Indie · Roguelike · Colorful · Deckbuilding</t>
  </si>
  <si>
    <t xml:space="preserve">Binary Logic Games</t>
  </si>
  <si>
    <t xml:space="preserve">Solitaire · Card Battler · Roguelite · Education · Tutorial · Card Game · Strategy · 2D</t>
  </si>
  <si>
    <t xml:space="preserve">Mom, I'm Really Learning English</t>
  </si>
  <si>
    <t xml:space="preserve">MiracleHeart Studio</t>
  </si>
  <si>
    <t xml:space="preserve">Strategy · Education · Card Game · Turn-Based Tactics · Trading Card Game · 2D · Anime · Fantasy</t>
  </si>
  <si>
    <t xml:space="preserve">Galdr Inkblade</t>
  </si>
  <si>
    <t xml:space="preserve">Ravenom</t>
  </si>
  <si>
    <t xml:space="preserve">Spelling · Roguelike Deckbuilder · Strategy · Word Game · Education · Card Game · Casual · Roguelike</t>
  </si>
  <si>
    <t xml:space="preserve">Servants of Sumomon</t>
  </si>
  <si>
    <t xml:space="preserve">10-2 Knees</t>
  </si>
  <si>
    <t xml:space="preserve">Roguelike Deckbuilder · Casual · Card Game · Deckbuilding · Turn-Based Combat · Hand-drawn · Fantasy · 2D</t>
  </si>
  <si>
    <t xml:space="preserve">Zankoi's Chronicles</t>
  </si>
  <si>
    <t xml:space="preserve">Ledian Digital</t>
  </si>
  <si>
    <t xml:space="preserve">Action Roguelike · Roguelike Deckbuilder · Deckbuilding · 2D Fighter · Action · Martial Arts · Dark Fantasy · Singleplayer</t>
  </si>
  <si>
    <t xml:space="preserve">Mixatro</t>
  </si>
  <si>
    <t xml:space="preserve">Davopia Games</t>
  </si>
  <si>
    <t xml:space="preserve">Casual · Arcade · Puzzle · Indie · Roguelike · 2D · Cartoony · Family Friendly</t>
  </si>
  <si>
    <t xml:space="preserve">Hand-me-downs</t>
  </si>
  <si>
    <t xml:space="preserve">Buggy Deduck</t>
  </si>
  <si>
    <t xml:space="preserve">Early Access · Card Game · Roguelike · Roguelike Deckbuilder · Strategy · Deckbuilding · Card Battler · Singleplayer</t>
  </si>
  <si>
    <t xml:space="preserve">Slots &amp; Sword &amp; Magic</t>
  </si>
  <si>
    <t xml:space="preserve">JL studio</t>
  </si>
  <si>
    <t xml:space="preserve">Strategy · Roguelike · Roguelike Deckbuilder · Casual · Gambling · Deckbuilding · Card Battler · Pixel Graphics</t>
  </si>
  <si>
    <t xml:space="preserve">No Luck In Dice</t>
  </si>
  <si>
    <t xml:space="preserve">Evil Eric Game Studios</t>
  </si>
  <si>
    <t xml:space="preserve">Card Battler · Roguelite · Difficult · Turn-Based · Card Game · Turn-Based Strategy · Arcade · Strategy</t>
  </si>
  <si>
    <t xml:space="preserve">Double Barrel Desperado</t>
  </si>
  <si>
    <t xml:space="preserve">Gentoo Games</t>
  </si>
  <si>
    <t xml:space="preserve">Roguelike Deckbuilder · Casual · Card Game · Roguelike · Strategy · Singleplayer · 2D · Arcade</t>
  </si>
  <si>
    <t xml:space="preserve">Groober</t>
  </si>
  <si>
    <t xml:space="preserve">SMART PUNK GAMES</t>
  </si>
  <si>
    <t xml:space="preserve">Political Sim · Roguelite · Roguelike Deckbuilder · Puzzle · Visual Novel · 2D · Cyberpunk · Parody</t>
  </si>
  <si>
    <t xml:space="preserve">CROUPIERED</t>
  </si>
  <si>
    <t xml:space="preserve">Variazioni Games</t>
  </si>
  <si>
    <t xml:space="preserve">Strategy · Casual · Deckbuilding · Roguelike · Roguelike Deckbuilder · Board Game · 2D · Western</t>
  </si>
  <si>
    <t xml:space="preserve">Enchanted Blackjack</t>
  </si>
  <si>
    <t xml:space="preserve">drikdrok</t>
  </si>
  <si>
    <t xml:space="preserve">Roguelike Deckbuilder · Turn-Based Tactics · Incremental · Roguelite · Deckbuilding · Economy · Card Game · Tabletop</t>
  </si>
  <si>
    <t xml:space="preserve">Glyphrune</t>
  </si>
  <si>
    <t xml:space="preserve">Caitlyn Walsh (CaveBit Studios)</t>
  </si>
  <si>
    <t xml:space="preserve">Roguelite · Roguelike Deckbuilder · Card Battler · Deckbuilding · RPG · Strategy RPG · Class-Based · Turn-Based Combat</t>
  </si>
  <si>
    <t xml:space="preserve">Pay your Deeds</t>
  </si>
  <si>
    <t xml:space="preserve">Insiders Games</t>
  </si>
  <si>
    <t xml:space="preserve">Casual · Strategy · Roguelike Deckbuilder · Roguelike · Arcade · Card Game · Incremental · Roguelite</t>
  </si>
  <si>
    <t xml:space="preserve">Oath of Stigmata</t>
  </si>
  <si>
    <t xml:space="preserve">LI SHUANG</t>
  </si>
  <si>
    <t xml:space="preserve">Roguelike Deckbuilder · Turn-Based Tactics · Deckbuilding · Strategy · Card Battler · Roguelite · Roguelike · Tactical RPG</t>
  </si>
  <si>
    <t xml:space="preserve">Funkels</t>
  </si>
  <si>
    <t xml:space="preserve">Merovingio</t>
  </si>
  <si>
    <t xml:space="preserve">Strategy · Card Game · Roguelike · Creature Collector · Card Battler · 2D · Cartoony · Stylized</t>
  </si>
  <si>
    <t xml:space="preserve">Dystopia Girls : Countdown</t>
  </si>
  <si>
    <t xml:space="preserve">Jeremy Kim</t>
  </si>
  <si>
    <t xml:space="preserve">Roguelite · 2D · Anime · RPG · Cyberpunk · Dystopian · Post-apocalyptic · Sci-fi</t>
  </si>
  <si>
    <t xml:space="preserve">Mage Mountain</t>
  </si>
  <si>
    <t xml:space="preserve">Wonderbounce Games</t>
  </si>
  <si>
    <t xml:space="preserve">Early Access · Card Battler · Turn-Based Tactics · Deckbuilding · Roguelite · Perma Death · Card Game · Point &amp; Click</t>
  </si>
  <si>
    <t xml:space="preserve">The Hollow Alchemist</t>
  </si>
  <si>
    <t xml:space="preserve">Soul in a flask</t>
  </si>
  <si>
    <t xml:space="preserve">Early Access · Roguelike Deckbuilder · Deckbuilding · Turn-Based Strategy · Card Battler · Card Game · Turn-Based Tactics · Strategy</t>
  </si>
  <si>
    <t xml:space="preserve">SlipShot</t>
  </si>
  <si>
    <t xml:space="preserve">Multiplayer · Local Multiplayer · Action Roguelike · Deckbuilding · Party Game · Stylized · Indie · Action</t>
  </si>
  <si>
    <t xml:space="preserve">Deck Defense</t>
  </si>
  <si>
    <t xml:space="preserve">CactusJock</t>
  </si>
  <si>
    <t xml:space="preserve">Strategy · Tower Defense · Deckbuilding · Roguelike · 3D · Roguelite · Singleplayer · Controller</t>
  </si>
  <si>
    <t xml:space="preserve">DreamBreaker</t>
  </si>
  <si>
    <t xml:space="preserve">MOYUN Game</t>
  </si>
  <si>
    <t xml:space="preserve">Roguelike Deckbuilder · Card Game · Card Battler · Strategy · Deckbuilding · Turn-Based · Singleplayer · 2D</t>
  </si>
  <si>
    <t xml:space="preserve">Monke Brain</t>
  </si>
  <si>
    <t xml:space="preserve">PIRI PIRI INTERACTIVE.</t>
  </si>
  <si>
    <t xml:space="preserve">Strategy · Card Game · Roguelike · 2D · Relaxing · Deckbuilding · Singleplayer · Roguelite</t>
  </si>
  <si>
    <t xml:space="preserve">The Drowned Deal</t>
  </si>
  <si>
    <t xml:space="preserve">RB Games Studio</t>
  </si>
  <si>
    <t xml:space="preserve">Card Game · Roguelike · Roguelike Deckbuilder · Deckbuilding · Singleplayer · Strategy · Replay Value · Card Battler</t>
  </si>
  <si>
    <t xml:space="preserve">PentaPip</t>
  </si>
  <si>
    <t xml:space="preserve">Sander Hilven</t>
  </si>
  <si>
    <t xml:space="preserve">Roguelite · Dice · Strategy · Tabletop · Casual · Deckbuilding · Board Game · Roguelike</t>
  </si>
  <si>
    <t xml:space="preserve">SUITE:The Automated Card Engine</t>
  </si>
  <si>
    <t xml:space="preserve">2D100</t>
  </si>
  <si>
    <t xml:space="preserve">Roguelike Deckbuilder · Roguelike · Deckbuilding · Card Battler · Roguelite · Card Game · Turn-Based Strategy · Strategy</t>
  </si>
  <si>
    <t xml:space="preserve">Tech Disorder</t>
  </si>
  <si>
    <t xml:space="preserve">Danil Koliada</t>
  </si>
  <si>
    <t xml:space="preserve">Early Access · Roguelike Deckbuilder · Turn-Based Combat · Cyberpunk · Turn-Based Tactics · Strategy · Card Game · Deckbuilding</t>
  </si>
  <si>
    <t xml:space="preserve">Play Hooky</t>
  </si>
  <si>
    <t xml:space="preserve">Strategy · Card Game · Roguelike · Turn-Based Strategy · Turn-Based Tactics · Roguelike Deckbuilder · Fantasy · Deckbuilding</t>
  </si>
  <si>
    <t xml:space="preserve">Type Ride</t>
  </si>
  <si>
    <t xml:space="preserve">NOT__OK''</t>
  </si>
  <si>
    <t xml:space="preserve">Typing · Deckbuilding · Tower Defense · Card Game · Roguelike Deckbuilder · Roguelite · 2D · Strategy</t>
  </si>
  <si>
    <t xml:space="preserve">Sklesh</t>
  </si>
  <si>
    <t xml:space="preserve">Three Hands Co</t>
  </si>
  <si>
    <t xml:space="preserve">Auto Battler · Card Game · Roguelike · Card Battler · Roguelite · 2D · 3D · Casual</t>
  </si>
  <si>
    <t xml:space="preserve">Lyrical Games</t>
  </si>
  <si>
    <t xml:space="preserve">Roguelite · Action Roguelike · Class-Based · Replay Value · Co-op Campaign · Stylized · Bullet Hell · Fantasy</t>
  </si>
  <si>
    <t xml:space="preserve">Cards from the West</t>
  </si>
  <si>
    <t xml:space="preserve">guilemus</t>
  </si>
  <si>
    <t xml:space="preserve">Early Access · Roguelike Deckbuilder · Card Game · Card Battler · Roguelike · Deckbuilding · Western · Strategy</t>
  </si>
  <si>
    <t xml:space="preserve">Deck of Defense</t>
  </si>
  <si>
    <t xml:space="preserve">Midnight Shores</t>
  </si>
  <si>
    <t xml:space="preserve">Strategy · Tower Defense · Roguelike Deckbuilder · Roguelite · Card Game · Deckbuilding · Roguelike · Cartoony</t>
  </si>
  <si>
    <t xml:space="preserve">Great Adventure: Alice's wonderland</t>
  </si>
  <si>
    <t xml:space="preserve">jesliwang</t>
  </si>
  <si>
    <t xml:space="preserve">Strategy · Card Battler · Card Game · Roguelike Deckbuilder · Singleplayer · Adventure · Indie</t>
  </si>
  <si>
    <t xml:space="preserve">Vocator</t>
  </si>
  <si>
    <t xml:space="preserve">Ion Software</t>
  </si>
  <si>
    <t xml:space="preserve">Strategy · Roguelike Deckbuilder · Card Battler · Auto Battler · Card Game · Roguelike · Deckbuilding · Turn-Based Tactics</t>
  </si>
  <si>
    <t xml:space="preserve">BreakLoop</t>
  </si>
  <si>
    <t xml:space="preserve">Xavier Marseille</t>
  </si>
  <si>
    <t xml:space="preserve">Roguelike · Strategy · Bullet Hell · Roguelike Deckbuilder · Action · Deckbuilding · Retro · Indie</t>
  </si>
  <si>
    <t xml:space="preserve">Lucky Break</t>
  </si>
  <si>
    <t xml:space="preserve">Ian Durra</t>
  </si>
  <si>
    <t xml:space="preserve">Deckbuilding · Strategy · Gambling · Horror · Resource Management · Dark · Roguelike · Roguelite</t>
  </si>
  <si>
    <t xml:space="preserve">イーシャの魔法書解読室</t>
  </si>
  <si>
    <t xml:space="preserve">放課後の生徒会室</t>
  </si>
  <si>
    <t xml:space="preserve">Strategy · Roguelike · Turn-Based Tactics · Singleplayer · 2D · Fantasy · Magic · Indie</t>
  </si>
  <si>
    <t xml:space="preserve">Cave Crusade</t>
  </si>
  <si>
    <t xml:space="preserve">LunarTailBlazer</t>
  </si>
  <si>
    <t xml:space="preserve">Roguelike Deckbuilder · Turn-Based · Perma Death · Card Game · Roguelike · Turn-Based Tactics · Card Battler · Difficult</t>
  </si>
  <si>
    <t xml:space="preserve">Walls of Rust</t>
  </si>
  <si>
    <t xml:space="preserve">GarageOwl</t>
  </si>
  <si>
    <t xml:space="preserve">Turn-Based Tactics · Roguelike Deckbuilder · Grid-Based Movement · Card Battler · Mechs · Turn-Based Combat · Hex Grid · Roguelite</t>
  </si>
  <si>
    <t xml:space="preserve">Neon Frontline</t>
  </si>
  <si>
    <t xml:space="preserve">Hook Studio</t>
  </si>
  <si>
    <t xml:space="preserve">Roguelike Deckbuilder · Strategy · Card Battler · Turn-Based Tactics · Deckbuilding · Roguelike · Card Game · Turn-Based Strategy</t>
  </si>
  <si>
    <t xml:space="preserve">Guardian of soul tower</t>
  </si>
  <si>
    <t xml:space="preserve">Nigate88 Studio</t>
  </si>
  <si>
    <t xml:space="preserve">Roguelike Deckbuilder · Strategy · Card Battler · Card Game · RTS · Roguelike · Indie · Deckbuilding</t>
  </si>
  <si>
    <t xml:space="preserve">Darkrise: War of the Undead</t>
  </si>
  <si>
    <t xml:space="preserve">Wynand Smit</t>
  </si>
  <si>
    <t xml:space="preserve">Roguelike Deckbuilder · Crafting · Survival · Perma Death · Post-apocalyptic · Deckbuilding · RPG · Card Battler</t>
  </si>
  <si>
    <t xml:space="preserve">重生之再战高考 Reborn: Examine Again</t>
  </si>
  <si>
    <t xml:space="preserve">Team General Pig</t>
  </si>
  <si>
    <t xml:space="preserve">Casual · Strategy · Roguelike Deckbuilder · Roguelike · Roguelite · 2D · Pixel Graphics · Modern</t>
  </si>
  <si>
    <t xml:space="preserve">Five Foot Games</t>
  </si>
  <si>
    <t xml:space="preserve">Simulation · Economy · Capitalism · Roguelike Deckbuilder · Roguelike · Deckbuilding · Idler · Incremental</t>
  </si>
  <si>
    <t xml:space="preserve">Play the Wor!d</t>
  </si>
  <si>
    <t xml:space="preserve">Sweet Turtles</t>
  </si>
  <si>
    <t xml:space="preserve">Strategy · Spelling · Difficult · Arcade · Casual · Roguelike · Cozy · Deckbuilding</t>
  </si>
  <si>
    <t xml:space="preserve">tamtam</t>
  </si>
  <si>
    <t xml:space="preserve">Roguelike Deckbuilder · Card Game · Casual · Roguelite · Card Battler · Gambling · Roguelike · Deckbuilding</t>
  </si>
  <si>
    <t xml:space="preserve">Krukmore</t>
  </si>
  <si>
    <t xml:space="preserve">David Gamble</t>
  </si>
  <si>
    <t xml:space="preserve">Dice · Dungeon Crawler · Roguelite · Roguelike Deckbuilder · Retro · Pixel Graphics · Turn-Based Combat · Strategy</t>
  </si>
  <si>
    <t xml:space="preserve">PEC Game Design</t>
  </si>
  <si>
    <t xml:space="preserve">Early Access · RPG · Roguelike Deckbuilder · Strategy · Dark Fantasy · Card Game · Turn-Based Strategy · Turn-Based Tactics</t>
  </si>
  <si>
    <t xml:space="preserve">SuperNovem</t>
  </si>
  <si>
    <t xml:space="preserve">CowboyCurtis</t>
  </si>
  <si>
    <t xml:space="preserve">Strategy · Card Game · Roguelike · Roguelite · Turn-Based Tactics · 2D · Pixel Graphics · Gambling</t>
  </si>
  <si>
    <t xml:space="preserve">Groupel</t>
  </si>
  <si>
    <t xml:space="preserve">Dretz Studio</t>
  </si>
  <si>
    <t xml:space="preserve">Casual · Simulation · Singleplayer · Capitalism · Choices Matter · Deckbuilding · Roguelike Deckbuilder · Pixel Graphics</t>
  </si>
  <si>
    <t xml:space="preserve">Wanjie: Cycle of Oblivion</t>
  </si>
  <si>
    <t xml:space="preserve">FAN XIAOBO</t>
  </si>
  <si>
    <t xml:space="preserve">Card Game · Deckbuilding · Roguelike Deckbuilder · Strategy · Turn-Based Strategy · Card Battler · Indie · Trading Card Game</t>
  </si>
  <si>
    <t xml:space="preserve">Neon Ascent</t>
  </si>
  <si>
    <t xml:space="preserve">romming778</t>
  </si>
  <si>
    <t xml:space="preserve">Roguelike Deckbuilder · Deckbuilding · Strategy · RPG · Card Battler · Turn-Based Tactics · Roguelike · Cyberpunk</t>
  </si>
  <si>
    <t xml:space="preserve">Farewell</t>
  </si>
  <si>
    <t xml:space="preserve">wvkmind</t>
  </si>
  <si>
    <t xml:space="preserve">Simulation · Mining · Online Co-Op · Multiplayer · Sci-fi · Driving · Sandbox · Crafting</t>
  </si>
  <si>
    <t xml:space="preserve">Symbolika</t>
  </si>
  <si>
    <t xml:space="preserve">Romain LGD</t>
  </si>
  <si>
    <t xml:space="preserve">Strategy · Roguelike · Roguelite · Turn-Based Tactics · Turn-Based Combat · Singleplayer · 2D · Score Attack</t>
  </si>
  <si>
    <t xml:space="preserve">Poker FC</t>
  </si>
  <si>
    <t xml:space="preserve">Stepy Studios</t>
  </si>
  <si>
    <t xml:space="preserve">Casual · Roguelike Deckbuilder · Sports · Deckbuilding · Strategy · Pixel Graphics · Card Battler · Poker</t>
  </si>
  <si>
    <t xml:space="preserve">Qurtys</t>
  </si>
  <si>
    <t xml:space="preserve">Strategy · Roguelike · Deckbuilding · Card Battler · 2D · Singleplayer · Combat · PvE</t>
  </si>
  <si>
    <t xml:space="preserve">Project RedTeam: Contract Offensive</t>
  </si>
  <si>
    <t xml:space="preserve">HomeOfTheDev</t>
  </si>
  <si>
    <t xml:space="preserve">Roguelike Deckbuilder · Deckbuilding · Hacking · Card Game · Turn-Based Strategy · Cyberpunk · Roguelite · Roguelike</t>
  </si>
  <si>
    <t xml:space="preserve">Leavers Rift</t>
  </si>
  <si>
    <t xml:space="preserve">Wolfhain</t>
  </si>
  <si>
    <t xml:space="preserve">Roguelike Deckbuilder · Dark Fantasy · Deckbuilding · Card Battler · Singleplayer · Roguelike · 3D · Surreal</t>
  </si>
  <si>
    <t xml:space="preserve">Kill The Nova</t>
  </si>
  <si>
    <t xml:space="preserve">NQV4; ProblemEdge</t>
  </si>
  <si>
    <t xml:space="preserve">Roguelite · Puzzle · Roguelike · Strategy · Dark Humor · 2D · Deckbuilding · Casual</t>
  </si>
  <si>
    <t xml:space="preserve">Runisthar</t>
  </si>
  <si>
    <t xml:space="preserve">Rogue Mash</t>
  </si>
  <si>
    <t xml:space="preserve">Difficult · Turn-Based Combat · Roguelike Deckbuilder · Roguelike · Funny · Deckbuilding · 2D · Singleplayer</t>
  </si>
  <si>
    <t xml:space="preserve">Dice Rogues</t>
  </si>
  <si>
    <t xml:space="preserve">Pick Your Universe</t>
  </si>
  <si>
    <t xml:space="preserve">Card Battler · Roguelite · Difficult · Card Game · Roguelike · Strategy · 2D · Deckbuilding</t>
  </si>
  <si>
    <t xml:space="preserve">Little Mages</t>
  </si>
  <si>
    <t xml:space="preserve">Frost Wyrm Studios</t>
  </si>
  <si>
    <t xml:space="preserve">Action · Casual · Platformer · Roguelike · Action Roguelike · Roguelike Deckbuilder · Roguelite · Fantasy</t>
  </si>
  <si>
    <t xml:space="preserve">字得其乐WordJoy</t>
  </si>
  <si>
    <t xml:space="preserve">chunq</t>
  </si>
  <si>
    <t xml:space="preserve">Roguelike Deckbuilder · Education · Word Game · Card Game · Strategy · 2D · Text-Based · Deckbuilding</t>
  </si>
  <si>
    <t xml:space="preserve">Heart sequence</t>
  </si>
  <si>
    <t xml:space="preserve">Roguelike Deckbuilder · Replay Value · Turn-Based · Roguelike · Strategy · Deckbuilding · RPG · Card Battler</t>
  </si>
  <si>
    <t xml:space="preserve">Artifact Hunt: Yao</t>
  </si>
  <si>
    <t xml:space="preserve">Card Game · Roguelike · Roguelike Deckbuilder · Deckbuilding · Singleplayer · Strategy · Replay Value · Roguelite</t>
  </si>
  <si>
    <t xml:space="preserve">The Dreamers Foresight</t>
  </si>
  <si>
    <t xml:space="preserve">The Random Generator Expert</t>
  </si>
  <si>
    <t xml:space="preserve">Roguelike · Card Game · Deckbuilding · Strategy · Roguelike Deckbuilder · Card Battler · Indie · Roguelite</t>
  </si>
  <si>
    <t xml:space="preserve">The Goblins Tavern</t>
  </si>
  <si>
    <t xml:space="preserve">Golden Temptation</t>
  </si>
  <si>
    <t xml:space="preserve">Sexual Content · Card Battler · Turn-Based Combat · Deckbuilding · Action Roguelike · Roguelike Deckbuilder · Card Game · Strategy</t>
  </si>
  <si>
    <t xml:space="preserve">Top Check: A Chess Card Game</t>
  </si>
  <si>
    <t xml:space="preserve">Gliding Knight Games</t>
  </si>
  <si>
    <t xml:space="preserve">Roguelike Deckbuilder · Chess · Turn-Based Strategy · Replay Value · Singleplayer · Board Game · Strategy · Deckbuilding</t>
  </si>
  <si>
    <t xml:space="preserve">Dicebinder</t>
  </si>
  <si>
    <t xml:space="preserve">PaperMoon</t>
  </si>
  <si>
    <t xml:space="preserve">Card Battler · Creature Collector · Roguelike Deckbuilder · Turn-Based Combat · Card Game · Roguelite · Roguelike · Dice</t>
  </si>
  <si>
    <t xml:space="preserve">Pintern</t>
  </si>
  <si>
    <t xml:space="preserve">Coral8</t>
  </si>
  <si>
    <t xml:space="preserve">Roguelike Deckbuilder · Strategy · Singleplayer · Roguelike · Deckbuilding · Physics · Roguelite · Management</t>
  </si>
  <si>
    <t xml:space="preserve">Decisive Decks</t>
  </si>
  <si>
    <t xml:space="preserve">Pick Huang</t>
  </si>
  <si>
    <t xml:space="preserve">Roguelike Deckbuilder · Deckbuilding · Turn-Based Combat · World War II · Naval Combat · Card Battler · Roguelite · Card Game</t>
  </si>
  <si>
    <t xml:space="preserve">SignalLost</t>
  </si>
  <si>
    <t xml:space="preserve">Dr. Wang</t>
  </si>
  <si>
    <t xml:space="preserve">Roguelike Deckbuilder · Card Battler · Cyberpunk · Turn-Based Strategy · Strategy · Roguelike · Deckbuilding · Card Game</t>
  </si>
  <si>
    <t xml:space="preserve">Dicedus</t>
  </si>
  <si>
    <t xml:space="preserve">Vaquita Games</t>
  </si>
  <si>
    <t xml:space="preserve">Roguelike Deckbuilder · Hand-drawn · Turn-Based Tactics · Turn-Based Strategy · Dice · Roguelike · Strategy · Board Game</t>
  </si>
  <si>
    <t xml:space="preserve">Cyber Breaker</t>
  </si>
  <si>
    <t xml:space="preserve">ShadowHawkDragon</t>
  </si>
  <si>
    <t xml:space="preserve">Turn-Based Tactics · Roguelike Deckbuilder · Card Battler · Deckbuilding · Cyberpunk · Robots · Roguelike · Turn-Based Combat</t>
  </si>
  <si>
    <t xml:space="preserve">Ginnungames</t>
  </si>
  <si>
    <t xml:space="preserve">Roguelike Deckbuilder · Deckbuilding · Card Battler · Turn-Based Tactics · Singleplayer · Roguelike · Board Game · Strategy</t>
  </si>
  <si>
    <t xml:space="preserve">RnGesus Slayer</t>
  </si>
  <si>
    <t xml:space="preserve">Lemon Chihuahua</t>
  </si>
  <si>
    <t xml:space="preserve">Roguelike Deckbuilder · Villain Protagonist · Gambling · Mouse Only · Deckbuilding · Replay Value · Card Battler · Roguelike</t>
  </si>
  <si>
    <t xml:space="preserve">Last Ember</t>
  </si>
  <si>
    <t xml:space="preserve">Deckbuilding · Roguelike Deckbuilder · Card Battler · Card Game · Strategy · Roguelike · RPG · Roguelite</t>
  </si>
  <si>
    <t xml:space="preserve">mAInely AI games</t>
  </si>
  <si>
    <t xml:space="preserve">Roguelike Deckbuilder · Strategy · Deckbuilding · Card Battler · Card Game · Roguelite · Turn-Based Strategy · Singleplayer</t>
  </si>
  <si>
    <t xml:space="preserve">Showdown! Mahjong Tutorial Included</t>
  </si>
  <si>
    <t xml:space="preserve">Dr. L'Danger</t>
  </si>
  <si>
    <t xml:space="preserve">Mahjong · Deckbuilding · Roguelike Deckbuilder · Education · Card Game · Board Game · Roguelike · Strategy</t>
  </si>
  <si>
    <t xml:space="preserve">Wyrm Words</t>
  </si>
  <si>
    <t xml:space="preserve">Connor Carpenter</t>
  </si>
  <si>
    <t xml:space="preserve">Word Game · Roguelike Deckbuilder · Puzzle · Dungeon Crawler · Strategy · Roguelike · Fantasy · 2D</t>
  </si>
  <si>
    <t xml:space="preserve">Syntax:Overload</t>
  </si>
  <si>
    <t xml:space="preserve">Tallen games</t>
  </si>
  <si>
    <t xml:space="preserve">Turn-Based Tactics · Traditional Roguelike · Roguelite · Card Game · Turn-Based Strategy · Roguelike · Strategy · Turn-Based Combat</t>
  </si>
  <si>
    <t xml:space="preserve">Cappu Dungeon</t>
  </si>
  <si>
    <t xml:space="preserve">Soul Steal Studio</t>
  </si>
  <si>
    <t xml:space="preserve">Casual · Action Roguelike · Action · Roguelite · Hack and Slash · Magic · Action RPG · Arcade</t>
  </si>
  <si>
    <t xml:space="preserve">Territors</t>
  </si>
  <si>
    <t xml:space="preserve">Stoforge Studios</t>
  </si>
  <si>
    <t xml:space="preserve">Roguelike Deckbuilder · Card Game · Deckbuilding · Turn-Based · Card Battler · Cyberpunk · Solitaire · Turn-Based Combat</t>
  </si>
  <si>
    <t xml:space="preserve">回响之战</t>
  </si>
  <si>
    <t xml:space="preserve">寂静四周</t>
  </si>
  <si>
    <t xml:space="preserve">Strategy · Casual · Card Game · Roguelike Deckbuilder · 2D · Card Battler · Singleplayer · Indie</t>
  </si>
  <si>
    <t xml:space="preserve">Glazed Mirror : Myriad Cards</t>
  </si>
  <si>
    <t xml:space="preserve">梦倚流年</t>
  </si>
  <si>
    <t xml:space="preserve">Card Battler · Roguelite · Martial Arts · Card Game · Strategy · Turn-Based Strategy · Roguelike · 2D</t>
  </si>
  <si>
    <t xml:space="preserve">Blargle and the Quest for the Nothing Burger</t>
  </si>
  <si>
    <t xml:space="preserve">Windfelt Studios</t>
  </si>
  <si>
    <t xml:space="preserve">Racing · Runner · Arcade · 3D · Sci-fi · Cute · Funny · Linear</t>
  </si>
  <si>
    <t xml:space="preserve">Snowdrop the Blade Master</t>
  </si>
  <si>
    <t xml:space="preserve">berry makes games</t>
  </si>
  <si>
    <t xml:space="preserve">Roguelike Deckbuilder · Card Battler · Story Rich · Pixel Graphics · 2D · Female Protagonist · Foxes · Roguelike</t>
  </si>
  <si>
    <t xml:space="preserve">36 Rounds</t>
  </si>
  <si>
    <t xml:space="preserve">YQA Game</t>
  </si>
  <si>
    <t xml:space="preserve">Strategy · Casual · Roguelike Deckbuilder · Card Game · Indie · 2D · Deckbuilding · Roguelike</t>
  </si>
  <si>
    <t xml:space="preserve">REX</t>
  </si>
  <si>
    <t xml:space="preserve">Control Z</t>
  </si>
  <si>
    <t xml:space="preserve">Steampunk · Roguelike · Roguelite · Action Roguelike · Roguelike Deckbuilder · Casual · Hack and Slash · Swordplay</t>
  </si>
  <si>
    <t xml:space="preserve">Texas Twist Poker 3 Bandit's Run</t>
  </si>
  <si>
    <t xml:space="preserve">Spontaneous QuirK</t>
  </si>
  <si>
    <t xml:space="preserve">Card Game · Roguelike Deckbuilder · Solitaire · Difficult · Choices Matter · Replay Value · Deckbuilding · Turn-Based Strategy</t>
  </si>
  <si>
    <t xml:space="preserve">The Spirit of Twelve</t>
  </si>
  <si>
    <t xml:space="preserve">STANDER Games</t>
  </si>
  <si>
    <t xml:space="preserve">Story Rich · Card Battler · RPG · Deckbuilding · Party-Based RPG · Dice · Roguelike Deckbuilder · Turn-Based Combat</t>
  </si>
  <si>
    <t xml:space="preserve">Low Magic They Said</t>
  </si>
  <si>
    <t xml:space="preserve">tripleslai</t>
  </si>
  <si>
    <t xml:space="preserve">Early Access · Roguelike Deckbuilder · Card Battler · Deckbuilding · Card Game · Dark Fantasy · Roguelike · Dungeon Crawler</t>
  </si>
  <si>
    <t xml:space="preserve">Celestial Crown</t>
  </si>
  <si>
    <t xml:space="preserve">Team Celestial Games</t>
  </si>
  <si>
    <t xml:space="preserve">Roguelike Deckbuilder · Deckbuilding · Strategy · Card Game · Turn-Based · Roguelike · Anime · Singleplayer</t>
  </si>
  <si>
    <t xml:space="preserve">CyberJoker</t>
  </si>
  <si>
    <t xml:space="preserve">GoldOrangeStudio</t>
  </si>
  <si>
    <t xml:space="preserve">Deckbuilding · Turn-Based Strategy · Cyberpunk · Indie · Roguelite · Perma Death · Card Game · Singleplayer</t>
  </si>
  <si>
    <t xml:space="preserve">Last Landlord</t>
  </si>
  <si>
    <t xml:space="preserve">Mudpill Games</t>
  </si>
  <si>
    <t xml:space="preserve">Casual · Strategy · Card Game · Roguelike · Card Battler · 2D · Relaxing · Deckbuilding</t>
  </si>
  <si>
    <t xml:space="preserve">Second Player Studio</t>
  </si>
  <si>
    <t xml:space="preserve">RPG · Card Battler · Dungeon Crawler · Pixel Graphics · Fantasy · Turn-Based Combat · Difficult · Roguelike Deckbuilder</t>
  </si>
  <si>
    <t xml:space="preserve">Through the stars</t>
  </si>
  <si>
    <t xml:space="preserve">BMGames</t>
  </si>
  <si>
    <t xml:space="preserve">Roguelike Deckbuilder · Card Game · Tactical · Card Battler · Turn-Based Strategy · Turn-Based Combat · Strategy · Deckbuilding</t>
  </si>
  <si>
    <t xml:space="preserve">LUDOCOR</t>
  </si>
  <si>
    <t xml:space="preserve">NYXON ALPHA PRIVATE LIMITED</t>
  </si>
  <si>
    <t xml:space="preserve">Casual · Board Game · Card Game · Roguelite · 2D · Colorful · Pixel Graphics · Space</t>
  </si>
  <si>
    <t xml:space="preserve">The Tower of Eden</t>
  </si>
  <si>
    <t xml:space="preserve">Chris-Emio Raymond</t>
  </si>
  <si>
    <t xml:space="preserve">Strategy · Turn-Based Tactics · Roguelike · 2D · Stylized · Adventure · Colorful · Fantasy</t>
  </si>
  <si>
    <t xml:space="preserve">SummonArk -Deck Building Roguelite-</t>
  </si>
  <si>
    <t xml:space="preserve">犬猫 Room</t>
  </si>
  <si>
    <t xml:space="preserve">RPG · Roguelike Deckbuilder · Card Battler · Singleplayer · Fantasy · Deckbuilding · Roguelike · Indie</t>
  </si>
  <si>
    <t xml:space="preserve">あめざいく</t>
  </si>
  <si>
    <t xml:space="preserve">Roguelike · Deckbuilding · Idler · 3D · Casual · Family Friendly · Automation · Singleplayer</t>
  </si>
  <si>
    <t xml:space="preserve">Friend and foe</t>
  </si>
  <si>
    <t xml:space="preserve">Seven province</t>
  </si>
  <si>
    <t xml:space="preserve">Roguelike Deckbuilder · Card Battler · Turn-Based Tactics · Deckbuilding · Online Co-Op · Roguelite · Sci-fi · Roguelike</t>
  </si>
  <si>
    <t xml:space="preserve">NightCracker</t>
  </si>
  <si>
    <t xml:space="preserve">Strategy · Roguelike Deckbuilder · Deckbuilding · Roguelite · Roguelike · Pixel Graphics · Singleplayer · Indie</t>
  </si>
  <si>
    <t xml:space="preserve">Double Sixes</t>
  </si>
  <si>
    <t xml:space="preserve">Embercrest Interactive Ltd</t>
  </si>
  <si>
    <t xml:space="preserve">Turn-Based Tactics · Roguelite · Strategy · Roguelike Deckbuilder · Tutorial · Board Game · Casual · Tabletop</t>
  </si>
  <si>
    <t xml:space="preserve">Grim Diary</t>
  </si>
  <si>
    <t xml:space="preserve">Lepus</t>
  </si>
  <si>
    <t xml:space="preserve">RPG · Card Game · Roguelike · Visual Novel · Anime · Roguelike Deckbuilder · Singleplayer · Early Access</t>
  </si>
  <si>
    <t xml:space="preserve">The Last Hand</t>
  </si>
  <si>
    <t xml:space="preserve">Blackwater Gator Studios</t>
  </si>
  <si>
    <t xml:space="preserve">Strategy · Card Game · Casual · Indie · Card Battler · Roguelite · 2D · Dark</t>
  </si>
  <si>
    <t xml:space="preserve">Volt Deck</t>
  </si>
  <si>
    <t xml:space="preserve">Martin Edmaier</t>
  </si>
  <si>
    <t xml:space="preserve">Poker · Deckbuilding · Roguelike Deckbuilder · Puzzle · Solitaire · Pixel Graphics · Card Game · Indie</t>
  </si>
  <si>
    <t xml:space="preserve">Amlebic</t>
  </si>
  <si>
    <t xml:space="preserve">Mad Turtle Studios</t>
  </si>
  <si>
    <t xml:space="preserve">Strategy · Card Game · Roguelike · Casual · Roguelike Deckbuilder · Singleplayer · Replay Value · Roguelite</t>
  </si>
  <si>
    <t xml:space="preserve">Noodle Go!</t>
  </si>
  <si>
    <t xml:space="preserve">PlayRush Game</t>
  </si>
  <si>
    <t xml:space="preserve">Roguelike Deckbuilder · Roguelite · Deckbuilding · Strategy · Resource Management · Shop Keeper · Economy · Capitalism</t>
  </si>
  <si>
    <t xml:space="preserve">Moon and Fang</t>
  </si>
  <si>
    <t xml:space="preserve">WivernRider</t>
  </si>
  <si>
    <t xml:space="preserve">Roguelike Deckbuilder · Card Game · Strategy · Deckbuilding · Roguelike · Turn-Based Strategy · Card Battler · Werewolves</t>
  </si>
  <si>
    <t xml:space="preserve">Flower Dice</t>
  </si>
  <si>
    <t xml:space="preserve">Logan Greenwood</t>
  </si>
  <si>
    <t xml:space="preserve">Strategy · Roguelike · Puzzle · Nature · Dice · Relaxing · Roguelike Deckbuilder · Singleplayer</t>
  </si>
  <si>
    <t xml:space="preserve">LUREFOLD</t>
  </si>
  <si>
    <t xml:space="preserve">Fisher</t>
  </si>
  <si>
    <t xml:space="preserve">Casual · Strategy · Card Game · Turn-Based Strategy · Tabletop · Roguelike · Turn-Based Tactics · Solitaire</t>
  </si>
  <si>
    <t xml:space="preserve">Rouge's Flush</t>
  </si>
  <si>
    <t xml:space="preserve">ljiljanbs</t>
  </si>
  <si>
    <t xml:space="preserve">Casual · Strategy · Arcade · Card Game · Roguelike · Card Battler · Incremental · Poker</t>
  </si>
  <si>
    <t xml:space="preserve">Glingdom</t>
  </si>
  <si>
    <t xml:space="preserve">Fizz</t>
  </si>
  <si>
    <t xml:space="preserve">Strategy · Roguelike Deckbuilder · Card Battler · Auto Battler · Deckbuilding · Medieval · Card Game · Indie</t>
  </si>
  <si>
    <t xml:space="preserve">Random Dragons</t>
  </si>
  <si>
    <t xml:space="preserve">Shrey Patil</t>
  </si>
  <si>
    <t xml:space="preserve">Indie · Roguelike Deckbuilder · Strategy · Deckbuilding · Roguelike · Card Game · Card Battler · Singleplayer</t>
  </si>
  <si>
    <t xml:space="preserve"> Last Crown Gambit</t>
  </si>
  <si>
    <t xml:space="preserve">Feona Games</t>
  </si>
  <si>
    <t xml:space="preserve">Chess · Roguelite · PvE · Board Game · Turn-Based Strategy · Strategy · 3D · Simulation</t>
  </si>
  <si>
    <t xml:space="preserve">Cyber Pinball</t>
  </si>
  <si>
    <t xml:space="preserve">LUCA&amp;ROCKET</t>
  </si>
  <si>
    <t xml:space="preserve">Strategy · Simulation · Roguelite · Cyberpunk · Singleplayer · Pinball · Deckbuilding · Roguelike Deckbuilder</t>
  </si>
  <si>
    <t xml:space="preserve">Ginser</t>
  </si>
  <si>
    <t xml:space="preserve">Casual · Strategy · Roguelike · Card Battler · 2D · Pixel Graphics · Gambling · Relaxing</t>
  </si>
  <si>
    <t xml:space="preserve">Scorpion's Curse</t>
  </si>
  <si>
    <t xml:space="preserve">Kamil Graca</t>
  </si>
  <si>
    <t xml:space="preserve">Roguelike Deckbuilder · Card Game · Card Battler · Deckbuilding · Dungeon Crawler · Turn-Based · Turn-Based Strategy · Action Roguelike</t>
  </si>
  <si>
    <t xml:space="preserve">Roguewake</t>
  </si>
  <si>
    <t xml:space="preserve">Roguewake Team</t>
  </si>
  <si>
    <t xml:space="preserve">Roguelike Deckbuilder · Pirates · Incremental · Roguelite · Card Game · Casual · Roguelike · RPG</t>
  </si>
  <si>
    <t xml:space="preserve">Scroll of Cards: Draft and Ascend</t>
  </si>
  <si>
    <t xml:space="preserve">Nothing Games</t>
  </si>
  <si>
    <t xml:space="preserve">Roguelike Deckbuilder · Adventure · Card Battler · Roguelike · Card Game · Trading Card Game · Casual · Roguelite</t>
  </si>
  <si>
    <t xml:space="preserve">Emily's Desire</t>
  </si>
  <si>
    <t xml:space="preserve">Hayahay Buhay</t>
  </si>
  <si>
    <t xml:space="preserve">Strategy · Roguelike · Dungeon Crawler · Auto Battler · Roguelite · Card Game · Deckbuilding · Roguelike Deckbuilder</t>
  </si>
  <si>
    <t xml:space="preserve">Epic Action Packs</t>
  </si>
  <si>
    <t xml:space="preserve">FoxBot Software</t>
  </si>
  <si>
    <t xml:space="preserve">Turn-Based Tactics · Card Battler · Roguelite · Roguelike Deckbuilder · Difficult · PvE · Card Game · Turn-Based Strategy</t>
  </si>
  <si>
    <t xml:space="preserve">KienTech Apps</t>
  </si>
  <si>
    <t xml:space="preserve">Casual · Roguelike Deckbuilder · Strategy · Roguelike · Deckbuilding · Singleplayer · 2D · Indie</t>
  </si>
  <si>
    <t xml:space="preserve">God Complex</t>
  </si>
  <si>
    <t xml:space="preserve">Escaping Inevitability Games</t>
  </si>
  <si>
    <t xml:space="preserve">Strategy · Auto Battler · Card Game · Card Battler · Roguelite · 2D · Deckbuilding · Asynchronous Multiplayer</t>
  </si>
  <si>
    <t xml:space="preserve">Sylva's Blessing</t>
  </si>
  <si>
    <t xml:space="preserve">ImmersiveGamingVR LLC</t>
  </si>
  <si>
    <t xml:space="preserve">Strategy · Roguelike Deckbuilder · Card Battler · Card Game · Casual · Roguelike · 2D · Cozy</t>
  </si>
  <si>
    <t xml:space="preserve">Setlist Shuffle</t>
  </si>
  <si>
    <t xml:space="preserve">Dan's Brain Fart Factory</t>
  </si>
  <si>
    <t xml:space="preserve">Strategy · Roguelite · Simulation · Management · Casual · Card Game · Roguelike · 2D</t>
  </si>
  <si>
    <t xml:space="preserve">Legends of the Pitch</t>
  </si>
  <si>
    <t xml:space="preserve">LZQI STUDIOS</t>
  </si>
  <si>
    <t xml:space="preserve">Adventure · Sports · 2D Fighter · Card Game · Roguelike · Turn-Based Strategy · 2D Platformer · Roguelike Deckbuilder</t>
  </si>
  <si>
    <t xml:space="preserve">PenRogue</t>
  </si>
  <si>
    <t xml:space="preserve">Magnos Games</t>
  </si>
  <si>
    <t xml:space="preserve">Tactical RPG · RPG · Strategy · Roguelike Deckbuilder · PvE · Turn-Based Strategy · Roguelike · 2D</t>
  </si>
  <si>
    <t xml:space="preserve">ElfClash: Rescue Luna</t>
  </si>
  <si>
    <t xml:space="preserve">RipenGo Games</t>
  </si>
  <si>
    <t xml:space="preserve">Card Battler · Turn-Based Tactics · Roguelite · Deckbuilding · Card Game · Turn-Based Strategy · Roguelike Deckbuilder · Bullet Hell</t>
  </si>
  <si>
    <t xml:space="preserve">Ding! Pocket It!: Rogue Simulator</t>
  </si>
  <si>
    <t xml:space="preserve">Handcrank Workshop</t>
  </si>
  <si>
    <t xml:space="preserve">Roguelike Deckbuilder · Deckbuilding · Billiards · Simulation · Strategy · Indie · Card Game · On-Rails Shooter</t>
  </si>
  <si>
    <t xml:space="preserve">Mewlin the Clicker</t>
  </si>
  <si>
    <t xml:space="preserve">Card Game · Strategy · Roguelike Deckbuilder · Roguelike · Casual · Deckbuilding · Roguelite · Incremental</t>
  </si>
  <si>
    <t xml:space="preserve">Ouroboros Solitaire</t>
  </si>
  <si>
    <t xml:space="preserve">IS Product</t>
  </si>
  <si>
    <t xml:space="preserve">Strategy · Roguelike Deckbuilder · Indie · Casual · Card Game · Solitaire · Roguelike · 2D</t>
  </si>
  <si>
    <t xml:space="preserve">Rogue Circuit</t>
  </si>
  <si>
    <t xml:space="preserve">Jorge Francisco Bescos Gascon</t>
  </si>
  <si>
    <t xml:space="preserve">Racing · Strategy · Roguelite · Auto Battler · Roguelike Deckbuilder · Indie · Vehicular Combat · Deckbuilding</t>
  </si>
  <si>
    <t xml:space="preserve">DiceRogue</t>
  </si>
  <si>
    <t xml:space="preserve">monotos</t>
  </si>
  <si>
    <t xml:space="preserve">Roguelike Deckbuilder · Strategy · Turn-Based Strategy · Roguelike · Deckbuilding · Card Game · Singleplayer · 2D</t>
  </si>
  <si>
    <t xml:space="preserve">Dice N Grids</t>
  </si>
  <si>
    <t xml:space="preserve">NotTurDice</t>
  </si>
  <si>
    <t xml:space="preserve">Strategy · Turn-Based Tactics · Casual · Strategy RPG · Roguelike · 2D · Relaxing · Deckbuilding</t>
  </si>
  <si>
    <t xml:space="preserve">Chesstics</t>
  </si>
  <si>
    <t xml:space="preserve">Florian Strasser</t>
  </si>
  <si>
    <t xml:space="preserve">Casual · Strategy · Board Game · Turn-Based Strategy · Roguelike Deckbuilder · Turn-Based Tactics · 2D · Pixel Graphics</t>
  </si>
  <si>
    <t xml:space="preserve">AXIOMA</t>
  </si>
  <si>
    <t xml:space="preserve">Quanta — Private Tutoring</t>
  </si>
  <si>
    <t xml:space="preserve">Strategy · Card Game · Turn-Based Strategy · Roguelike · Card Battler · Roguelike Deckbuilder · Roguelite · Pixel Graphics</t>
  </si>
  <si>
    <t xml:space="preserve">Click Them Off</t>
  </si>
  <si>
    <t xml:space="preserve">Roboxide Studio</t>
  </si>
  <si>
    <t xml:space="preserve">Strategy · Card Battler · Roguelite · Card Game · Roguelike · Casual · 2D · Indie</t>
  </si>
  <si>
    <t xml:space="preserve">Backgaminion</t>
  </si>
  <si>
    <t xml:space="preserve">stephii</t>
  </si>
  <si>
    <t xml:space="preserve">Roguelike Deckbuilder · Turn-Based Strategy · Board Game · Loot · Card Game · Roguelite · Deckbuilding · Fantasy</t>
  </si>
  <si>
    <t xml:space="preserve">Doppelscape</t>
  </si>
  <si>
    <t xml:space="preserve">Joshua Stuckner</t>
  </si>
  <si>
    <t xml:space="preserve">Deckbuilding · Turn-Based Tactics · Team-Based · Hex Grid · Turn-Based Combat · Strategy · Turn-Based Strategy · Grid-Based Movement</t>
  </si>
  <si>
    <t xml:space="preserve">Upstream Ante</t>
  </si>
  <si>
    <t xml:space="preserve">Michael Richard Lannon</t>
  </si>
  <si>
    <t xml:space="preserve">Roguelike Deckbuilder · Card Battler · Card Game · Roguelike · Strategy · Singleplayer · Cozy · Deckbuilding</t>
  </si>
  <si>
    <t xml:space="preserve">Pocket Legend : Inventory Roguelike Deckbuilder</t>
  </si>
  <si>
    <t xml:space="preserve">Shading Box</t>
  </si>
  <si>
    <t xml:space="preserve">Inventory Management · Replay Value · Turn-Based Strategy · Roguelike Deckbuilder · Strategy · Card Battler · Indie · Deckbuilding</t>
  </si>
  <si>
    <t xml:space="preserve">Nidos</t>
  </si>
  <si>
    <t xml:space="preserve">Software Kingdom</t>
  </si>
  <si>
    <t xml:space="preserve">Card Game · Turn-Based Tactics · Tactical · Strategy · Deckbuilding · Tabletop · Simulation · Turn-Based Strategy</t>
  </si>
  <si>
    <t xml:space="preserve">DUNGEON WALK3－奇妙な狂闘－</t>
  </si>
  <si>
    <t xml:space="preserve">Indie · Roguelike · Card Game · Deckbuilding · Card Battler · Dark Fantasy · Strategy · Fantasy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</si>
</sst>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%"/>
    <numFmt numFmtId="167" formatCode="#,##0.0"/>
    <numFmt numFmtId="168" formatCode="0.000"/>
    <numFmt numFmtId="169" formatCode="\$#,##0"/>
    <numFmt numFmtId="170" formatCode="0.00\×"/>
    <numFmt numFmtId="171" formatCode="0%"/>
    <numFmt numFmtId="172" formatCode="\$#,##0.00"/>
    <numFmt numFmtId="173" formatCode="\¥#,##0"/>
    <numFmt numFmtId="174" formatCode="0.0\×"/>
    <numFmt numFmtId="175" formatCode="\¥#,##0.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5C48"/>
      <name val="Microsoft YaHei"/>
      <family val="0"/>
      <charset val="1"/>
    </font>
    <font>
      <sz val="11"/>
      <color rgb="FF64736B"/>
      <name val="Microsoft YaHei"/>
      <family val="0"/>
      <charset val="1"/>
    </font>
    <font>
      <sz val="9"/>
      <color rgb="FF64736B"/>
      <name val="Microsoft YaHei"/>
      <family val="0"/>
      <charset val="1"/>
    </font>
    <font>
      <b val="true"/>
      <sz val="9.5"/>
      <color rgb="FF1F5C48"/>
      <name val="Microsoft YaHei"/>
      <family val="0"/>
      <charset val="1"/>
    </font>
    <font>
      <sz val="10"/>
      <color rgb="FF1B2A24"/>
      <name val="Microsoft YaHei"/>
      <family val="0"/>
      <charset val="1"/>
    </font>
    <font>
      <b val="true"/>
      <sz val="11.5"/>
      <color rgb="FF1F5C48"/>
      <name val="Microsoft YaHei"/>
      <family val="0"/>
      <charset val="1"/>
    </font>
    <font>
      <b val="true"/>
      <sz val="9.5"/>
      <color rgb="FF1B2A24"/>
      <name val="Microsoft YaHei"/>
      <family val="0"/>
      <charset val="1"/>
    </font>
    <font>
      <sz val="9.5"/>
      <color rgb="FF64736B"/>
      <name val="Microsoft YaHei"/>
      <family val="0"/>
      <charset val="1"/>
    </font>
    <font>
      <sz val="8.5"/>
      <color rgb="FF64736B"/>
      <name val="Microsoft YaHei"/>
      <family val="0"/>
      <charset val="1"/>
    </font>
    <font>
      <b val="true"/>
      <sz val="16"/>
      <color rgb="FF1F5C48"/>
      <name val="Microsoft YaHei"/>
      <family val="0"/>
      <charset val="1"/>
    </font>
    <font>
      <b val="true"/>
      <sz val="9.5"/>
      <color rgb="FFFFFFFF"/>
      <name val="Microsoft YaHei"/>
      <family val="0"/>
      <charset val="1"/>
    </font>
    <font>
      <sz val="9.5"/>
      <color rgb="FF1B2A24"/>
      <name val="Microsoft YaHei"/>
      <family val="0"/>
      <charset val="1"/>
    </font>
    <font>
      <b val="true"/>
      <sz val="18"/>
      <color rgb="FF000000"/>
      <name val="Noto Sans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SC"/>
      <family val="2"/>
    </font>
    <font>
      <b val="true"/>
      <sz val="18"/>
      <color rgb="FF000000"/>
      <name val="Calibri"/>
      <family val="2"/>
    </font>
    <font>
      <sz val="9"/>
      <color rgb="FF1B2A24"/>
      <name val="Microsoft YaHei"/>
      <family val="0"/>
      <charset val="1"/>
    </font>
    <font>
      <b val="true"/>
      <sz val="9"/>
      <color rgb="FF64736B"/>
      <name val="Microsoft YaHei"/>
      <family val="0"/>
      <charset val="1"/>
    </font>
    <font>
      <b val="true"/>
      <sz val="10"/>
      <color rgb="FF1F5C48"/>
      <name val="Microsoft YaHei"/>
      <family val="0"/>
      <charset val="1"/>
    </font>
    <font>
      <b val="true"/>
      <sz val="8.5"/>
      <color rgb="FFFFFFFF"/>
      <name val="Microsoft YaHei"/>
      <family val="0"/>
      <charset val="1"/>
    </font>
    <font>
      <sz val="8.5"/>
      <color rgb="FF1B2A24"/>
      <name val="Microsoft YaHei"/>
      <family val="0"/>
      <charset val="1"/>
    </font>
    <font>
      <b val="true"/>
      <sz val="9"/>
      <color rgb="FF1B2A24"/>
      <name val="Microsoft YaHei"/>
      <family val="0"/>
      <charset val="1"/>
    </font>
    <font>
      <b val="true"/>
      <sz val="9"/>
      <name val="Microsoft Ya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5C48"/>
        <bgColor rgb="FF008080"/>
      </patternFill>
    </fill>
    <fill>
      <patternFill patternType="solid">
        <fgColor rgb="FFF6EEDC"/>
        <bgColor rgb="FFFFF2CC"/>
      </patternFill>
    </fill>
    <fill>
      <patternFill patternType="solid">
        <fgColor rgb="FFFFF2CC"/>
        <bgColor rgb="FFF6EED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CDB8"/>
      </bottom>
      <diagonal/>
    </border>
    <border diagonalUp="false" diagonalDown="false">
      <left/>
      <right/>
      <top/>
      <bottom style="hair">
        <color rgb="FFD8CD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2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2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2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2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2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2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20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20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20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20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20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20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5C48"/>
          <bgColor rgb="FF000000"/>
        </patternFill>
      </fill>
    </dxf>
    <dxf>
      <fill>
        <patternFill patternType="solid">
          <fgColor rgb="FFF6EE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2A2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35"/>
      <rgbColor rgb="FF800080"/>
      <rgbColor rgb="FF008080"/>
      <rgbColor rgb="FFD8CDB8"/>
      <rgbColor rgb="FF878787"/>
      <rgbColor rgb="FF9999FF"/>
      <rgbColor rgb="FF993366"/>
      <rgbColor rgb="FFFFF2CC"/>
      <rgbColor rgb="FFF9F9F9"/>
      <rgbColor rgb="FF660066"/>
      <rgbColor rgb="FFB3863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6EE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36B"/>
      <rgbColor rgb="FF8FA89B"/>
      <rgbColor rgb="FF1F5C48"/>
      <rgbColor rgb="FF339966"/>
      <rgbColor rgb="FF003300"/>
      <rgbColor rgb="FF333300"/>
      <rgbColor rgb="FFA34332"/>
      <rgbColor rgb="FF993366"/>
      <rgbColor rgb="FF333399"/>
      <rgbColor rgb="FF1B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年度新增数量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'01_大盘'!B5</c:f>
              <c:strCache>
                <c:ptCount val="1"/>
                <c:pt idx="0">
                  <c:v>新增数量</c:v>
                </c:pt>
              </c:strCache>
            </c:strRef>
          </c:tx>
          <c:spPr>
            <a:solidFill>
              <a:srgbClr val="1F5C48"/>
            </a:solidFill>
            <a:ln w="12600">
              <a:solidFill>
                <a:srgbClr val="1F5C4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'01_大盘'!$A$6:$A$13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'01_大盘'!$B$6:$B$13</c:f>
              <c:numCache>
                <c:formatCode>General</c:formatCode>
                <c:ptCount val="8"/>
                <c:pt idx="0">
                  <c:v>15</c:v>
                </c:pt>
                <c:pt idx="1">
                  <c:v>15</c:v>
                </c:pt>
                <c:pt idx="2">
                  <c:v>29</c:v>
                </c:pt>
                <c:pt idx="3">
                  <c:v>42</c:v>
                </c:pt>
                <c:pt idx="4">
                  <c:v>62</c:v>
                </c:pt>
                <c:pt idx="5">
                  <c:v>117</c:v>
                </c:pt>
                <c:pt idx="6">
                  <c:v>190</c:v>
                </c:pt>
                <c:pt idx="7">
                  <c:v>296</c:v>
                </c:pt>
              </c:numCache>
            </c:numRef>
          </c:val>
        </c:ser>
        <c:gapWidth val="150"/>
        <c:overlap val="0"/>
        <c:axId val="62121613"/>
        <c:axId val="71935811"/>
      </c:barChart>
      <c:catAx>
        <c:axId val="621216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935811"/>
        <c:crosses val="autoZero"/>
        <c:auto val="1"/>
        <c:lblAlgn val="ctr"/>
        <c:lblOffset val="100"/>
        <c:noMultiLvlLbl val="0"/>
      </c:catAx>
      <c:valAx>
        <c:axId val="719358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款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121613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价格带 5 万份命中率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'01_大盘'!E35</c:f>
              <c:strCache>
                <c:ptCount val="1"/>
                <c:pt idx="0">
                  <c:v>≥5 万份</c:v>
                </c:pt>
              </c:strCache>
            </c:strRef>
          </c:tx>
          <c:spPr>
            <a:solidFill>
              <a:srgbClr val="B3863C"/>
            </a:solidFill>
            <a:ln w="12600">
              <a:solidFill>
                <a:srgbClr val="B3863C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'01_大盘'!$A$36:$A$40</c:f>
              <c:strCache>
                <c:ptCount val="5"/>
                <c:pt idx="0">
                  <c:v>≤ $9.99</c:v>
                </c:pt>
                <c:pt idx="1">
                  <c:v>$10–14.99</c:v>
                </c:pt>
                <c:pt idx="2">
                  <c:v>$15–19.99</c:v>
                </c:pt>
                <c:pt idx="3">
                  <c:v>$20–24.99</c:v>
                </c:pt>
                <c:pt idx="4">
                  <c:v>$25+</c:v>
                </c:pt>
              </c:strCache>
            </c:strRef>
          </c:cat>
          <c:val>
            <c:numRef>
              <c:f>'01_大盘'!$E$36:$E$40</c:f>
              <c:numCache>
                <c:formatCode>0.0%</c:formatCode>
                <c:ptCount val="5"/>
                <c:pt idx="0">
                  <c:v>0.076</c:v>
                </c:pt>
                <c:pt idx="1">
                  <c:v>0.169</c:v>
                </c:pt>
                <c:pt idx="2">
                  <c:v>0.366</c:v>
                </c:pt>
                <c:pt idx="3">
                  <c:v>0.7</c:v>
                </c:pt>
                <c:pt idx="4">
                  <c:v>0.333</c:v>
                </c:pt>
              </c:numCache>
            </c:numRef>
          </c:val>
        </c:ser>
        <c:gapWidth val="150"/>
        <c:overlap val="0"/>
        <c:axId val="6835991"/>
        <c:axId val="61532676"/>
      </c:barChart>
      <c:catAx>
        <c:axId val="68359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532676"/>
        <c:crosses val="autoZero"/>
        <c:auto val="1"/>
        <c:lblAlgn val="ctr"/>
        <c:lblOffset val="100"/>
        <c:noMultiLvlLbl val="0"/>
      </c:catAx>
      <c:valAx>
        <c:axId val="61532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占比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35991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评论数分布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'03_评论校准'!J13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1F5C4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'03_评论校准'!$I$14:$I$20</c:f>
              <c:strCache>
                <c:ptCount val="7"/>
                <c:pt idx="0">
                  <c:v>0</c:v>
                </c:pt>
                <c:pt idx="1">
                  <c:v>1–49</c:v>
                </c:pt>
                <c:pt idx="2">
                  <c:v>50–99</c:v>
                </c:pt>
                <c:pt idx="3">
                  <c:v>100–499</c:v>
                </c:pt>
                <c:pt idx="4">
                  <c:v>500–999</c:v>
                </c:pt>
                <c:pt idx="5">
                  <c:v>1,000–4,999</c:v>
                </c:pt>
                <c:pt idx="6">
                  <c:v>5,000+</c:v>
                </c:pt>
              </c:strCache>
            </c:strRef>
          </c:cat>
          <c:val>
            <c:numRef>
              <c:f>'03_评论校准'!$J$14:$J$20</c:f>
              <c:numCache>
                <c:formatCode>General</c:formatCode>
                <c:ptCount val="7"/>
                <c:pt idx="0">
                  <c:v>4</c:v>
                </c:pt>
                <c:pt idx="1">
                  <c:v>56</c:v>
                </c:pt>
                <c:pt idx="2">
                  <c:v>24</c:v>
                </c:pt>
                <c:pt idx="3">
                  <c:v>35</c:v>
                </c:pt>
                <c:pt idx="4">
                  <c:v>9</c:v>
                </c:pt>
                <c:pt idx="5">
                  <c:v>9</c:v>
                </c:pt>
                <c:pt idx="6">
                  <c:v>3</c:v>
                </c:pt>
              </c:numCache>
            </c:numRef>
          </c:val>
        </c:ser>
        <c:gapWidth val="150"/>
        <c:overlap val="0"/>
        <c:axId val="38191928"/>
        <c:axId val="82041557"/>
      </c:barChart>
      <c:catAx>
        <c:axId val="38191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041557"/>
        <c:crosses val="autoZero"/>
        <c:auto val="1"/>
        <c:lblAlgn val="ctr"/>
        <c:lblOffset val="100"/>
        <c:noMultiLvlLbl val="0"/>
      </c:catAx>
      <c:valAx>
        <c:axId val="82041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191928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18</xdr:col>
      <xdr:colOff>507240</xdr:colOff>
      <xdr:row>15</xdr:row>
      <xdr:rowOff>198720</xdr:rowOff>
    </xdr:to>
    <xdr:graphicFrame>
      <xdr:nvGraphicFramePr>
        <xdr:cNvPr id="1" name="Chart 1"/>
        <xdr:cNvGraphicFramePr/>
      </xdr:nvGraphicFramePr>
      <xdr:xfrm>
        <a:off x="10902240" y="647640"/>
        <a:ext cx="5399280" cy="268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0</xdr:rowOff>
    </xdr:from>
    <xdr:to>
      <xdr:col>18</xdr:col>
      <xdr:colOff>507240</xdr:colOff>
      <xdr:row>32</xdr:row>
      <xdr:rowOff>14400</xdr:rowOff>
    </xdr:to>
    <xdr:graphicFrame>
      <xdr:nvGraphicFramePr>
        <xdr:cNvPr id="2" name="Chart 2"/>
        <xdr:cNvGraphicFramePr/>
      </xdr:nvGraphicFramePr>
      <xdr:xfrm>
        <a:off x="10902240" y="4095720"/>
        <a:ext cx="5399280" cy="269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22</xdr:row>
      <xdr:rowOff>0</xdr:rowOff>
    </xdr:from>
    <xdr:to>
      <xdr:col>15</xdr:col>
      <xdr:colOff>398520</xdr:colOff>
      <xdr:row>35</xdr:row>
      <xdr:rowOff>42840</xdr:rowOff>
    </xdr:to>
    <xdr:graphicFrame>
      <xdr:nvGraphicFramePr>
        <xdr:cNvPr id="3" name="Chart 1"/>
        <xdr:cNvGraphicFramePr/>
      </xdr:nvGraphicFramePr>
      <xdr:xfrm>
        <a:off x="11184120" y="4457880"/>
        <a:ext cx="467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48"/>
    <pageSetUpPr fitToPage="false"/>
  </sheetPr>
  <dimension ref="B2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96"/>
  </cols>
  <sheetData>
    <row r="2" customFormat="false" ht="30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33.75" hidden="false" customHeight="true" outlineLevel="0" collapsed="false">
      <c r="B6" s="5" t="s">
        <v>3</v>
      </c>
      <c r="C6" s="6" t="s">
        <v>4</v>
      </c>
    </row>
    <row r="7" customFormat="false" ht="33.75" hidden="false" customHeight="true" outlineLevel="0" collapsed="false">
      <c r="B7" s="5" t="s">
        <v>5</v>
      </c>
      <c r="C7" s="6" t="s">
        <v>6</v>
      </c>
    </row>
    <row r="8" customFormat="false" ht="33.75" hidden="false" customHeight="true" outlineLevel="0" collapsed="false">
      <c r="B8" s="5" t="s">
        <v>7</v>
      </c>
      <c r="C8" s="6" t="s">
        <v>8</v>
      </c>
    </row>
    <row r="9" customFormat="false" ht="33.75" hidden="false" customHeight="true" outlineLevel="0" collapsed="false">
      <c r="B9" s="5" t="s">
        <v>9</v>
      </c>
      <c r="C9" s="6" t="s">
        <v>10</v>
      </c>
    </row>
    <row r="10" customFormat="false" ht="33.75" hidden="false" customHeight="true" outlineLevel="0" collapsed="false">
      <c r="B10" s="5" t="s">
        <v>11</v>
      </c>
      <c r="C10" s="6" t="s">
        <v>12</v>
      </c>
    </row>
    <row r="11" customFormat="false" ht="33.75" hidden="false" customHeight="true" outlineLevel="0" collapsed="false">
      <c r="B11" s="5" t="s">
        <v>13</v>
      </c>
      <c r="C11" s="6" t="s">
        <v>14</v>
      </c>
    </row>
    <row r="12" customFormat="false" ht="33.75" hidden="false" customHeight="true" outlineLevel="0" collapsed="false">
      <c r="B12" s="5" t="s">
        <v>15</v>
      </c>
      <c r="C12" s="6" t="s">
        <v>16</v>
      </c>
    </row>
    <row r="13" customFormat="false" ht="33.75" hidden="false" customHeight="true" outlineLevel="0" collapsed="false">
      <c r="B13" s="5" t="s">
        <v>17</v>
      </c>
      <c r="C13" s="6" t="s">
        <v>18</v>
      </c>
    </row>
    <row r="14" customFormat="false" ht="33.75" hidden="false" customHeight="true" outlineLevel="0" collapsed="false">
      <c r="B14" s="5" t="s">
        <v>19</v>
      </c>
      <c r="C14" s="6" t="s">
        <v>20</v>
      </c>
    </row>
    <row r="15" customFormat="false" ht="33.75" hidden="false" customHeight="true" outlineLevel="0" collapsed="false">
      <c r="B15" s="5" t="s">
        <v>21</v>
      </c>
      <c r="C15" s="6" t="s">
        <v>22</v>
      </c>
    </row>
    <row r="17" customFormat="false" ht="15" hidden="false" customHeight="true" outlineLevel="0" collapsed="false">
      <c r="B17" s="7" t="s">
        <v>23</v>
      </c>
    </row>
    <row r="18" customFormat="false" ht="15" hidden="false" customHeight="true" outlineLevel="0" collapsed="false">
      <c r="B18" s="8" t="s">
        <v>24</v>
      </c>
      <c r="C18" s="9" t="s">
        <v>25</v>
      </c>
    </row>
    <row r="19" customFormat="false" ht="15" hidden="false" customHeight="true" outlineLevel="0" collapsed="false">
      <c r="B19" s="8" t="s">
        <v>26</v>
      </c>
      <c r="C19" s="9" t="s">
        <v>27</v>
      </c>
    </row>
    <row r="20" customFormat="false" ht="15" hidden="false" customHeight="true" outlineLevel="0" collapsed="false">
      <c r="B20" s="8" t="s">
        <v>28</v>
      </c>
      <c r="C20" s="9" t="s">
        <v>29</v>
      </c>
    </row>
    <row r="21" customFormat="false" ht="15" hidden="false" customHeight="true" outlineLevel="0" collapsed="false">
      <c r="B21" s="8" t="s">
        <v>30</v>
      </c>
      <c r="C21" s="9" t="s">
        <v>31</v>
      </c>
    </row>
    <row r="22" customFormat="false" ht="15" hidden="false" customHeight="true" outlineLevel="0" collapsed="false">
      <c r="B22" s="8" t="s">
        <v>32</v>
      </c>
      <c r="C22" s="9" t="s">
        <v>33</v>
      </c>
    </row>
    <row r="24" customFormat="false" ht="15" hidden="false" customHeight="true" outlineLevel="0" collapsed="false">
      <c r="B24" s="1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863C"/>
    <pageSetUpPr fitToPage="fals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3"/>
    <col collapsed="false" customWidth="true" hidden="false" outlineLevel="0" max="4" min="4" style="1" width="24"/>
    <col collapsed="false" customWidth="true" hidden="false" outlineLevel="0" max="8" min="5" style="1" width="13"/>
    <col collapsed="false" customWidth="true" hidden="false" outlineLevel="0" max="9" min="9" style="1" width="18"/>
  </cols>
  <sheetData>
    <row r="1" customFormat="false" ht="21" hidden="false" customHeight="true" outlineLevel="0" collapsed="false">
      <c r="A1" s="11" t="s">
        <v>35</v>
      </c>
    </row>
    <row r="2" customFormat="false" ht="15" hidden="false" customHeight="true" outlineLevel="0" collapsed="false">
      <c r="A2" s="4" t="s">
        <v>36</v>
      </c>
    </row>
    <row r="4" customFormat="false" ht="15.75" hidden="false" customHeight="true" outlineLevel="0" collapsed="false">
      <c r="A4" s="12" t="s">
        <v>37</v>
      </c>
    </row>
    <row r="5" customFormat="false" ht="30" hidden="false" customHeight="true" outlineLevel="0" collapsed="false">
      <c r="A5" s="13" t="s">
        <v>38</v>
      </c>
      <c r="B5" s="13" t="s">
        <v>39</v>
      </c>
      <c r="C5" s="13" t="s">
        <v>40</v>
      </c>
      <c r="D5" s="13" t="s">
        <v>41</v>
      </c>
      <c r="E5" s="13" t="s">
        <v>42</v>
      </c>
      <c r="F5" s="13" t="s">
        <v>43</v>
      </c>
      <c r="G5" s="13" t="s">
        <v>44</v>
      </c>
      <c r="H5" s="13" t="s">
        <v>45</v>
      </c>
      <c r="I5" s="13" t="s">
        <v>46</v>
      </c>
    </row>
    <row r="6" customFormat="false" ht="15" hidden="false" customHeight="true" outlineLevel="0" collapsed="false">
      <c r="A6" s="14" t="n">
        <v>2019</v>
      </c>
      <c r="B6" s="14" t="n">
        <v>15</v>
      </c>
      <c r="C6" s="15" t="n">
        <v>8608</v>
      </c>
      <c r="D6" s="15" t="n">
        <v>30697</v>
      </c>
      <c r="E6" s="15" t="n">
        <v>535686</v>
      </c>
      <c r="F6" s="16" t="n">
        <v>0.467</v>
      </c>
      <c r="G6" s="16" t="n">
        <v>0.2</v>
      </c>
      <c r="H6" s="16" t="n">
        <v>0.2</v>
      </c>
      <c r="I6" s="17" t="n">
        <v>126.1</v>
      </c>
    </row>
    <row r="7" customFormat="false" ht="15" hidden="false" customHeight="true" outlineLevel="0" collapsed="false">
      <c r="A7" s="18" t="n">
        <v>2020</v>
      </c>
      <c r="B7" s="18" t="n">
        <v>15</v>
      </c>
      <c r="C7" s="19" t="n">
        <v>29420</v>
      </c>
      <c r="D7" s="19" t="n">
        <v>102676</v>
      </c>
      <c r="E7" s="19" t="n">
        <v>237178</v>
      </c>
      <c r="F7" s="20" t="n">
        <v>0.667</v>
      </c>
      <c r="G7" s="20" t="n">
        <v>0.333</v>
      </c>
      <c r="H7" s="20" t="n">
        <v>0.267</v>
      </c>
      <c r="I7" s="21" t="n">
        <v>22.1</v>
      </c>
    </row>
    <row r="8" customFormat="false" ht="15" hidden="false" customHeight="true" outlineLevel="0" collapsed="false">
      <c r="A8" s="14" t="n">
        <v>2021</v>
      </c>
      <c r="B8" s="14" t="n">
        <v>29</v>
      </c>
      <c r="C8" s="15" t="n">
        <v>4810</v>
      </c>
      <c r="D8" s="15" t="n">
        <v>39079</v>
      </c>
      <c r="E8" s="15" t="n">
        <v>310438</v>
      </c>
      <c r="F8" s="16" t="n">
        <v>0.414</v>
      </c>
      <c r="G8" s="16" t="n">
        <v>0.241</v>
      </c>
      <c r="H8" s="16" t="n">
        <v>0.207</v>
      </c>
      <c r="I8" s="17" t="n">
        <v>24.3</v>
      </c>
    </row>
    <row r="9" customFormat="false" ht="15" hidden="false" customHeight="true" outlineLevel="0" collapsed="false">
      <c r="A9" s="18" t="n">
        <v>2022</v>
      </c>
      <c r="B9" s="18" t="n">
        <v>42</v>
      </c>
      <c r="C9" s="19" t="n">
        <v>6129</v>
      </c>
      <c r="D9" s="19" t="n">
        <v>31776</v>
      </c>
      <c r="E9" s="19" t="n">
        <v>80745</v>
      </c>
      <c r="F9" s="20" t="n">
        <v>0.452</v>
      </c>
      <c r="G9" s="20" t="n">
        <v>0.19</v>
      </c>
      <c r="H9" s="20" t="n">
        <v>0.071</v>
      </c>
      <c r="I9" s="21" t="n">
        <v>14.5</v>
      </c>
    </row>
    <row r="10" customFormat="false" ht="15" hidden="false" customHeight="true" outlineLevel="0" collapsed="false">
      <c r="A10" s="14" t="n">
        <v>2023</v>
      </c>
      <c r="B10" s="14" t="n">
        <v>62</v>
      </c>
      <c r="C10" s="15" t="n">
        <v>9591</v>
      </c>
      <c r="D10" s="15" t="n">
        <v>28299</v>
      </c>
      <c r="E10" s="15" t="n">
        <v>163744</v>
      </c>
      <c r="F10" s="16" t="n">
        <v>0.5</v>
      </c>
      <c r="G10" s="16" t="n">
        <v>0.194</v>
      </c>
      <c r="H10" s="16" t="n">
        <v>0.129</v>
      </c>
      <c r="I10" s="17" t="n">
        <v>24.2</v>
      </c>
    </row>
    <row r="11" customFormat="false" ht="15" hidden="false" customHeight="true" outlineLevel="0" collapsed="false">
      <c r="A11" s="18" t="n">
        <v>2024</v>
      </c>
      <c r="B11" s="18" t="n">
        <v>117</v>
      </c>
      <c r="C11" s="19" t="n">
        <v>2904</v>
      </c>
      <c r="D11" s="19" t="n">
        <v>20121</v>
      </c>
      <c r="E11" s="19" t="n">
        <v>85211</v>
      </c>
      <c r="F11" s="20" t="n">
        <v>0.299</v>
      </c>
      <c r="G11" s="20" t="n">
        <v>0.154</v>
      </c>
      <c r="H11" s="20" t="n">
        <v>0.094</v>
      </c>
      <c r="I11" s="21" t="n">
        <v>71.3</v>
      </c>
    </row>
    <row r="12" customFormat="false" ht="15" hidden="false" customHeight="true" outlineLevel="0" collapsed="false">
      <c r="A12" s="14" t="n">
        <v>2025</v>
      </c>
      <c r="B12" s="14" t="n">
        <v>190</v>
      </c>
      <c r="C12" s="15" t="n">
        <v>1217</v>
      </c>
      <c r="D12" s="15" t="n">
        <v>9015</v>
      </c>
      <c r="E12" s="15" t="n">
        <v>47719</v>
      </c>
      <c r="F12" s="16" t="n">
        <v>0.242</v>
      </c>
      <c r="G12" s="16" t="n">
        <v>0.1</v>
      </c>
      <c r="H12" s="16" t="n">
        <v>0.063</v>
      </c>
      <c r="I12" s="17" t="n">
        <v>49.3</v>
      </c>
    </row>
    <row r="13" customFormat="false" ht="15" hidden="false" customHeight="true" outlineLevel="0" collapsed="false">
      <c r="A13" s="18" t="n">
        <v>2026</v>
      </c>
      <c r="B13" s="18" t="n">
        <v>296</v>
      </c>
      <c r="C13" s="19" t="n">
        <v>337</v>
      </c>
      <c r="D13" s="19" t="n">
        <v>2859</v>
      </c>
      <c r="E13" s="19" t="n">
        <v>25955</v>
      </c>
      <c r="F13" s="20" t="n">
        <v>0.159</v>
      </c>
      <c r="G13" s="20" t="n">
        <v>0.071</v>
      </c>
      <c r="H13" s="20" t="n">
        <v>0.044</v>
      </c>
      <c r="I13" s="21" t="n">
        <v>114.4</v>
      </c>
    </row>
    <row r="16" customFormat="false" ht="15.75" hidden="false" customHeight="true" outlineLevel="0" collapsed="false">
      <c r="A16" s="12" t="s">
        <v>47</v>
      </c>
    </row>
    <row r="17" customFormat="false" ht="30" hidden="false" customHeight="true" outlineLevel="0" collapsed="false">
      <c r="A17" s="13" t="s">
        <v>48</v>
      </c>
      <c r="B17" s="13" t="s">
        <v>49</v>
      </c>
      <c r="C17" s="13" t="s">
        <v>50</v>
      </c>
    </row>
    <row r="18" customFormat="false" ht="15" hidden="false" customHeight="true" outlineLevel="0" collapsed="false">
      <c r="A18" s="15" t="n">
        <v>1000</v>
      </c>
      <c r="B18" s="15" t="n">
        <v>175</v>
      </c>
      <c r="C18" s="16" t="n">
        <v>0.7</v>
      </c>
    </row>
    <row r="19" customFormat="false" ht="15" hidden="false" customHeight="true" outlineLevel="0" collapsed="false">
      <c r="A19" s="19" t="n">
        <v>5000</v>
      </c>
      <c r="B19" s="19" t="n">
        <v>113</v>
      </c>
      <c r="C19" s="20" t="n">
        <v>0.452</v>
      </c>
    </row>
    <row r="20" customFormat="false" ht="15" hidden="false" customHeight="true" outlineLevel="0" collapsed="false">
      <c r="A20" s="15" t="n">
        <v>10000</v>
      </c>
      <c r="B20" s="15" t="n">
        <v>97</v>
      </c>
      <c r="C20" s="16" t="n">
        <v>0.388</v>
      </c>
    </row>
    <row r="21" customFormat="false" ht="15" hidden="false" customHeight="true" outlineLevel="0" collapsed="false">
      <c r="A21" s="19" t="n">
        <v>30000</v>
      </c>
      <c r="B21" s="19" t="n">
        <v>57</v>
      </c>
      <c r="C21" s="20" t="n">
        <v>0.228</v>
      </c>
    </row>
    <row r="22" customFormat="false" ht="15" hidden="false" customHeight="true" outlineLevel="0" collapsed="false">
      <c r="A22" s="15" t="n">
        <v>50000</v>
      </c>
      <c r="B22" s="15" t="n">
        <v>45</v>
      </c>
      <c r="C22" s="16" t="n">
        <v>0.18</v>
      </c>
    </row>
    <row r="23" customFormat="false" ht="15" hidden="false" customHeight="true" outlineLevel="0" collapsed="false">
      <c r="A23" s="19" t="n">
        <v>100000</v>
      </c>
      <c r="B23" s="19" t="n">
        <v>28</v>
      </c>
      <c r="C23" s="20" t="n">
        <v>0.112</v>
      </c>
    </row>
    <row r="24" customFormat="false" ht="15" hidden="false" customHeight="true" outlineLevel="0" collapsed="false">
      <c r="A24" s="15" t="n">
        <v>300000</v>
      </c>
      <c r="B24" s="15" t="n">
        <v>12</v>
      </c>
      <c r="C24" s="16" t="n">
        <v>0.048</v>
      </c>
    </row>
    <row r="25" customFormat="false" ht="15" hidden="false" customHeight="true" outlineLevel="0" collapsed="false">
      <c r="A25" s="19" t="n">
        <v>1000000</v>
      </c>
      <c r="B25" s="19" t="n">
        <v>2</v>
      </c>
      <c r="C25" s="20" t="n">
        <v>0.008</v>
      </c>
    </row>
    <row r="28" customFormat="false" ht="15.75" hidden="false" customHeight="true" outlineLevel="0" collapsed="false">
      <c r="A28" s="12" t="s">
        <v>51</v>
      </c>
    </row>
    <row r="29" customFormat="false" ht="30" hidden="false" customHeight="true" outlineLevel="0" collapsed="false">
      <c r="A29" s="13" t="s">
        <v>52</v>
      </c>
      <c r="B29" s="13" t="s">
        <v>53</v>
      </c>
      <c r="C29" s="13" t="s">
        <v>54</v>
      </c>
      <c r="D29" s="13" t="s">
        <v>55</v>
      </c>
      <c r="E29" s="13" t="s">
        <v>56</v>
      </c>
      <c r="F29" s="13" t="s">
        <v>57</v>
      </c>
      <c r="G29" s="13" t="s">
        <v>58</v>
      </c>
    </row>
    <row r="30" customFormat="false" ht="15" hidden="false" customHeight="true" outlineLevel="0" collapsed="false">
      <c r="A30" s="14" t="s">
        <v>59</v>
      </c>
      <c r="B30" s="14" t="n">
        <v>250</v>
      </c>
      <c r="C30" s="16" t="n">
        <v>0.384</v>
      </c>
      <c r="D30" s="16" t="n">
        <v>0.701</v>
      </c>
      <c r="E30" s="16" t="n">
        <v>0.851</v>
      </c>
      <c r="F30" s="16" t="n">
        <v>0.963</v>
      </c>
      <c r="G30" s="22" t="n">
        <v>0.901</v>
      </c>
    </row>
    <row r="31" customFormat="false" ht="15" hidden="false" customHeight="true" outlineLevel="0" collapsed="false">
      <c r="A31" s="18" t="s">
        <v>60</v>
      </c>
      <c r="B31" s="18" t="n">
        <v>603</v>
      </c>
      <c r="C31" s="20" t="n">
        <v>0.68</v>
      </c>
      <c r="D31" s="20" t="n">
        <v>0.887</v>
      </c>
      <c r="E31" s="20" t="n">
        <v>0.947</v>
      </c>
      <c r="F31" s="20" t="n">
        <v>0.989</v>
      </c>
      <c r="G31" s="23" t="n">
        <v>0.958</v>
      </c>
    </row>
    <row r="34" customFormat="false" ht="15.75" hidden="false" customHeight="true" outlineLevel="0" collapsed="false">
      <c r="A34" s="12" t="s">
        <v>61</v>
      </c>
    </row>
    <row r="35" customFormat="false" ht="39.75" hidden="false" customHeight="true" outlineLevel="0" collapsed="false">
      <c r="A35" s="13" t="s">
        <v>62</v>
      </c>
      <c r="B35" s="13" t="s">
        <v>53</v>
      </c>
      <c r="C35" s="13" t="s">
        <v>40</v>
      </c>
      <c r="D35" s="13" t="s">
        <v>63</v>
      </c>
      <c r="E35" s="13" t="s">
        <v>44</v>
      </c>
    </row>
    <row r="36" customFormat="false" ht="15" hidden="false" customHeight="true" outlineLevel="0" collapsed="false">
      <c r="A36" s="14" t="s">
        <v>64</v>
      </c>
      <c r="B36" s="14" t="n">
        <v>119</v>
      </c>
      <c r="C36" s="15" t="n">
        <v>1257</v>
      </c>
      <c r="D36" s="24" t="n">
        <v>4621</v>
      </c>
      <c r="E36" s="16" t="n">
        <v>0.076</v>
      </c>
    </row>
    <row r="37" customFormat="false" ht="15" hidden="false" customHeight="true" outlineLevel="0" collapsed="false">
      <c r="A37" s="18" t="s">
        <v>65</v>
      </c>
      <c r="B37" s="18" t="n">
        <v>77</v>
      </c>
      <c r="C37" s="19" t="n">
        <v>5261</v>
      </c>
      <c r="D37" s="25" t="n">
        <v>31724</v>
      </c>
      <c r="E37" s="20" t="n">
        <v>0.169</v>
      </c>
    </row>
    <row r="38" customFormat="false" ht="15" hidden="false" customHeight="true" outlineLevel="0" collapsed="false">
      <c r="A38" s="14" t="s">
        <v>66</v>
      </c>
      <c r="B38" s="14" t="n">
        <v>41</v>
      </c>
      <c r="C38" s="15" t="n">
        <v>18192</v>
      </c>
      <c r="D38" s="24" t="n">
        <v>163646</v>
      </c>
      <c r="E38" s="16" t="n">
        <v>0.366</v>
      </c>
    </row>
    <row r="39" customFormat="false" ht="15" hidden="false" customHeight="true" outlineLevel="0" collapsed="false">
      <c r="A39" s="18" t="s">
        <v>67</v>
      </c>
      <c r="B39" s="18" t="n">
        <v>10</v>
      </c>
      <c r="C39" s="19" t="n">
        <v>194083</v>
      </c>
      <c r="D39" s="25" t="n">
        <v>2182560</v>
      </c>
      <c r="E39" s="20" t="n">
        <v>0.7</v>
      </c>
    </row>
    <row r="40" customFormat="false" ht="15" hidden="false" customHeight="true" outlineLevel="0" collapsed="false">
      <c r="A40" s="14" t="s">
        <v>68</v>
      </c>
      <c r="B40" s="14" t="n">
        <v>3</v>
      </c>
      <c r="C40" s="15" t="n">
        <v>23917</v>
      </c>
      <c r="D40" s="24" t="n">
        <v>322771</v>
      </c>
      <c r="E40" s="16" t="n">
        <v>0.333</v>
      </c>
    </row>
    <row r="43" customFormat="false" ht="15.75" hidden="false" customHeight="true" outlineLevel="0" collapsed="false">
      <c r="A43" s="12" t="s">
        <v>69</v>
      </c>
    </row>
    <row r="44" customFormat="false" ht="30" hidden="false" customHeight="true" outlineLevel="0" collapsed="false">
      <c r="A44" s="13" t="s">
        <v>70</v>
      </c>
      <c r="B44" s="13" t="s">
        <v>53</v>
      </c>
      <c r="C44" s="13" t="s">
        <v>40</v>
      </c>
      <c r="D44" s="13" t="s">
        <v>71</v>
      </c>
      <c r="E44" s="13" t="s">
        <v>44</v>
      </c>
    </row>
    <row r="45" customFormat="false" ht="15" hidden="false" customHeight="true" outlineLevel="0" collapsed="false">
      <c r="A45" s="14" t="s">
        <v>72</v>
      </c>
      <c r="B45" s="14" t="n">
        <v>59</v>
      </c>
      <c r="C45" s="15" t="n">
        <v>8942</v>
      </c>
      <c r="D45" s="26" t="n">
        <v>3.42</v>
      </c>
      <c r="E45" s="16" t="n">
        <v>0.22</v>
      </c>
    </row>
    <row r="46" customFormat="false" ht="15" hidden="false" customHeight="true" outlineLevel="0" collapsed="false">
      <c r="A46" s="18" t="s">
        <v>73</v>
      </c>
      <c r="B46" s="18" t="n">
        <v>84</v>
      </c>
      <c r="C46" s="19" t="n">
        <v>5859</v>
      </c>
      <c r="D46" s="27" t="n">
        <v>2.24</v>
      </c>
      <c r="E46" s="20" t="n">
        <v>0.143</v>
      </c>
    </row>
    <row r="47" customFormat="false" ht="15" hidden="false" customHeight="true" outlineLevel="0" collapsed="false">
      <c r="A47" s="14" t="s">
        <v>74</v>
      </c>
      <c r="B47" s="14" t="n">
        <v>179</v>
      </c>
      <c r="C47" s="15" t="n">
        <v>4647</v>
      </c>
      <c r="D47" s="26" t="n">
        <v>1.78</v>
      </c>
      <c r="E47" s="16" t="n">
        <v>0.156</v>
      </c>
    </row>
    <row r="48" customFormat="false" ht="15" hidden="false" customHeight="true" outlineLevel="0" collapsed="false">
      <c r="A48" s="18" t="s">
        <v>75</v>
      </c>
      <c r="B48" s="18" t="n">
        <v>146</v>
      </c>
      <c r="C48" s="19" t="n">
        <v>4498</v>
      </c>
      <c r="D48" s="27" t="n">
        <v>1.72</v>
      </c>
      <c r="E48" s="20" t="n">
        <v>0.164</v>
      </c>
    </row>
    <row r="49" customFormat="false" ht="15" hidden="false" customHeight="true" outlineLevel="0" collapsed="false">
      <c r="A49" s="14" t="s">
        <v>76</v>
      </c>
      <c r="B49" s="14" t="n">
        <v>123</v>
      </c>
      <c r="C49" s="15" t="n">
        <v>3736</v>
      </c>
      <c r="D49" s="26" t="n">
        <v>1.43</v>
      </c>
      <c r="E49" s="16" t="n">
        <v>0.163</v>
      </c>
    </row>
    <row r="50" customFormat="false" ht="15" hidden="false" customHeight="true" outlineLevel="0" collapsed="false">
      <c r="A50" s="18" t="s">
        <v>77</v>
      </c>
      <c r="B50" s="18" t="n">
        <v>309</v>
      </c>
      <c r="C50" s="19" t="n">
        <v>3131</v>
      </c>
      <c r="D50" s="27" t="n">
        <v>1.2</v>
      </c>
      <c r="E50" s="20" t="n">
        <v>0.152</v>
      </c>
    </row>
    <row r="51" customFormat="false" ht="15" hidden="false" customHeight="true" outlineLevel="0" collapsed="false">
      <c r="A51" s="14" t="s">
        <v>78</v>
      </c>
      <c r="B51" s="14" t="n">
        <v>314</v>
      </c>
      <c r="C51" s="15" t="n">
        <v>2895</v>
      </c>
      <c r="D51" s="26" t="n">
        <v>1.11</v>
      </c>
      <c r="E51" s="16" t="n">
        <v>0.156</v>
      </c>
    </row>
    <row r="52" customFormat="false" ht="15" hidden="false" customHeight="true" outlineLevel="0" collapsed="false">
      <c r="A52" s="18" t="s">
        <v>79</v>
      </c>
      <c r="B52" s="18" t="n">
        <v>361</v>
      </c>
      <c r="C52" s="19" t="n">
        <v>2886</v>
      </c>
      <c r="D52" s="27" t="n">
        <v>1.1</v>
      </c>
      <c r="E52" s="20" t="n">
        <v>0.15</v>
      </c>
    </row>
    <row r="53" customFormat="false" ht="15" hidden="false" customHeight="true" outlineLevel="0" collapsed="false">
      <c r="A53" s="14" t="s">
        <v>80</v>
      </c>
      <c r="B53" s="14" t="n">
        <v>265</v>
      </c>
      <c r="C53" s="15" t="n">
        <v>2854</v>
      </c>
      <c r="D53" s="26" t="n">
        <v>1.09</v>
      </c>
      <c r="E53" s="16" t="n">
        <v>0.128</v>
      </c>
    </row>
    <row r="54" customFormat="false" ht="15" hidden="false" customHeight="true" outlineLevel="0" collapsed="false">
      <c r="A54" s="18" t="s">
        <v>81</v>
      </c>
      <c r="B54" s="18" t="n">
        <v>372</v>
      </c>
      <c r="C54" s="19" t="n">
        <v>2680</v>
      </c>
      <c r="D54" s="27" t="n">
        <v>1.02</v>
      </c>
      <c r="E54" s="20" t="n">
        <v>0.137</v>
      </c>
    </row>
    <row r="55" customFormat="false" ht="15" hidden="false" customHeight="true" outlineLevel="0" collapsed="false">
      <c r="A55" s="14" t="s">
        <v>82</v>
      </c>
      <c r="B55" s="14" t="n">
        <v>100</v>
      </c>
      <c r="C55" s="15" t="n">
        <v>2466</v>
      </c>
      <c r="D55" s="26" t="n">
        <v>0.94</v>
      </c>
      <c r="E55" s="16" t="n">
        <v>0.16</v>
      </c>
    </row>
    <row r="56" customFormat="false" ht="15" hidden="false" customHeight="true" outlineLevel="0" collapsed="false">
      <c r="A56" s="18" t="s">
        <v>83</v>
      </c>
      <c r="B56" s="18" t="n">
        <v>137</v>
      </c>
      <c r="C56" s="19" t="n">
        <v>2420</v>
      </c>
      <c r="D56" s="27" t="n">
        <v>0.93</v>
      </c>
      <c r="E56" s="20" t="n">
        <v>0.131</v>
      </c>
    </row>
    <row r="57" customFormat="false" ht="15" hidden="false" customHeight="true" outlineLevel="0" collapsed="false">
      <c r="A57" s="14" t="s">
        <v>84</v>
      </c>
      <c r="B57" s="14" t="n">
        <v>355</v>
      </c>
      <c r="C57" s="15" t="n">
        <v>2122</v>
      </c>
      <c r="D57" s="26" t="n">
        <v>0.81</v>
      </c>
      <c r="E57" s="16" t="n">
        <v>0.135</v>
      </c>
    </row>
    <row r="58" customFormat="false" ht="15" hidden="false" customHeight="true" outlineLevel="0" collapsed="false">
      <c r="A58" s="18" t="s">
        <v>85</v>
      </c>
      <c r="B58" s="18" t="n">
        <v>164</v>
      </c>
      <c r="C58" s="19" t="n">
        <v>1946</v>
      </c>
      <c r="D58" s="27" t="n">
        <v>0.74</v>
      </c>
      <c r="E58" s="20" t="n">
        <v>0.146</v>
      </c>
    </row>
    <row r="59" customFormat="false" ht="15" hidden="false" customHeight="true" outlineLevel="0" collapsed="false">
      <c r="A59" s="14" t="s">
        <v>86</v>
      </c>
      <c r="B59" s="14" t="n">
        <v>76</v>
      </c>
      <c r="C59" s="15" t="n">
        <v>1360</v>
      </c>
      <c r="D59" s="26" t="n">
        <v>0.52</v>
      </c>
      <c r="E59" s="16" t="n">
        <v>0.145</v>
      </c>
    </row>
    <row r="60" customFormat="false" ht="15" hidden="false" customHeight="true" outlineLevel="0" collapsed="false">
      <c r="A60" s="18" t="s">
        <v>87</v>
      </c>
      <c r="B60" s="18" t="n">
        <v>47</v>
      </c>
      <c r="C60" s="19" t="n">
        <v>802</v>
      </c>
      <c r="D60" s="27" t="n">
        <v>0.31</v>
      </c>
      <c r="E60" s="20" t="n">
        <v>0.064</v>
      </c>
    </row>
    <row r="63" customFormat="false" ht="15" hidden="false" customHeight="true" outlineLevel="0" collapsed="false">
      <c r="A63" s="10" t="s">
        <v>88</v>
      </c>
    </row>
  </sheetData>
  <autoFilter ref="A44:E6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48"/>
    <pageSetUpPr fitToPage="false"/>
  </sheetPr>
  <dimension ref="A1:O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4"/>
    <col collapsed="false" customWidth="true" hidden="false" outlineLevel="0" max="12" min="3" style="1" width="13"/>
    <col collapsed="false" customWidth="true" hidden="false" outlineLevel="0" max="13" min="13" style="1" width="26"/>
    <col collapsed="false" customWidth="true" hidden="false" outlineLevel="0" max="15" min="14" style="1" width="44"/>
  </cols>
  <sheetData>
    <row r="1" customFormat="false" ht="21" hidden="false" customHeight="true" outlineLevel="0" collapsed="false">
      <c r="A1" s="11" t="s">
        <v>89</v>
      </c>
    </row>
    <row r="2" customFormat="false" ht="15" hidden="false" customHeight="true" outlineLevel="0" collapsed="false">
      <c r="A2" s="4" t="s">
        <v>90</v>
      </c>
    </row>
    <row r="4" customFormat="false" ht="30" hidden="false" customHeight="true" outlineLevel="0" collapsed="false">
      <c r="A4" s="13" t="s">
        <v>91</v>
      </c>
      <c r="B4" s="13" t="s">
        <v>92</v>
      </c>
      <c r="C4" s="13" t="s">
        <v>93</v>
      </c>
      <c r="D4" s="13" t="s">
        <v>94</v>
      </c>
      <c r="E4" s="13" t="s">
        <v>95</v>
      </c>
      <c r="F4" s="13" t="s">
        <v>96</v>
      </c>
      <c r="G4" s="13" t="s">
        <v>97</v>
      </c>
      <c r="H4" s="13" t="s">
        <v>98</v>
      </c>
      <c r="I4" s="13" t="s">
        <v>99</v>
      </c>
      <c r="J4" s="13" t="s">
        <v>17</v>
      </c>
      <c r="K4" s="13" t="s">
        <v>100</v>
      </c>
      <c r="L4" s="13" t="s">
        <v>101</v>
      </c>
      <c r="M4" s="13" t="s">
        <v>102</v>
      </c>
      <c r="N4" s="13" t="s">
        <v>103</v>
      </c>
      <c r="O4" s="13" t="s">
        <v>104</v>
      </c>
    </row>
    <row r="5" customFormat="false" ht="27.75" hidden="false" customHeight="true" outlineLevel="0" collapsed="false">
      <c r="A5" s="28" t="s">
        <v>105</v>
      </c>
      <c r="B5" s="29" t="s">
        <v>106</v>
      </c>
      <c r="C5" s="28" t="n">
        <v>646570</v>
      </c>
      <c r="D5" s="28" t="n">
        <v>2019</v>
      </c>
      <c r="E5" s="30" t="n">
        <v>24.99</v>
      </c>
      <c r="F5" s="31" t="n">
        <v>88</v>
      </c>
      <c r="G5" s="32" t="n">
        <v>219554</v>
      </c>
      <c r="H5" s="33" t="n">
        <v>0.975</v>
      </c>
      <c r="I5" s="32" t="n">
        <v>10583038</v>
      </c>
      <c r="J5" s="34" t="n">
        <f aca="false">IFERROR(I5/G5,0)</f>
        <v>48.2024376690928</v>
      </c>
      <c r="K5" s="35" t="n">
        <f aca="false">I5*E5*0.75*0.6</f>
        <v>119011553.829</v>
      </c>
      <c r="L5" s="31" t="n">
        <f aca="false">I5*F5*0.75*0.6</f>
        <v>419088304.8</v>
      </c>
      <c r="M5" s="29" t="s">
        <v>107</v>
      </c>
      <c r="N5" s="29" t="s">
        <v>108</v>
      </c>
      <c r="O5" s="28" t="s">
        <v>109</v>
      </c>
    </row>
    <row r="6" customFormat="false" ht="27.75" hidden="false" customHeight="true" outlineLevel="0" collapsed="false">
      <c r="A6" s="36" t="s">
        <v>105</v>
      </c>
      <c r="B6" s="37" t="s">
        <v>110</v>
      </c>
      <c r="C6" s="36" t="n">
        <v>2868840</v>
      </c>
      <c r="D6" s="36" t="n">
        <v>2026</v>
      </c>
      <c r="E6" s="38" t="n">
        <v>24.99</v>
      </c>
      <c r="F6" s="39" t="n">
        <v>88</v>
      </c>
      <c r="G6" s="40" t="n">
        <v>205590</v>
      </c>
      <c r="H6" s="41" t="n">
        <v>0.614</v>
      </c>
      <c r="I6" s="40" t="n">
        <v>7410557</v>
      </c>
      <c r="J6" s="42" t="n">
        <f aca="false">IFERROR(I6/G6,0)</f>
        <v>36.0453183520599</v>
      </c>
      <c r="K6" s="43" t="n">
        <f aca="false">I6*E6*0.75*0.6</f>
        <v>83335418.7435</v>
      </c>
      <c r="L6" s="39" t="n">
        <f aca="false">I6*F6*0.75*0.6</f>
        <v>293458057.2</v>
      </c>
      <c r="M6" s="37" t="s">
        <v>107</v>
      </c>
      <c r="N6" s="37" t="s">
        <v>111</v>
      </c>
      <c r="O6" s="36" t="s">
        <v>112</v>
      </c>
    </row>
    <row r="7" customFormat="false" ht="27.75" hidden="false" customHeight="true" outlineLevel="0" collapsed="false">
      <c r="A7" s="28" t="s">
        <v>105</v>
      </c>
      <c r="B7" s="29" t="s">
        <v>113</v>
      </c>
      <c r="C7" s="28" t="n">
        <v>2379780</v>
      </c>
      <c r="D7" s="28" t="n">
        <v>2024</v>
      </c>
      <c r="E7" s="30" t="n">
        <v>14.99</v>
      </c>
      <c r="F7" s="31" t="n">
        <v>54</v>
      </c>
      <c r="G7" s="32" t="n">
        <v>200156</v>
      </c>
      <c r="H7" s="33" t="n">
        <v>0.978</v>
      </c>
      <c r="I7" s="32" t="n">
        <v>6495863</v>
      </c>
      <c r="J7" s="34" t="n">
        <f aca="false">IFERROR(I7/G7,0)</f>
        <v>32.4540008793141</v>
      </c>
      <c r="K7" s="35" t="n">
        <f aca="false">I7*E7*0.75*0.6</f>
        <v>43817843.8665</v>
      </c>
      <c r="L7" s="31" t="n">
        <f aca="false">I7*F7*0.75*0.6</f>
        <v>157849470.9</v>
      </c>
      <c r="M7" s="29" t="s">
        <v>114</v>
      </c>
      <c r="N7" s="29" t="s">
        <v>115</v>
      </c>
      <c r="O7" s="28" t="s">
        <v>116</v>
      </c>
    </row>
    <row r="8" customFormat="false" ht="27.75" hidden="false" customHeight="true" outlineLevel="0" collapsed="false">
      <c r="A8" s="36" t="s">
        <v>105</v>
      </c>
      <c r="B8" s="37" t="s">
        <v>117</v>
      </c>
      <c r="C8" s="36" t="n">
        <v>2427700</v>
      </c>
      <c r="D8" s="36" t="n">
        <v>2025</v>
      </c>
      <c r="E8" s="38" t="n">
        <v>14.99</v>
      </c>
      <c r="F8" s="39" t="n">
        <v>52</v>
      </c>
      <c r="G8" s="40" t="n">
        <v>20810</v>
      </c>
      <c r="H8" s="41" t="n">
        <v>0.912</v>
      </c>
      <c r="I8" s="40" t="n">
        <v>1556886</v>
      </c>
      <c r="J8" s="42" t="n">
        <f aca="false">IFERROR(I8/G8,0)</f>
        <v>74.8143200384431</v>
      </c>
      <c r="K8" s="43" t="n">
        <f aca="false">I8*E8*0.75*0.6</f>
        <v>10501974.513</v>
      </c>
      <c r="L8" s="39" t="n">
        <f aca="false">I8*F8*0.75*0.6</f>
        <v>36431132.4</v>
      </c>
      <c r="M8" s="37" t="s">
        <v>118</v>
      </c>
      <c r="N8" s="37" t="s">
        <v>119</v>
      </c>
      <c r="O8" s="36" t="s">
        <v>120</v>
      </c>
    </row>
    <row r="9" customFormat="false" ht="27.75" hidden="false" customHeight="true" outlineLevel="0" collapsed="false">
      <c r="A9" s="28" t="s">
        <v>105</v>
      </c>
      <c r="B9" s="29" t="s">
        <v>121</v>
      </c>
      <c r="C9" s="28" t="n">
        <v>1102190</v>
      </c>
      <c r="D9" s="28" t="n">
        <v>2020</v>
      </c>
      <c r="E9" s="30" t="n">
        <v>24.99</v>
      </c>
      <c r="F9" s="31" t="n">
        <v>88</v>
      </c>
      <c r="G9" s="32" t="n">
        <v>22997</v>
      </c>
      <c r="H9" s="33" t="n">
        <v>0.958</v>
      </c>
      <c r="I9" s="32" t="n">
        <v>1445478</v>
      </c>
      <c r="J9" s="34" t="n">
        <f aca="false">IFERROR(I9/G9,0)</f>
        <v>62.8550680523547</v>
      </c>
      <c r="K9" s="35" t="n">
        <f aca="false">I9*E9*0.75*0.6</f>
        <v>16255122.849</v>
      </c>
      <c r="L9" s="31" t="n">
        <f aca="false">I9*F9*0.75*0.6</f>
        <v>57240928.8</v>
      </c>
      <c r="M9" s="29" t="s">
        <v>122</v>
      </c>
      <c r="N9" s="29" t="s">
        <v>123</v>
      </c>
      <c r="O9" s="28" t="s">
        <v>124</v>
      </c>
    </row>
    <row r="10" customFormat="false" ht="27.75" hidden="false" customHeight="true" outlineLevel="0" collapsed="false">
      <c r="A10" s="36" t="s">
        <v>105</v>
      </c>
      <c r="B10" s="37" t="s">
        <v>125</v>
      </c>
      <c r="C10" s="36" t="n">
        <v>2742830</v>
      </c>
      <c r="D10" s="36" t="n">
        <v>2025</v>
      </c>
      <c r="E10" s="38" t="n">
        <v>24.99</v>
      </c>
      <c r="F10" s="39" t="n">
        <v>92</v>
      </c>
      <c r="G10" s="40" t="n">
        <v>10303</v>
      </c>
      <c r="H10" s="41" t="n">
        <v>0.953</v>
      </c>
      <c r="I10" s="40" t="n">
        <v>537235</v>
      </c>
      <c r="J10" s="42" t="n">
        <f aca="false">IFERROR(I10/G10,0)</f>
        <v>52.1435504222071</v>
      </c>
      <c r="K10" s="43" t="n">
        <f aca="false">I10*E10*0.75*0.6</f>
        <v>6041476.1925</v>
      </c>
      <c r="L10" s="39" t="n">
        <f aca="false">I10*F10*0.75*0.6</f>
        <v>22241529</v>
      </c>
      <c r="M10" s="37" t="s">
        <v>122</v>
      </c>
      <c r="N10" s="37" t="s">
        <v>126</v>
      </c>
      <c r="O10" s="36" t="s">
        <v>127</v>
      </c>
    </row>
    <row r="11" customFormat="false" ht="27.75" hidden="false" customHeight="true" outlineLevel="0" collapsed="false">
      <c r="A11" s="28" t="s">
        <v>128</v>
      </c>
      <c r="B11" s="29" t="s">
        <v>129</v>
      </c>
      <c r="C11" s="28" t="n">
        <v>2784470</v>
      </c>
      <c r="D11" s="28" t="n">
        <v>2025</v>
      </c>
      <c r="E11" s="30" t="n">
        <v>19.99</v>
      </c>
      <c r="F11" s="31" t="n">
        <v>59</v>
      </c>
      <c r="G11" s="32" t="n">
        <v>23618</v>
      </c>
      <c r="H11" s="33" t="n">
        <v>0.924</v>
      </c>
      <c r="I11" s="32" t="n">
        <v>1127310</v>
      </c>
      <c r="J11" s="34" t="n">
        <f aca="false">IFERROR(I11/G11,0)</f>
        <v>47.7309679058345</v>
      </c>
      <c r="K11" s="35" t="n">
        <f aca="false">I11*E11*0.75*0.6</f>
        <v>10140717.105</v>
      </c>
      <c r="L11" s="31" t="n">
        <f aca="false">I11*F11*0.75*0.6</f>
        <v>29930080.5</v>
      </c>
      <c r="M11" s="29" t="s">
        <v>130</v>
      </c>
      <c r="N11" s="29" t="s">
        <v>131</v>
      </c>
      <c r="O11" s="28" t="s">
        <v>132</v>
      </c>
    </row>
    <row r="12" customFormat="false" ht="27.75" hidden="false" customHeight="true" outlineLevel="0" collapsed="false">
      <c r="A12" s="36" t="s">
        <v>128</v>
      </c>
      <c r="B12" s="37" t="s">
        <v>133</v>
      </c>
      <c r="C12" s="36" t="n">
        <v>2753900</v>
      </c>
      <c r="D12" s="36" t="n">
        <v>2025</v>
      </c>
      <c r="E12" s="38" t="n">
        <v>14.99</v>
      </c>
      <c r="F12" s="39" t="n">
        <v>49</v>
      </c>
      <c r="G12" s="40" t="n">
        <v>10741</v>
      </c>
      <c r="H12" s="41" t="n">
        <v>0.887</v>
      </c>
      <c r="I12" s="40" t="n">
        <v>819149</v>
      </c>
      <c r="J12" s="42" t="n">
        <f aca="false">IFERROR(I12/G12,0)</f>
        <v>76.2637557024486</v>
      </c>
      <c r="K12" s="43" t="n">
        <f aca="false">I12*E12*0.75*0.6</f>
        <v>5525569.5795</v>
      </c>
      <c r="L12" s="39" t="n">
        <f aca="false">I12*F12*0.75*0.6</f>
        <v>18062235.45</v>
      </c>
      <c r="M12" s="37" t="s">
        <v>134</v>
      </c>
      <c r="N12" s="37" t="s">
        <v>135</v>
      </c>
      <c r="O12" s="36" t="s">
        <v>136</v>
      </c>
    </row>
    <row r="13" customFormat="false" ht="27.75" hidden="false" customHeight="true" outlineLevel="0" collapsed="false">
      <c r="A13" s="28" t="s">
        <v>128</v>
      </c>
      <c r="B13" s="29" t="s">
        <v>137</v>
      </c>
      <c r="C13" s="28" t="n">
        <v>1385380</v>
      </c>
      <c r="D13" s="28" t="n">
        <v>2022</v>
      </c>
      <c r="E13" s="30" t="n">
        <v>19.99</v>
      </c>
      <c r="F13" s="31" t="n">
        <v>98</v>
      </c>
      <c r="G13" s="32" t="n">
        <v>13127</v>
      </c>
      <c r="H13" s="33" t="n">
        <v>0.802</v>
      </c>
      <c r="I13" s="32" t="n">
        <v>711232</v>
      </c>
      <c r="J13" s="34" t="n">
        <f aca="false">IFERROR(I13/G13,0)</f>
        <v>54.1808486325893</v>
      </c>
      <c r="K13" s="35" t="n">
        <f aca="false">I13*E13*0.75*0.6</f>
        <v>6397887.456</v>
      </c>
      <c r="L13" s="31" t="n">
        <f aca="false">I13*F13*0.75*0.6</f>
        <v>31365331.2</v>
      </c>
      <c r="M13" s="29" t="s">
        <v>138</v>
      </c>
      <c r="N13" s="29" t="s">
        <v>139</v>
      </c>
      <c r="O13" s="28" t="s">
        <v>140</v>
      </c>
    </row>
    <row r="14" customFormat="false" ht="27.75" hidden="false" customHeight="true" outlineLevel="0" collapsed="false">
      <c r="A14" s="36" t="s">
        <v>128</v>
      </c>
      <c r="B14" s="37" t="s">
        <v>141</v>
      </c>
      <c r="C14" s="36" t="n">
        <v>1488200</v>
      </c>
      <c r="D14" s="36" t="n">
        <v>2022</v>
      </c>
      <c r="E14" s="38" t="n">
        <v>19.99</v>
      </c>
      <c r="F14" s="39" t="n">
        <v>70</v>
      </c>
      <c r="G14" s="40" t="n">
        <v>14937</v>
      </c>
      <c r="H14" s="41" t="n">
        <v>0.945</v>
      </c>
      <c r="I14" s="40" t="n">
        <v>582089</v>
      </c>
      <c r="J14" s="42" t="n">
        <f aca="false">IFERROR(I14/G14,0)</f>
        <v>38.9696056771775</v>
      </c>
      <c r="K14" s="43" t="n">
        <f aca="false">I14*E14*0.75*0.6</f>
        <v>5236181.5995</v>
      </c>
      <c r="L14" s="39" t="n">
        <f aca="false">I14*F14*0.75*0.6</f>
        <v>18335803.5</v>
      </c>
      <c r="M14" s="37" t="s">
        <v>142</v>
      </c>
      <c r="N14" s="37" t="s">
        <v>143</v>
      </c>
      <c r="O14" s="36" t="s">
        <v>144</v>
      </c>
    </row>
    <row r="15" customFormat="false" ht="27.75" hidden="false" customHeight="true" outlineLevel="0" collapsed="false">
      <c r="A15" s="28" t="s">
        <v>128</v>
      </c>
      <c r="B15" s="29" t="s">
        <v>145</v>
      </c>
      <c r="C15" s="28" t="n">
        <v>1188930</v>
      </c>
      <c r="D15" s="28" t="n">
        <v>2024</v>
      </c>
      <c r="E15" s="30" t="n">
        <v>24.99</v>
      </c>
      <c r="F15" s="31" t="n">
        <v>88</v>
      </c>
      <c r="G15" s="32" t="n">
        <v>13827</v>
      </c>
      <c r="H15" s="33" t="n">
        <v>0.907</v>
      </c>
      <c r="I15" s="32" t="n">
        <v>490331</v>
      </c>
      <c r="J15" s="34" t="n">
        <f aca="false">IFERROR(I15/G15,0)</f>
        <v>35.4618500036161</v>
      </c>
      <c r="K15" s="35" t="n">
        <f aca="false">I15*E15*0.75*0.6</f>
        <v>5514017.2605</v>
      </c>
      <c r="L15" s="31" t="n">
        <f aca="false">I15*F15*0.75*0.6</f>
        <v>19417107.6</v>
      </c>
      <c r="M15" s="29" t="s">
        <v>146</v>
      </c>
      <c r="N15" s="29" t="s">
        <v>147</v>
      </c>
      <c r="O15" s="28" t="s">
        <v>148</v>
      </c>
    </row>
    <row r="16" customFormat="false" ht="27.75" hidden="false" customHeight="true" outlineLevel="0" collapsed="false">
      <c r="A16" s="36" t="s">
        <v>128</v>
      </c>
      <c r="B16" s="37" t="s">
        <v>149</v>
      </c>
      <c r="C16" s="36" t="n">
        <v>1656780</v>
      </c>
      <c r="D16" s="36" t="n">
        <v>2022</v>
      </c>
      <c r="E16" s="38" t="n">
        <v>17.99</v>
      </c>
      <c r="F16" s="39" t="n">
        <v>68</v>
      </c>
      <c r="G16" s="40" t="n">
        <v>5761</v>
      </c>
      <c r="H16" s="41" t="n">
        <v>0.794</v>
      </c>
      <c r="I16" s="40" t="n">
        <v>485261</v>
      </c>
      <c r="J16" s="42" t="n">
        <f aca="false">IFERROR(I16/G16,0)</f>
        <v>84.232077764277</v>
      </c>
      <c r="K16" s="43" t="n">
        <f aca="false">I16*E16*0.75*0.6</f>
        <v>3928430.4255</v>
      </c>
      <c r="L16" s="39" t="n">
        <f aca="false">I16*F16*0.75*0.6</f>
        <v>14848986.6</v>
      </c>
      <c r="M16" s="37" t="s">
        <v>150</v>
      </c>
      <c r="N16" s="37" t="s">
        <v>151</v>
      </c>
      <c r="O16" s="36" t="s">
        <v>152</v>
      </c>
    </row>
    <row r="17" customFormat="false" ht="27.75" hidden="false" customHeight="true" outlineLevel="0" collapsed="false">
      <c r="A17" s="28" t="s">
        <v>128</v>
      </c>
      <c r="B17" s="29" t="s">
        <v>153</v>
      </c>
      <c r="C17" s="28" t="n">
        <v>2289750</v>
      </c>
      <c r="D17" s="28" t="n">
        <v>2025</v>
      </c>
      <c r="E17" s="30" t="n">
        <v>19.99</v>
      </c>
      <c r="F17" s="31" t="n">
        <v>59</v>
      </c>
      <c r="G17" s="32" t="n">
        <v>6065</v>
      </c>
      <c r="H17" s="33" t="n">
        <v>0.866</v>
      </c>
      <c r="I17" s="32" t="n">
        <v>391377</v>
      </c>
      <c r="J17" s="34" t="n">
        <f aca="false">IFERROR(I17/G17,0)</f>
        <v>64.5304204451772</v>
      </c>
      <c r="K17" s="35" t="n">
        <f aca="false">I17*E17*0.75*0.6</f>
        <v>3520631.8035</v>
      </c>
      <c r="L17" s="31" t="n">
        <f aca="false">I17*F17*0.75*0.6</f>
        <v>10391059.35</v>
      </c>
      <c r="M17" s="29" t="s">
        <v>154</v>
      </c>
      <c r="N17" s="29" t="s">
        <v>155</v>
      </c>
      <c r="O17" s="28" t="s">
        <v>156</v>
      </c>
    </row>
    <row r="18" customFormat="false" ht="27.75" hidden="false" customHeight="true" outlineLevel="0" collapsed="false">
      <c r="A18" s="36" t="s">
        <v>128</v>
      </c>
      <c r="B18" s="37" t="s">
        <v>157</v>
      </c>
      <c r="C18" s="36" t="n">
        <v>1265820</v>
      </c>
      <c r="D18" s="36" t="n">
        <v>2021</v>
      </c>
      <c r="E18" s="38" t="n">
        <v>24.99</v>
      </c>
      <c r="F18" s="39" t="n">
        <v>80</v>
      </c>
      <c r="G18" s="40" t="n">
        <v>3966</v>
      </c>
      <c r="H18" s="41" t="n">
        <v>0.899</v>
      </c>
      <c r="I18" s="40" t="n">
        <v>336269</v>
      </c>
      <c r="J18" s="42" t="n">
        <f aca="false">IFERROR(I18/G18,0)</f>
        <v>84.7879475542108</v>
      </c>
      <c r="K18" s="43" t="n">
        <f aca="false">I18*E18*0.75*0.6</f>
        <v>3781513.0395</v>
      </c>
      <c r="L18" s="39" t="n">
        <f aca="false">I18*F18*0.75*0.6</f>
        <v>12105684</v>
      </c>
      <c r="M18" s="37" t="s">
        <v>158</v>
      </c>
      <c r="N18" s="37" t="s">
        <v>159</v>
      </c>
      <c r="O18" s="36" t="s">
        <v>160</v>
      </c>
    </row>
    <row r="19" customFormat="false" ht="27.75" hidden="false" customHeight="true" outlineLevel="0" collapsed="false">
      <c r="A19" s="28" t="s">
        <v>128</v>
      </c>
      <c r="B19" s="29" t="s">
        <v>161</v>
      </c>
      <c r="C19" s="28" t="n">
        <v>1227280</v>
      </c>
      <c r="D19" s="28" t="n">
        <v>2022</v>
      </c>
      <c r="E19" s="30" t="n">
        <v>19.99</v>
      </c>
      <c r="F19" s="31" t="n">
        <v>79</v>
      </c>
      <c r="G19" s="32" t="n">
        <v>3366</v>
      </c>
      <c r="H19" s="33" t="n">
        <v>0.84</v>
      </c>
      <c r="I19" s="32" t="n">
        <v>328329</v>
      </c>
      <c r="J19" s="34" t="n">
        <f aca="false">IFERROR(I19/G19,0)</f>
        <v>97.5427807486631</v>
      </c>
      <c r="K19" s="35" t="n">
        <f aca="false">I19*E19*0.75*0.6</f>
        <v>2953483.5195</v>
      </c>
      <c r="L19" s="31" t="n">
        <f aca="false">I19*F19*0.75*0.6</f>
        <v>11672095.95</v>
      </c>
      <c r="M19" s="29" t="s">
        <v>162</v>
      </c>
      <c r="N19" s="29" t="s">
        <v>163</v>
      </c>
      <c r="O19" s="28" t="s">
        <v>164</v>
      </c>
    </row>
    <row r="20" customFormat="false" ht="27.75" hidden="false" customHeight="true" outlineLevel="0" collapsed="false">
      <c r="A20" s="36" t="s">
        <v>128</v>
      </c>
      <c r="B20" s="37" t="s">
        <v>165</v>
      </c>
      <c r="C20" s="36" t="n">
        <v>2824490</v>
      </c>
      <c r="D20" s="36" t="n">
        <v>2025</v>
      </c>
      <c r="E20" s="38" t="n">
        <v>19.99</v>
      </c>
      <c r="F20" s="39" t="n">
        <v>59</v>
      </c>
      <c r="G20" s="40" t="n">
        <v>4220</v>
      </c>
      <c r="H20" s="41" t="n">
        <v>0.849</v>
      </c>
      <c r="I20" s="40" t="n">
        <v>275559</v>
      </c>
      <c r="J20" s="42" t="n">
        <f aca="false">IFERROR(I20/G20,0)</f>
        <v>65.2983412322275</v>
      </c>
      <c r="K20" s="43" t="n">
        <f aca="false">I20*E20*0.75*0.6</f>
        <v>2478790.9845</v>
      </c>
      <c r="L20" s="39" t="n">
        <f aca="false">I20*F20*0.75*0.6</f>
        <v>7316091.45</v>
      </c>
      <c r="M20" s="37" t="s">
        <v>166</v>
      </c>
      <c r="N20" s="37" t="s">
        <v>167</v>
      </c>
      <c r="O20" s="36" t="s">
        <v>168</v>
      </c>
    </row>
    <row r="21" customFormat="false" ht="27.75" hidden="false" customHeight="true" outlineLevel="0" collapsed="false">
      <c r="A21" s="28" t="s">
        <v>128</v>
      </c>
      <c r="B21" s="29" t="s">
        <v>169</v>
      </c>
      <c r="C21" s="28" t="n">
        <v>1811990</v>
      </c>
      <c r="D21" s="28" t="n">
        <v>2023</v>
      </c>
      <c r="E21" s="30" t="n">
        <v>19.99</v>
      </c>
      <c r="F21" s="31" t="n">
        <v>73</v>
      </c>
      <c r="G21" s="32" t="n">
        <v>8876</v>
      </c>
      <c r="H21" s="33" t="n">
        <v>0.829</v>
      </c>
      <c r="I21" s="32" t="n">
        <v>270553</v>
      </c>
      <c r="J21" s="34" t="n">
        <f aca="false">IFERROR(I21/G21,0)</f>
        <v>30.4814105452907</v>
      </c>
      <c r="K21" s="35" t="n">
        <f aca="false">I21*E21*0.75*0.6</f>
        <v>2433759.5115</v>
      </c>
      <c r="L21" s="31" t="n">
        <f aca="false">I21*F21*0.75*0.6</f>
        <v>8887666.05</v>
      </c>
      <c r="M21" s="29" t="s">
        <v>170</v>
      </c>
      <c r="N21" s="29" t="s">
        <v>171</v>
      </c>
      <c r="O21" s="28" t="s">
        <v>172</v>
      </c>
    </row>
    <row r="22" customFormat="false" ht="27.75" hidden="false" customHeight="true" outlineLevel="0" collapsed="false">
      <c r="A22" s="36" t="s">
        <v>128</v>
      </c>
      <c r="B22" s="37" t="s">
        <v>173</v>
      </c>
      <c r="C22" s="36" t="n">
        <v>981430</v>
      </c>
      <c r="D22" s="36" t="n">
        <v>2022</v>
      </c>
      <c r="E22" s="38" t="n">
        <v>19.99</v>
      </c>
      <c r="F22" s="39" t="n">
        <v>58</v>
      </c>
      <c r="G22" s="40" t="n">
        <v>6063</v>
      </c>
      <c r="H22" s="41" t="n">
        <v>0.886</v>
      </c>
      <c r="I22" s="40" t="n">
        <v>248027</v>
      </c>
      <c r="J22" s="42" t="n">
        <f aca="false">IFERROR(I22/G22,0)</f>
        <v>40.9082962229919</v>
      </c>
      <c r="K22" s="43" t="n">
        <f aca="false">I22*E22*0.75*0.6</f>
        <v>2231126.8785</v>
      </c>
      <c r="L22" s="39" t="n">
        <f aca="false">I22*F22*0.75*0.6</f>
        <v>6473504.7</v>
      </c>
      <c r="M22" s="37" t="s">
        <v>174</v>
      </c>
      <c r="N22" s="37" t="s">
        <v>175</v>
      </c>
      <c r="O22" s="36" t="s">
        <v>176</v>
      </c>
    </row>
    <row r="23" customFormat="false" ht="27.75" hidden="false" customHeight="true" outlineLevel="0" collapsed="false">
      <c r="A23" s="28" t="s">
        <v>128</v>
      </c>
      <c r="B23" s="29" t="s">
        <v>177</v>
      </c>
      <c r="C23" s="28" t="n">
        <v>2097570</v>
      </c>
      <c r="D23" s="28" t="n">
        <v>2025</v>
      </c>
      <c r="E23" s="30" t="n">
        <v>24.99</v>
      </c>
      <c r="F23" s="31" t="n">
        <v>93</v>
      </c>
      <c r="G23" s="32" t="n">
        <v>4448</v>
      </c>
      <c r="H23" s="33" t="n">
        <v>0.97</v>
      </c>
      <c r="I23" s="32" t="n">
        <v>186861</v>
      </c>
      <c r="J23" s="34" t="n">
        <f aca="false">IFERROR(I23/G23,0)</f>
        <v>42.0101169064748</v>
      </c>
      <c r="K23" s="35" t="n">
        <f aca="false">I23*E23*0.75*0.6</f>
        <v>2101345.3755</v>
      </c>
      <c r="L23" s="31" t="n">
        <f aca="false">I23*F23*0.75*0.6</f>
        <v>7820132.85</v>
      </c>
      <c r="M23" s="29" t="s">
        <v>178</v>
      </c>
      <c r="N23" s="29" t="s">
        <v>179</v>
      </c>
      <c r="O23" s="28" t="s">
        <v>180</v>
      </c>
    </row>
    <row r="24" customFormat="false" ht="27.75" hidden="false" customHeight="true" outlineLevel="0" collapsed="false">
      <c r="A24" s="36" t="s">
        <v>128</v>
      </c>
      <c r="B24" s="37" t="s">
        <v>181</v>
      </c>
      <c r="C24" s="36" t="n">
        <v>1830970</v>
      </c>
      <c r="D24" s="36" t="n">
        <v>2025</v>
      </c>
      <c r="E24" s="38" t="n">
        <v>19.99</v>
      </c>
      <c r="F24" s="39" t="n">
        <v>55</v>
      </c>
      <c r="G24" s="40" t="n">
        <v>2949</v>
      </c>
      <c r="H24" s="41" t="n">
        <v>0.849</v>
      </c>
      <c r="I24" s="40" t="n">
        <v>180495</v>
      </c>
      <c r="J24" s="42" t="n">
        <f aca="false">IFERROR(I24/G24,0)</f>
        <v>61.205493387589</v>
      </c>
      <c r="K24" s="43" t="n">
        <f aca="false">I24*E24*0.75*0.6</f>
        <v>1623642.7725</v>
      </c>
      <c r="L24" s="39" t="n">
        <f aca="false">I24*F24*0.75*0.6</f>
        <v>4467251.25</v>
      </c>
      <c r="M24" s="37" t="s">
        <v>182</v>
      </c>
      <c r="N24" s="37" t="s">
        <v>183</v>
      </c>
      <c r="O24" s="36" t="s">
        <v>184</v>
      </c>
    </row>
    <row r="25" customFormat="false" ht="27.75" hidden="false" customHeight="true" outlineLevel="0" collapsed="false">
      <c r="A25" s="28" t="s">
        <v>128</v>
      </c>
      <c r="B25" s="29" t="s">
        <v>185</v>
      </c>
      <c r="C25" s="28" t="n">
        <v>2179850</v>
      </c>
      <c r="D25" s="28" t="n">
        <v>2023</v>
      </c>
      <c r="E25" s="30" t="n">
        <v>19.99</v>
      </c>
      <c r="F25" s="31" t="n">
        <v>76</v>
      </c>
      <c r="G25" s="32" t="n">
        <v>4424</v>
      </c>
      <c r="H25" s="33" t="n">
        <v>0.96</v>
      </c>
      <c r="I25" s="32" t="n">
        <v>155304</v>
      </c>
      <c r="J25" s="34" t="n">
        <f aca="false">IFERROR(I25/G25,0)</f>
        <v>35.1048824593128</v>
      </c>
      <c r="K25" s="35" t="n">
        <f aca="false">I25*E25*0.75*0.6</f>
        <v>1397037.132</v>
      </c>
      <c r="L25" s="31" t="n">
        <f aca="false">I25*F25*0.75*0.6</f>
        <v>5311396.8</v>
      </c>
      <c r="M25" s="29" t="s">
        <v>186</v>
      </c>
      <c r="N25" s="29" t="s">
        <v>187</v>
      </c>
      <c r="O25" s="28" t="s">
        <v>188</v>
      </c>
    </row>
    <row r="26" customFormat="false" ht="27.75" hidden="false" customHeight="true" outlineLevel="0" collapsed="false">
      <c r="A26" s="36" t="s">
        <v>128</v>
      </c>
      <c r="B26" s="37" t="s">
        <v>189</v>
      </c>
      <c r="C26" s="36" t="n">
        <v>1668690</v>
      </c>
      <c r="D26" s="36" t="n">
        <v>2022</v>
      </c>
      <c r="E26" s="38" t="n">
        <v>14.99</v>
      </c>
      <c r="F26" s="39" t="n">
        <v>52</v>
      </c>
      <c r="G26" s="40" t="n">
        <v>3975</v>
      </c>
      <c r="H26" s="41" t="n">
        <v>0.915</v>
      </c>
      <c r="I26" s="40" t="n">
        <v>140526</v>
      </c>
      <c r="J26" s="42" t="n">
        <f aca="false">IFERROR(I26/G26,0)</f>
        <v>35.3524528301887</v>
      </c>
      <c r="K26" s="43" t="n">
        <f aca="false">I26*E26*0.75*0.6</f>
        <v>947918.133</v>
      </c>
      <c r="L26" s="39" t="n">
        <f aca="false">I26*F26*0.75*0.6</f>
        <v>3288308.4</v>
      </c>
      <c r="M26" s="37" t="s">
        <v>190</v>
      </c>
      <c r="N26" s="37" t="s">
        <v>191</v>
      </c>
      <c r="O26" s="36" t="s">
        <v>192</v>
      </c>
    </row>
    <row r="27" customFormat="false" ht="27.75" hidden="false" customHeight="true" outlineLevel="0" collapsed="false">
      <c r="A27" s="28" t="s">
        <v>128</v>
      </c>
      <c r="B27" s="29" t="s">
        <v>193</v>
      </c>
      <c r="C27" s="28" t="n">
        <v>1652250</v>
      </c>
      <c r="D27" s="28" t="n">
        <v>2024</v>
      </c>
      <c r="E27" s="30" t="n">
        <v>17.99</v>
      </c>
      <c r="F27" s="31" t="n">
        <v>58</v>
      </c>
      <c r="G27" s="32" t="n">
        <v>2270</v>
      </c>
      <c r="H27" s="33" t="n">
        <v>0.78</v>
      </c>
      <c r="I27" s="32" t="n">
        <v>128749</v>
      </c>
      <c r="J27" s="34" t="n">
        <f aca="false">IFERROR(I27/G27,0)</f>
        <v>56.7176211453745</v>
      </c>
      <c r="K27" s="35" t="n">
        <f aca="false">I27*E27*0.75*0.6</f>
        <v>1042287.5295</v>
      </c>
      <c r="L27" s="31" t="n">
        <f aca="false">I27*F27*0.75*0.6</f>
        <v>3360348.9</v>
      </c>
      <c r="M27" s="29" t="s">
        <v>194</v>
      </c>
      <c r="N27" s="29" t="s">
        <v>195</v>
      </c>
      <c r="O27" s="28" t="s">
        <v>196</v>
      </c>
    </row>
    <row r="28" customFormat="false" ht="27.75" hidden="false" customHeight="true" outlineLevel="0" collapsed="false">
      <c r="A28" s="36" t="s">
        <v>128</v>
      </c>
      <c r="B28" s="37" t="s">
        <v>197</v>
      </c>
      <c r="C28" s="36" t="n">
        <v>1260590</v>
      </c>
      <c r="D28" s="36" t="n">
        <v>2023</v>
      </c>
      <c r="E28" s="38" t="n">
        <v>19.99</v>
      </c>
      <c r="F28" s="39" t="n">
        <v>76</v>
      </c>
      <c r="G28" s="40" t="n">
        <v>1947</v>
      </c>
      <c r="H28" s="41" t="n">
        <v>0.891</v>
      </c>
      <c r="I28" s="40" t="n">
        <v>99480</v>
      </c>
      <c r="J28" s="42" t="n">
        <f aca="false">IFERROR(I28/G28,0)</f>
        <v>51.0939907550077</v>
      </c>
      <c r="K28" s="43" t="n">
        <f aca="false">I28*E28*0.75*0.6</f>
        <v>894872.34</v>
      </c>
      <c r="L28" s="39" t="n">
        <f aca="false">I28*F28*0.75*0.6</f>
        <v>3402216</v>
      </c>
      <c r="M28" s="37" t="s">
        <v>198</v>
      </c>
      <c r="N28" s="37" t="s">
        <v>199</v>
      </c>
      <c r="O28" s="36" t="s">
        <v>200</v>
      </c>
    </row>
    <row r="29" customFormat="false" ht="27.75" hidden="false" customHeight="true" outlineLevel="0" collapsed="false">
      <c r="A29" s="28" t="s">
        <v>128</v>
      </c>
      <c r="B29" s="29" t="s">
        <v>201</v>
      </c>
      <c r="C29" s="28" t="n">
        <v>1569090</v>
      </c>
      <c r="D29" s="28" t="n">
        <v>2021</v>
      </c>
      <c r="E29" s="30" t="n">
        <v>14.99</v>
      </c>
      <c r="F29" s="31" t="n">
        <v>50</v>
      </c>
      <c r="G29" s="32" t="n">
        <v>1709</v>
      </c>
      <c r="H29" s="33" t="n">
        <v>0.899</v>
      </c>
      <c r="I29" s="32" t="n">
        <v>88909</v>
      </c>
      <c r="J29" s="34" t="n">
        <f aca="false">IFERROR(I29/G29,0)</f>
        <v>52.0239906377999</v>
      </c>
      <c r="K29" s="35" t="n">
        <f aca="false">I29*E29*0.75*0.6</f>
        <v>599735.6595</v>
      </c>
      <c r="L29" s="31" t="n">
        <f aca="false">I29*F29*0.75*0.6</f>
        <v>2000452.5</v>
      </c>
      <c r="M29" s="29" t="s">
        <v>202</v>
      </c>
      <c r="N29" s="29" t="s">
        <v>203</v>
      </c>
      <c r="O29" s="28" t="s">
        <v>204</v>
      </c>
    </row>
    <row r="30" customFormat="false" ht="27.75" hidden="false" customHeight="true" outlineLevel="0" collapsed="false">
      <c r="A30" s="36" t="s">
        <v>128</v>
      </c>
      <c r="B30" s="37" t="s">
        <v>205</v>
      </c>
      <c r="C30" s="36" t="n">
        <v>1359120</v>
      </c>
      <c r="D30" s="36" t="n">
        <v>2020</v>
      </c>
      <c r="E30" s="38" t="n">
        <v>14.99</v>
      </c>
      <c r="F30" s="39" t="n">
        <v>58</v>
      </c>
      <c r="G30" s="40" t="n">
        <v>898</v>
      </c>
      <c r="H30" s="41" t="n">
        <v>0.888</v>
      </c>
      <c r="I30" s="40" t="n">
        <v>69494</v>
      </c>
      <c r="J30" s="42" t="n">
        <f aca="false">IFERROR(I30/G30,0)</f>
        <v>77.3875278396437</v>
      </c>
      <c r="K30" s="43" t="n">
        <f aca="false">I30*E30*0.75*0.6</f>
        <v>468771.777</v>
      </c>
      <c r="L30" s="39" t="n">
        <f aca="false">I30*F30*0.75*0.6</f>
        <v>1813793.4</v>
      </c>
      <c r="M30" s="37" t="s">
        <v>206</v>
      </c>
      <c r="N30" s="37" t="s">
        <v>207</v>
      </c>
      <c r="O30" s="36" t="s">
        <v>208</v>
      </c>
    </row>
    <row r="31" customFormat="false" ht="27.75" hidden="false" customHeight="true" outlineLevel="0" collapsed="false">
      <c r="A31" s="28" t="s">
        <v>209</v>
      </c>
      <c r="B31" s="29" t="s">
        <v>210</v>
      </c>
      <c r="C31" s="28" t="n">
        <v>601840</v>
      </c>
      <c r="D31" s="28" t="n">
        <v>2021</v>
      </c>
      <c r="E31" s="30" t="n">
        <v>19.99</v>
      </c>
      <c r="F31" s="31" t="n">
        <v>48</v>
      </c>
      <c r="G31" s="32" t="n">
        <v>14522</v>
      </c>
      <c r="H31" s="33" t="n">
        <v>0.935</v>
      </c>
      <c r="I31" s="32" t="n">
        <v>857962</v>
      </c>
      <c r="J31" s="34" t="n">
        <f aca="false">IFERROR(I31/G31,0)</f>
        <v>59.0801542487261</v>
      </c>
      <c r="K31" s="35" t="n">
        <f aca="false">I31*E31*0.75*0.6</f>
        <v>7717797.171</v>
      </c>
      <c r="L31" s="31" t="n">
        <f aca="false">I31*F31*0.75*0.6</f>
        <v>18531979.2</v>
      </c>
      <c r="M31" s="29" t="s">
        <v>211</v>
      </c>
      <c r="N31" s="29" t="s">
        <v>212</v>
      </c>
      <c r="O31" s="28" t="s">
        <v>213</v>
      </c>
    </row>
    <row r="32" customFormat="false" ht="27.75" hidden="false" customHeight="true" outlineLevel="0" collapsed="false">
      <c r="A32" s="36" t="s">
        <v>209</v>
      </c>
      <c r="B32" s="37" t="s">
        <v>214</v>
      </c>
      <c r="C32" s="36" t="n">
        <v>1404850</v>
      </c>
      <c r="D32" s="36" t="n">
        <v>2023</v>
      </c>
      <c r="E32" s="38" t="n">
        <v>9.99</v>
      </c>
      <c r="F32" s="39" t="n">
        <v>42</v>
      </c>
      <c r="G32" s="40" t="n">
        <v>11574</v>
      </c>
      <c r="H32" s="41" t="n">
        <v>0.932</v>
      </c>
      <c r="I32" s="40" t="n">
        <v>818789</v>
      </c>
      <c r="J32" s="42" t="n">
        <f aca="false">IFERROR(I32/G32,0)</f>
        <v>70.7438223604631</v>
      </c>
      <c r="K32" s="43" t="n">
        <f aca="false">I32*E32*0.75*0.6</f>
        <v>3680865.9495</v>
      </c>
      <c r="L32" s="39" t="n">
        <f aca="false">I32*F32*0.75*0.6</f>
        <v>15475112.1</v>
      </c>
      <c r="M32" s="37" t="s">
        <v>215</v>
      </c>
      <c r="N32" s="37" t="s">
        <v>216</v>
      </c>
      <c r="O32" s="36" t="s">
        <v>217</v>
      </c>
    </row>
    <row r="33" customFormat="false" ht="27.75" hidden="false" customHeight="true" outlineLevel="0" collapsed="false">
      <c r="A33" s="28" t="s">
        <v>209</v>
      </c>
      <c r="B33" s="29" t="s">
        <v>218</v>
      </c>
      <c r="C33" s="28" t="n">
        <v>1970580</v>
      </c>
      <c r="D33" s="28" t="n">
        <v>2023</v>
      </c>
      <c r="E33" s="30" t="n">
        <v>19.99</v>
      </c>
      <c r="F33" s="31" t="n">
        <v>65</v>
      </c>
      <c r="G33" s="32" t="n">
        <v>8554</v>
      </c>
      <c r="H33" s="33" t="n">
        <v>0.863</v>
      </c>
      <c r="I33" s="32" t="n">
        <v>586133</v>
      </c>
      <c r="J33" s="34" t="n">
        <f aca="false">IFERROR(I33/G33,0)</f>
        <v>68.5215104044891</v>
      </c>
      <c r="K33" s="35" t="n">
        <f aca="false">I33*E33*0.75*0.6</f>
        <v>5272559.4015</v>
      </c>
      <c r="L33" s="31" t="n">
        <f aca="false">I33*F33*0.75*0.6</f>
        <v>17144390.25</v>
      </c>
      <c r="M33" s="29" t="s">
        <v>219</v>
      </c>
      <c r="N33" s="29" t="s">
        <v>220</v>
      </c>
      <c r="O33" s="28" t="s">
        <v>221</v>
      </c>
    </row>
    <row r="34" customFormat="false" ht="27.75" hidden="false" customHeight="true" outlineLevel="0" collapsed="false">
      <c r="A34" s="36" t="s">
        <v>209</v>
      </c>
      <c r="B34" s="37" t="s">
        <v>222</v>
      </c>
      <c r="C34" s="36" t="n">
        <v>1617400</v>
      </c>
      <c r="D34" s="36" t="n">
        <v>2025</v>
      </c>
      <c r="E34" s="38" t="n">
        <v>19.99</v>
      </c>
      <c r="F34" s="39" t="n">
        <v>76</v>
      </c>
      <c r="G34" s="40" t="n">
        <v>16308</v>
      </c>
      <c r="H34" s="41" t="n">
        <v>0.692</v>
      </c>
      <c r="I34" s="40" t="n">
        <v>536578</v>
      </c>
      <c r="J34" s="42" t="n">
        <f aca="false">IFERROR(I34/G34,0)</f>
        <v>32.9027471179789</v>
      </c>
      <c r="K34" s="43" t="n">
        <f aca="false">I34*E34*0.75*0.6</f>
        <v>4826787.399</v>
      </c>
      <c r="L34" s="39" t="n">
        <f aca="false">I34*F34*0.75*0.6</f>
        <v>18350967.6</v>
      </c>
      <c r="M34" s="37" t="s">
        <v>223</v>
      </c>
      <c r="N34" s="37" t="s">
        <v>224</v>
      </c>
      <c r="O34" s="36" t="s">
        <v>225</v>
      </c>
    </row>
    <row r="35" customFormat="false" ht="27.75" hidden="false" customHeight="true" outlineLevel="0" collapsed="false">
      <c r="A35" s="28" t="s">
        <v>209</v>
      </c>
      <c r="B35" s="29" t="s">
        <v>226</v>
      </c>
      <c r="C35" s="28" t="n">
        <v>2667120</v>
      </c>
      <c r="D35" s="28" t="n">
        <v>2024</v>
      </c>
      <c r="E35" s="30" t="n">
        <v>12.34</v>
      </c>
      <c r="F35" s="31" t="n">
        <v>52</v>
      </c>
      <c r="G35" s="32" t="n">
        <v>2756</v>
      </c>
      <c r="H35" s="33" t="n">
        <v>0.839</v>
      </c>
      <c r="I35" s="32" t="n">
        <v>395571</v>
      </c>
      <c r="J35" s="34" t="n">
        <f aca="false">IFERROR(I35/G35,0)</f>
        <v>143.53084179971</v>
      </c>
      <c r="K35" s="35" t="n">
        <f aca="false">I35*E35*0.75*0.6</f>
        <v>2196605.763</v>
      </c>
      <c r="L35" s="31" t="n">
        <f aca="false">I35*F35*0.75*0.6</f>
        <v>9256361.4</v>
      </c>
      <c r="M35" s="29" t="s">
        <v>227</v>
      </c>
      <c r="N35" s="29" t="s">
        <v>228</v>
      </c>
      <c r="O35" s="28" t="s">
        <v>229</v>
      </c>
    </row>
    <row r="36" customFormat="false" ht="27.75" hidden="false" customHeight="true" outlineLevel="0" collapsed="false">
      <c r="A36" s="36" t="s">
        <v>209</v>
      </c>
      <c r="B36" s="37" t="s">
        <v>230</v>
      </c>
      <c r="C36" s="36" t="n">
        <v>2356780</v>
      </c>
      <c r="D36" s="36" t="n">
        <v>2026</v>
      </c>
      <c r="E36" s="38" t="n">
        <v>14.99</v>
      </c>
      <c r="F36" s="39" t="n">
        <v>52</v>
      </c>
      <c r="G36" s="40" t="n">
        <v>4051</v>
      </c>
      <c r="H36" s="41" t="n">
        <v>0.888</v>
      </c>
      <c r="I36" s="40" t="n">
        <v>385291</v>
      </c>
      <c r="J36" s="42" t="n">
        <f aca="false">IFERROR(I36/G36,0)</f>
        <v>95.1100962725253</v>
      </c>
      <c r="K36" s="43" t="n">
        <f aca="false">I36*E36*0.75*0.6</f>
        <v>2598980.4405</v>
      </c>
      <c r="L36" s="39" t="n">
        <f aca="false">I36*F36*0.75*0.6</f>
        <v>9015809.4</v>
      </c>
      <c r="M36" s="37" t="s">
        <v>231</v>
      </c>
      <c r="N36" s="37" t="s">
        <v>232</v>
      </c>
      <c r="O36" s="36" t="s">
        <v>233</v>
      </c>
    </row>
    <row r="37" customFormat="false" ht="27.75" hidden="false" customHeight="true" outlineLevel="0" collapsed="false">
      <c r="A37" s="28" t="s">
        <v>209</v>
      </c>
      <c r="B37" s="29" t="s">
        <v>234</v>
      </c>
      <c r="C37" s="28" t="n">
        <v>2084000</v>
      </c>
      <c r="D37" s="28" t="n">
        <v>2024</v>
      </c>
      <c r="E37" s="30" t="n">
        <v>14.99</v>
      </c>
      <c r="F37" s="31" t="n">
        <v>58</v>
      </c>
      <c r="G37" s="32" t="n">
        <v>7151</v>
      </c>
      <c r="H37" s="33" t="n">
        <v>0.951</v>
      </c>
      <c r="I37" s="32" t="n">
        <v>367362</v>
      </c>
      <c r="J37" s="34" t="n">
        <f aca="false">IFERROR(I37/G37,0)</f>
        <v>51.3721157880017</v>
      </c>
      <c r="K37" s="35" t="n">
        <f aca="false">I37*E37*0.75*0.6</f>
        <v>2478040.371</v>
      </c>
      <c r="L37" s="31" t="n">
        <f aca="false">I37*F37*0.75*0.6</f>
        <v>9588148.2</v>
      </c>
      <c r="M37" s="29" t="s">
        <v>235</v>
      </c>
      <c r="N37" s="29" t="s">
        <v>236</v>
      </c>
      <c r="O37" s="28" t="s">
        <v>237</v>
      </c>
    </row>
    <row r="38" customFormat="false" ht="27.75" hidden="false" customHeight="true" outlineLevel="0" collapsed="false">
      <c r="A38" s="36" t="s">
        <v>209</v>
      </c>
      <c r="B38" s="37" t="s">
        <v>238</v>
      </c>
      <c r="C38" s="36" t="n">
        <v>1948800</v>
      </c>
      <c r="D38" s="36" t="n">
        <v>2024</v>
      </c>
      <c r="E38" s="38" t="n">
        <v>0</v>
      </c>
      <c r="F38" s="39" t="n">
        <v>0</v>
      </c>
      <c r="G38" s="40" t="n">
        <v>6919</v>
      </c>
      <c r="H38" s="41" t="n">
        <v>0.738</v>
      </c>
      <c r="I38" s="40" t="n">
        <v>346021</v>
      </c>
      <c r="J38" s="42" t="n">
        <f aca="false">IFERROR(I38/G38,0)</f>
        <v>50.0102615984969</v>
      </c>
      <c r="K38" s="43" t="n">
        <f aca="false">I38*E38*0.75*0.6</f>
        <v>0</v>
      </c>
      <c r="L38" s="39" t="n">
        <f aca="false">I38*F38*0.75*0.6</f>
        <v>0</v>
      </c>
      <c r="M38" s="37" t="s">
        <v>239</v>
      </c>
      <c r="N38" s="37" t="s">
        <v>240</v>
      </c>
      <c r="O38" s="36" t="s">
        <v>241</v>
      </c>
    </row>
    <row r="39" customFormat="false" ht="27.75" hidden="false" customHeight="true" outlineLevel="0" collapsed="false">
      <c r="A39" s="28" t="s">
        <v>209</v>
      </c>
      <c r="B39" s="29" t="s">
        <v>242</v>
      </c>
      <c r="C39" s="28" t="n">
        <v>1076200</v>
      </c>
      <c r="D39" s="28" t="n">
        <v>2021</v>
      </c>
      <c r="E39" s="30" t="n">
        <v>24.99</v>
      </c>
      <c r="F39" s="31" t="n">
        <v>80</v>
      </c>
      <c r="G39" s="32" t="n">
        <v>4622</v>
      </c>
      <c r="H39" s="33" t="n">
        <v>0.838</v>
      </c>
      <c r="I39" s="32" t="n">
        <v>303981</v>
      </c>
      <c r="J39" s="34" t="n">
        <f aca="false">IFERROR(I39/G39,0)</f>
        <v>65.7682821289485</v>
      </c>
      <c r="K39" s="35" t="n">
        <f aca="false">I39*E39*0.75*0.6</f>
        <v>3418418.3355</v>
      </c>
      <c r="L39" s="31" t="n">
        <f aca="false">I39*F39*0.75*0.6</f>
        <v>10943316</v>
      </c>
      <c r="M39" s="29" t="s">
        <v>243</v>
      </c>
      <c r="N39" s="29" t="s">
        <v>244</v>
      </c>
      <c r="O39" s="28" t="s">
        <v>245</v>
      </c>
    </row>
    <row r="40" customFormat="false" ht="27.75" hidden="false" customHeight="true" outlineLevel="0" collapsed="false">
      <c r="A40" s="36" t="s">
        <v>209</v>
      </c>
      <c r="B40" s="37" t="s">
        <v>246</v>
      </c>
      <c r="C40" s="36" t="n">
        <v>3444020</v>
      </c>
      <c r="D40" s="36" t="n">
        <v>2025</v>
      </c>
      <c r="E40" s="38" t="n">
        <v>16.99</v>
      </c>
      <c r="F40" s="39" t="n">
        <v>58</v>
      </c>
      <c r="G40" s="40" t="n">
        <v>5668</v>
      </c>
      <c r="H40" s="41" t="n">
        <v>0.958</v>
      </c>
      <c r="I40" s="40" t="n">
        <v>300013</v>
      </c>
      <c r="J40" s="42" t="n">
        <f aca="false">IFERROR(I40/G40,0)</f>
        <v>52.931016231475</v>
      </c>
      <c r="K40" s="43" t="n">
        <f aca="false">I40*E40*0.75*0.6</f>
        <v>2293749.3915</v>
      </c>
      <c r="L40" s="39" t="n">
        <f aca="false">I40*F40*0.75*0.6</f>
        <v>7830339.3</v>
      </c>
      <c r="M40" s="37" t="s">
        <v>247</v>
      </c>
      <c r="N40" s="37" t="s">
        <v>248</v>
      </c>
      <c r="O40" s="36" t="s">
        <v>249</v>
      </c>
    </row>
    <row r="41" customFormat="false" ht="27.75" hidden="false" customHeight="true" outlineLevel="0" collapsed="false">
      <c r="A41" s="28" t="s">
        <v>209</v>
      </c>
      <c r="B41" s="29" t="s">
        <v>250</v>
      </c>
      <c r="C41" s="28" t="n">
        <v>2459550</v>
      </c>
      <c r="D41" s="28" t="n">
        <v>2026</v>
      </c>
      <c r="E41" s="30" t="n">
        <v>19.99</v>
      </c>
      <c r="F41" s="31" t="n">
        <v>68</v>
      </c>
      <c r="G41" s="32" t="n">
        <v>4503</v>
      </c>
      <c r="H41" s="33" t="n">
        <v>0.967</v>
      </c>
      <c r="I41" s="32" t="n">
        <v>237831</v>
      </c>
      <c r="J41" s="34" t="n">
        <f aca="false">IFERROR(I41/G41,0)</f>
        <v>52.8161225849434</v>
      </c>
      <c r="K41" s="35" t="n">
        <f aca="false">I41*E41*0.75*0.6</f>
        <v>2139408.7605</v>
      </c>
      <c r="L41" s="31" t="n">
        <f aca="false">I41*F41*0.75*0.6</f>
        <v>7277628.6</v>
      </c>
      <c r="M41" s="29" t="s">
        <v>251</v>
      </c>
      <c r="N41" s="29" t="s">
        <v>252</v>
      </c>
      <c r="O41" s="28" t="s">
        <v>253</v>
      </c>
    </row>
    <row r="42" customFormat="false" ht="27.75" hidden="false" customHeight="true" outlineLevel="0" collapsed="false">
      <c r="A42" s="36" t="s">
        <v>209</v>
      </c>
      <c r="B42" s="37" t="s">
        <v>254</v>
      </c>
      <c r="C42" s="36" t="n">
        <v>2797340</v>
      </c>
      <c r="D42" s="36" t="n">
        <v>2024</v>
      </c>
      <c r="E42" s="38" t="n">
        <v>9.99</v>
      </c>
      <c r="F42" s="39" t="n">
        <v>42</v>
      </c>
      <c r="G42" s="40" t="n">
        <v>2204</v>
      </c>
      <c r="H42" s="41" t="n">
        <v>0.932</v>
      </c>
      <c r="I42" s="40" t="n">
        <v>226696</v>
      </c>
      <c r="J42" s="42" t="n">
        <f aca="false">IFERROR(I42/G42,0)</f>
        <v>102.856624319419</v>
      </c>
      <c r="K42" s="43" t="n">
        <f aca="false">I42*E42*0.75*0.6</f>
        <v>1019111.868</v>
      </c>
      <c r="L42" s="39" t="n">
        <f aca="false">I42*F42*0.75*0.6</f>
        <v>4284554.4</v>
      </c>
      <c r="M42" s="37" t="s">
        <v>255</v>
      </c>
      <c r="N42" s="37" t="s">
        <v>256</v>
      </c>
      <c r="O42" s="36" t="s">
        <v>257</v>
      </c>
    </row>
    <row r="43" customFormat="false" ht="27.75" hidden="false" customHeight="true" outlineLevel="0" collapsed="false">
      <c r="A43" s="28" t="s">
        <v>209</v>
      </c>
      <c r="B43" s="29" t="s">
        <v>258</v>
      </c>
      <c r="C43" s="28" t="n">
        <v>2870340</v>
      </c>
      <c r="D43" s="28" t="n">
        <v>2025</v>
      </c>
      <c r="E43" s="30" t="n">
        <v>15.99</v>
      </c>
      <c r="F43" s="31" t="n">
        <v>50</v>
      </c>
      <c r="G43" s="32" t="n">
        <v>2470</v>
      </c>
      <c r="H43" s="33" t="n">
        <v>0.862</v>
      </c>
      <c r="I43" s="32" t="n">
        <v>167224</v>
      </c>
      <c r="J43" s="34" t="n">
        <f aca="false">IFERROR(I43/G43,0)</f>
        <v>67.702024291498</v>
      </c>
      <c r="K43" s="35" t="n">
        <f aca="false">I43*E43*0.75*0.6</f>
        <v>1203260.292</v>
      </c>
      <c r="L43" s="31" t="n">
        <f aca="false">I43*F43*0.75*0.6</f>
        <v>3762540</v>
      </c>
      <c r="M43" s="29" t="s">
        <v>259</v>
      </c>
      <c r="N43" s="29" t="s">
        <v>260</v>
      </c>
      <c r="O43" s="28" t="s">
        <v>261</v>
      </c>
    </row>
    <row r="44" customFormat="false" ht="27.75" hidden="false" customHeight="true" outlineLevel="0" collapsed="false">
      <c r="A44" s="36" t="s">
        <v>209</v>
      </c>
      <c r="B44" s="37" t="s">
        <v>262</v>
      </c>
      <c r="C44" s="36" t="n">
        <v>3400960</v>
      </c>
      <c r="D44" s="36" t="n">
        <v>2026</v>
      </c>
      <c r="E44" s="38" t="n">
        <v>9.99</v>
      </c>
      <c r="F44" s="39" t="n">
        <v>32</v>
      </c>
      <c r="G44" s="40" t="n">
        <v>3417</v>
      </c>
      <c r="H44" s="41" t="n">
        <v>0.901</v>
      </c>
      <c r="I44" s="40" t="n">
        <v>148064</v>
      </c>
      <c r="J44" s="42" t="n">
        <f aca="false">IFERROR(I44/G44,0)</f>
        <v>43.3315774070822</v>
      </c>
      <c r="K44" s="43" t="n">
        <f aca="false">I44*E44*0.75*0.6</f>
        <v>665621.712</v>
      </c>
      <c r="L44" s="39" t="n">
        <f aca="false">I44*F44*0.75*0.6</f>
        <v>2132121.6</v>
      </c>
      <c r="M44" s="37" t="s">
        <v>263</v>
      </c>
      <c r="N44" s="37" t="s">
        <v>264</v>
      </c>
      <c r="O44" s="36" t="s">
        <v>265</v>
      </c>
    </row>
    <row r="45" customFormat="false" ht="27.75" hidden="false" customHeight="true" outlineLevel="0" collapsed="false">
      <c r="A45" s="28" t="s">
        <v>209</v>
      </c>
      <c r="B45" s="29" t="s">
        <v>266</v>
      </c>
      <c r="C45" s="28" t="n">
        <v>3410180</v>
      </c>
      <c r="D45" s="28" t="n">
        <v>2025</v>
      </c>
      <c r="E45" s="30" t="n">
        <v>9.99</v>
      </c>
      <c r="F45" s="31" t="n">
        <v>42</v>
      </c>
      <c r="G45" s="32" t="n">
        <v>1815</v>
      </c>
      <c r="H45" s="33" t="n">
        <v>0.792</v>
      </c>
      <c r="I45" s="32" t="n">
        <v>134671</v>
      </c>
      <c r="J45" s="34" t="n">
        <f aca="false">IFERROR(I45/G45,0)</f>
        <v>74.1988980716254</v>
      </c>
      <c r="K45" s="35" t="n">
        <f aca="false">I45*E45*0.75*0.6</f>
        <v>605413.4805</v>
      </c>
      <c r="L45" s="31" t="n">
        <f aca="false">I45*F45*0.75*0.6</f>
        <v>2545281.9</v>
      </c>
      <c r="M45" s="29" t="s">
        <v>267</v>
      </c>
      <c r="N45" s="29" t="s">
        <v>268</v>
      </c>
      <c r="O45" s="28" t="s">
        <v>269</v>
      </c>
    </row>
    <row r="46" customFormat="false" ht="27.75" hidden="false" customHeight="true" outlineLevel="0" collapsed="false">
      <c r="A46" s="36" t="s">
        <v>209</v>
      </c>
      <c r="B46" s="37" t="s">
        <v>270</v>
      </c>
      <c r="C46" s="36" t="n">
        <v>1038370</v>
      </c>
      <c r="D46" s="36" t="n">
        <v>2021</v>
      </c>
      <c r="E46" s="38" t="n">
        <v>19.99</v>
      </c>
      <c r="F46" s="39" t="n">
        <v>70</v>
      </c>
      <c r="G46" s="40" t="n">
        <v>3263</v>
      </c>
      <c r="H46" s="41" t="n">
        <v>0.86</v>
      </c>
      <c r="I46" s="40" t="n">
        <v>108539</v>
      </c>
      <c r="J46" s="42" t="n">
        <f aca="false">IFERROR(I46/G46,0)</f>
        <v>33.2635611400552</v>
      </c>
      <c r="K46" s="43" t="n">
        <f aca="false">I46*E46*0.75*0.6</f>
        <v>976362.5745</v>
      </c>
      <c r="L46" s="39" t="n">
        <f aca="false">I46*F46*0.75*0.6</f>
        <v>3418978.5</v>
      </c>
      <c r="M46" s="37" t="s">
        <v>271</v>
      </c>
      <c r="N46" s="37" t="s">
        <v>272</v>
      </c>
      <c r="O46" s="36" t="s">
        <v>273</v>
      </c>
    </row>
    <row r="47" customFormat="false" ht="27.75" hidden="false" customHeight="true" outlineLevel="0" collapsed="false">
      <c r="A47" s="28" t="s">
        <v>209</v>
      </c>
      <c r="B47" s="29" t="s">
        <v>274</v>
      </c>
      <c r="C47" s="28" t="n">
        <v>1915510</v>
      </c>
      <c r="D47" s="28" t="n">
        <v>2025</v>
      </c>
      <c r="E47" s="30" t="n">
        <v>16.99</v>
      </c>
      <c r="F47" s="31" t="n">
        <v>58</v>
      </c>
      <c r="G47" s="32" t="n">
        <v>2336</v>
      </c>
      <c r="H47" s="33" t="n">
        <v>0.835</v>
      </c>
      <c r="I47" s="32" t="n">
        <v>107130</v>
      </c>
      <c r="J47" s="34" t="n">
        <f aca="false">IFERROR(I47/G47,0)</f>
        <v>45.8604452054795</v>
      </c>
      <c r="K47" s="35" t="n">
        <f aca="false">I47*E47*0.75*0.6</f>
        <v>819062.415</v>
      </c>
      <c r="L47" s="31" t="n">
        <f aca="false">I47*F47*0.75*0.6</f>
        <v>2796093</v>
      </c>
      <c r="M47" s="29" t="s">
        <v>275</v>
      </c>
      <c r="N47" s="29" t="s">
        <v>276</v>
      </c>
      <c r="O47" s="28" t="s">
        <v>277</v>
      </c>
    </row>
    <row r="48" customFormat="false" ht="27.75" hidden="false" customHeight="true" outlineLevel="0" collapsed="false">
      <c r="A48" s="36" t="s">
        <v>209</v>
      </c>
      <c r="B48" s="37" t="s">
        <v>278</v>
      </c>
      <c r="C48" s="36" t="n">
        <v>2697930</v>
      </c>
      <c r="D48" s="36" t="n">
        <v>2025</v>
      </c>
      <c r="E48" s="38" t="n">
        <v>11.99</v>
      </c>
      <c r="F48" s="39" t="n">
        <v>48</v>
      </c>
      <c r="G48" s="40" t="n">
        <v>2890</v>
      </c>
      <c r="H48" s="41" t="n">
        <v>0.751</v>
      </c>
      <c r="I48" s="40" t="n">
        <v>90624</v>
      </c>
      <c r="J48" s="42" t="n">
        <f aca="false">IFERROR(I48/G48,0)</f>
        <v>31.357785467128</v>
      </c>
      <c r="K48" s="43" t="n">
        <f aca="false">I48*E48*0.75*0.6</f>
        <v>488961.792</v>
      </c>
      <c r="L48" s="39" t="n">
        <f aca="false">I48*F48*0.75*0.6</f>
        <v>1957478.4</v>
      </c>
      <c r="M48" s="37" t="s">
        <v>279</v>
      </c>
      <c r="N48" s="37" t="s">
        <v>280</v>
      </c>
      <c r="O48" s="36" t="s">
        <v>281</v>
      </c>
    </row>
    <row r="49" customFormat="false" ht="27.75" hidden="false" customHeight="true" outlineLevel="0" collapsed="false">
      <c r="A49" s="28" t="s">
        <v>209</v>
      </c>
      <c r="B49" s="29" t="s">
        <v>282</v>
      </c>
      <c r="C49" s="28" t="n">
        <v>1140150</v>
      </c>
      <c r="D49" s="28" t="n">
        <v>2022</v>
      </c>
      <c r="E49" s="30" t="n">
        <v>29.99</v>
      </c>
      <c r="F49" s="31" t="n">
        <v>98</v>
      </c>
      <c r="G49" s="32" t="n">
        <v>2182</v>
      </c>
      <c r="H49" s="33" t="n">
        <v>0.928</v>
      </c>
      <c r="I49" s="32" t="n">
        <v>81114</v>
      </c>
      <c r="J49" s="34" t="n">
        <f aca="false">IFERROR(I49/G49,0)</f>
        <v>37.1741521539872</v>
      </c>
      <c r="K49" s="35" t="n">
        <f aca="false">I49*E49*0.75*0.6</f>
        <v>1094673.987</v>
      </c>
      <c r="L49" s="31" t="n">
        <f aca="false">I49*F49*0.75*0.6</f>
        <v>3577127.4</v>
      </c>
      <c r="M49" s="29" t="s">
        <v>283</v>
      </c>
      <c r="N49" s="29" t="s">
        <v>284</v>
      </c>
      <c r="O49" s="28" t="s">
        <v>285</v>
      </c>
    </row>
    <row r="50" customFormat="false" ht="27.75" hidden="false" customHeight="true" outlineLevel="0" collapsed="false">
      <c r="A50" s="36" t="s">
        <v>209</v>
      </c>
      <c r="B50" s="37" t="s">
        <v>286</v>
      </c>
      <c r="C50" s="36" t="n">
        <v>2389040</v>
      </c>
      <c r="D50" s="36" t="n">
        <v>2025</v>
      </c>
      <c r="E50" s="38" t="n">
        <v>23.99</v>
      </c>
      <c r="F50" s="39" t="n">
        <v>79.99</v>
      </c>
      <c r="G50" s="40" t="n">
        <v>1017</v>
      </c>
      <c r="H50" s="41" t="n">
        <v>0.887</v>
      </c>
      <c r="I50" s="40" t="n">
        <v>70840</v>
      </c>
      <c r="J50" s="42" t="n">
        <f aca="false">IFERROR(I50/G50,0)</f>
        <v>69.6558505408063</v>
      </c>
      <c r="K50" s="43" t="n">
        <f aca="false">I50*E50*0.75*0.6</f>
        <v>764753.22</v>
      </c>
      <c r="L50" s="39" t="n">
        <f aca="false">I50*F50*0.75*0.6</f>
        <v>2549921.22</v>
      </c>
      <c r="M50" s="37" t="s">
        <v>202</v>
      </c>
      <c r="N50" s="37" t="s">
        <v>287</v>
      </c>
      <c r="O50" s="36" t="s">
        <v>288</v>
      </c>
    </row>
    <row r="51" customFormat="false" ht="27.75" hidden="false" customHeight="true" outlineLevel="0" collapsed="false">
      <c r="A51" s="28" t="s">
        <v>209</v>
      </c>
      <c r="B51" s="29" t="s">
        <v>289</v>
      </c>
      <c r="C51" s="28" t="n">
        <v>3093400</v>
      </c>
      <c r="D51" s="28" t="n">
        <v>2025</v>
      </c>
      <c r="E51" s="30" t="n">
        <v>14.99</v>
      </c>
      <c r="F51" s="31" t="n">
        <v>49</v>
      </c>
      <c r="G51" s="32" t="n">
        <v>1209</v>
      </c>
      <c r="H51" s="33" t="n">
        <v>0.746</v>
      </c>
      <c r="I51" s="32" t="n">
        <v>58669</v>
      </c>
      <c r="J51" s="34" t="n">
        <f aca="false">IFERROR(I51/G51,0)</f>
        <v>48.5268817204301</v>
      </c>
      <c r="K51" s="35" t="n">
        <f aca="false">I51*E51*0.75*0.6</f>
        <v>395751.7395</v>
      </c>
      <c r="L51" s="31" t="n">
        <f aca="false">I51*F51*0.75*0.6</f>
        <v>1293651.45</v>
      </c>
      <c r="M51" s="29" t="s">
        <v>290</v>
      </c>
      <c r="N51" s="29" t="s">
        <v>291</v>
      </c>
      <c r="O51" s="28" t="s">
        <v>292</v>
      </c>
    </row>
    <row r="52" customFormat="false" ht="27.75" hidden="false" customHeight="true" outlineLevel="0" collapsed="false">
      <c r="A52" s="36" t="s">
        <v>209</v>
      </c>
      <c r="B52" s="37" t="s">
        <v>293</v>
      </c>
      <c r="C52" s="36" t="n">
        <v>1638390</v>
      </c>
      <c r="D52" s="36" t="n">
        <v>2023</v>
      </c>
      <c r="E52" s="38" t="n">
        <v>14.99</v>
      </c>
      <c r="F52" s="39" t="n">
        <v>48</v>
      </c>
      <c r="G52" s="40" t="n">
        <v>793</v>
      </c>
      <c r="H52" s="41" t="n">
        <v>0.757</v>
      </c>
      <c r="I52" s="40" t="n">
        <v>39890</v>
      </c>
      <c r="J52" s="42" t="n">
        <f aca="false">IFERROR(I52/G52,0)</f>
        <v>50.3026481715006</v>
      </c>
      <c r="K52" s="43" t="n">
        <f aca="false">I52*E52*0.75*0.6</f>
        <v>269077.995</v>
      </c>
      <c r="L52" s="39" t="n">
        <f aca="false">I52*F52*0.75*0.6</f>
        <v>861624</v>
      </c>
      <c r="M52" s="37" t="s">
        <v>294</v>
      </c>
      <c r="N52" s="37" t="s">
        <v>295</v>
      </c>
      <c r="O52" s="36" t="s">
        <v>296</v>
      </c>
    </row>
  </sheetData>
  <autoFilter ref="A4:O5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6A35"/>
    <pageSetUpPr fitToPage="false"/>
  </sheetPr>
  <dimension ref="A1:K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0"/>
    <col collapsed="false" customWidth="true" hidden="false" outlineLevel="0" max="6" min="3" style="1" width="13"/>
    <col collapsed="false" customWidth="true" hidden="false" outlineLevel="0" max="7" min="7" style="1" width="22"/>
  </cols>
  <sheetData>
    <row r="1" customFormat="false" ht="21" hidden="false" customHeight="true" outlineLevel="0" collapsed="false">
      <c r="A1" s="11" t="s">
        <v>297</v>
      </c>
    </row>
    <row r="2" customFormat="false" ht="15" hidden="false" customHeight="true" outlineLevel="0" collapsed="false">
      <c r="A2" s="4" t="s">
        <v>298</v>
      </c>
    </row>
    <row r="4" customFormat="false" ht="15" hidden="false" customHeight="true" outlineLevel="0" collapsed="false">
      <c r="A4" s="44" t="s">
        <v>53</v>
      </c>
      <c r="B4" s="45" t="n">
        <v>140</v>
      </c>
    </row>
    <row r="5" customFormat="false" ht="15" hidden="false" customHeight="true" outlineLevel="0" collapsed="false">
      <c r="A5" s="44" t="s">
        <v>299</v>
      </c>
      <c r="B5" s="45" t="n">
        <v>65</v>
      </c>
    </row>
    <row r="6" customFormat="false" ht="15" hidden="false" customHeight="true" outlineLevel="0" collapsed="false">
      <c r="A6" s="44" t="s">
        <v>300</v>
      </c>
      <c r="B6" s="45" t="n">
        <v>28.8</v>
      </c>
    </row>
    <row r="7" customFormat="false" ht="15" hidden="false" customHeight="true" outlineLevel="0" collapsed="false">
      <c r="A7" s="44" t="s">
        <v>301</v>
      </c>
      <c r="B7" s="45" t="s">
        <v>302</v>
      </c>
    </row>
    <row r="8" customFormat="false" ht="15" hidden="false" customHeight="true" outlineLevel="0" collapsed="false">
      <c r="A8" s="44" t="s">
        <v>303</v>
      </c>
      <c r="B8" s="45" t="s">
        <v>304</v>
      </c>
    </row>
    <row r="9" customFormat="false" ht="15" hidden="false" customHeight="true" outlineLevel="0" collapsed="false">
      <c r="A9" s="44" t="s">
        <v>305</v>
      </c>
      <c r="B9" s="45" t="n">
        <v>0.94</v>
      </c>
    </row>
    <row r="12" customFormat="false" ht="30" hidden="false" customHeight="true" outlineLevel="0" collapsed="false">
      <c r="A12" s="13" t="s">
        <v>93</v>
      </c>
      <c r="B12" s="13" t="s">
        <v>92</v>
      </c>
      <c r="C12" s="13" t="s">
        <v>38</v>
      </c>
      <c r="D12" s="13" t="s">
        <v>99</v>
      </c>
      <c r="E12" s="13" t="s">
        <v>97</v>
      </c>
      <c r="F12" s="13" t="s">
        <v>17</v>
      </c>
      <c r="G12" s="13" t="s">
        <v>306</v>
      </c>
      <c r="I12" s="46" t="s">
        <v>307</v>
      </c>
    </row>
    <row r="13" customFormat="false" ht="15" hidden="false" customHeight="true" outlineLevel="0" collapsed="false">
      <c r="A13" s="47" t="n">
        <v>1909260</v>
      </c>
      <c r="B13" s="47" t="s">
        <v>308</v>
      </c>
      <c r="C13" s="47" t="n">
        <v>2022</v>
      </c>
      <c r="D13" s="48" t="n">
        <v>200</v>
      </c>
      <c r="E13" s="48" t="n">
        <v>14</v>
      </c>
      <c r="F13" s="49" t="n">
        <v>14.2857142857143</v>
      </c>
      <c r="G13" s="47" t="s">
        <v>309</v>
      </c>
      <c r="I13" s="50" t="s">
        <v>310</v>
      </c>
      <c r="J13" s="50" t="s">
        <v>311</v>
      </c>
      <c r="K13" s="50" t="s">
        <v>50</v>
      </c>
    </row>
    <row r="14" customFormat="false" ht="15" hidden="false" customHeight="true" outlineLevel="0" collapsed="false">
      <c r="A14" s="51" t="n">
        <v>3419450</v>
      </c>
      <c r="B14" s="51" t="s">
        <v>312</v>
      </c>
      <c r="C14" s="51" t="n">
        <v>2025</v>
      </c>
      <c r="D14" s="52" t="n">
        <v>2064</v>
      </c>
      <c r="E14" s="52" t="n">
        <v>62</v>
      </c>
      <c r="F14" s="53" t="n">
        <v>33.2903225806452</v>
      </c>
      <c r="G14" s="51" t="s">
        <v>313</v>
      </c>
      <c r="I14" s="54" t="s">
        <v>314</v>
      </c>
      <c r="J14" s="54" t="n">
        <v>4</v>
      </c>
      <c r="K14" s="55" t="n">
        <v>0.029</v>
      </c>
    </row>
    <row r="15" customFormat="false" ht="15" hidden="false" customHeight="true" outlineLevel="0" collapsed="false">
      <c r="A15" s="47" t="n">
        <v>3393750</v>
      </c>
      <c r="B15" s="47" t="s">
        <v>315</v>
      </c>
      <c r="C15" s="47" t="n">
        <v>2025</v>
      </c>
      <c r="D15" s="48" t="n">
        <v>50391</v>
      </c>
      <c r="E15" s="48" t="n">
        <v>525</v>
      </c>
      <c r="F15" s="49" t="n">
        <v>95.9828571428571</v>
      </c>
      <c r="G15" s="47" t="s">
        <v>313</v>
      </c>
      <c r="I15" s="54" t="s">
        <v>316</v>
      </c>
      <c r="J15" s="54" t="n">
        <v>56</v>
      </c>
      <c r="K15" s="55" t="n">
        <v>0.4</v>
      </c>
    </row>
    <row r="16" customFormat="false" ht="15" hidden="false" customHeight="true" outlineLevel="0" collapsed="false">
      <c r="A16" s="51" t="n">
        <v>1231940</v>
      </c>
      <c r="B16" s="51" t="s">
        <v>317</v>
      </c>
      <c r="C16" s="51" t="n">
        <v>2021</v>
      </c>
      <c r="D16" s="52" t="n">
        <v>3771</v>
      </c>
      <c r="E16" s="52" t="n">
        <v>102</v>
      </c>
      <c r="F16" s="53" t="n">
        <v>36.9705882352941</v>
      </c>
      <c r="G16" s="51" t="s">
        <v>318</v>
      </c>
      <c r="I16" s="54" t="s">
        <v>319</v>
      </c>
      <c r="J16" s="54" t="n">
        <v>24</v>
      </c>
      <c r="K16" s="55" t="n">
        <v>0.171</v>
      </c>
    </row>
    <row r="17" customFormat="false" ht="15" hidden="false" customHeight="true" outlineLevel="0" collapsed="false">
      <c r="A17" s="47" t="n">
        <v>3215240</v>
      </c>
      <c r="B17" s="47" t="s">
        <v>320</v>
      </c>
      <c r="C17" s="47" t="n">
        <v>2025</v>
      </c>
      <c r="D17" s="48" t="n">
        <v>275</v>
      </c>
      <c r="E17" s="48" t="n">
        <v>9</v>
      </c>
      <c r="F17" s="49" t="n">
        <v>30.5555555555556</v>
      </c>
      <c r="G17" s="47" t="s">
        <v>321</v>
      </c>
      <c r="I17" s="54" t="s">
        <v>322</v>
      </c>
      <c r="J17" s="54" t="n">
        <v>35</v>
      </c>
      <c r="K17" s="55" t="n">
        <v>0.25</v>
      </c>
    </row>
    <row r="18" customFormat="false" ht="15" hidden="false" customHeight="true" outlineLevel="0" collapsed="false">
      <c r="A18" s="51" t="n">
        <v>2271110</v>
      </c>
      <c r="B18" s="51" t="s">
        <v>323</v>
      </c>
      <c r="C18" s="51" t="n">
        <v>2025</v>
      </c>
      <c r="D18" s="52" t="n">
        <v>231</v>
      </c>
      <c r="E18" s="52" t="n">
        <v>11</v>
      </c>
      <c r="F18" s="53" t="n">
        <v>21</v>
      </c>
      <c r="G18" s="51" t="s">
        <v>309</v>
      </c>
      <c r="I18" s="54" t="s">
        <v>324</v>
      </c>
      <c r="J18" s="54" t="n">
        <v>9</v>
      </c>
      <c r="K18" s="55" t="n">
        <v>0.064</v>
      </c>
    </row>
    <row r="19" customFormat="false" ht="15" hidden="false" customHeight="true" outlineLevel="0" collapsed="false">
      <c r="A19" s="47" t="n">
        <v>2711190</v>
      </c>
      <c r="B19" s="47" t="s">
        <v>325</v>
      </c>
      <c r="C19" s="47" t="n">
        <v>2025</v>
      </c>
      <c r="D19" s="48" t="n">
        <v>1201</v>
      </c>
      <c r="E19" s="48" t="n">
        <v>98</v>
      </c>
      <c r="F19" s="49" t="n">
        <v>12.2551020408163</v>
      </c>
      <c r="G19" s="47" t="s">
        <v>326</v>
      </c>
      <c r="I19" s="54" t="s">
        <v>327</v>
      </c>
      <c r="J19" s="54" t="n">
        <v>9</v>
      </c>
      <c r="K19" s="55" t="n">
        <v>0.064</v>
      </c>
    </row>
    <row r="20" customFormat="false" ht="15" hidden="false" customHeight="true" outlineLevel="0" collapsed="false">
      <c r="A20" s="51" t="n">
        <v>2473260</v>
      </c>
      <c r="B20" s="51" t="s">
        <v>328</v>
      </c>
      <c r="C20" s="51" t="n">
        <v>2024</v>
      </c>
      <c r="D20" s="52" t="n">
        <v>2904</v>
      </c>
      <c r="E20" s="52" t="n">
        <v>92</v>
      </c>
      <c r="F20" s="53" t="n">
        <v>31.5652173913044</v>
      </c>
      <c r="G20" s="51" t="s">
        <v>318</v>
      </c>
      <c r="I20" s="54" t="s">
        <v>329</v>
      </c>
      <c r="J20" s="54" t="n">
        <v>3</v>
      </c>
      <c r="K20" s="55" t="n">
        <v>0.021</v>
      </c>
    </row>
    <row r="21" customFormat="false" ht="15" hidden="false" customHeight="true" outlineLevel="0" collapsed="false">
      <c r="A21" s="47" t="n">
        <v>1232580</v>
      </c>
      <c r="B21" s="47" t="s">
        <v>330</v>
      </c>
      <c r="C21" s="47" t="n">
        <v>2024</v>
      </c>
      <c r="D21" s="48" t="n">
        <v>135152</v>
      </c>
      <c r="E21" s="48" t="n">
        <v>2919</v>
      </c>
      <c r="F21" s="49" t="n">
        <v>46.3007879410757</v>
      </c>
      <c r="G21" s="47" t="s">
        <v>326</v>
      </c>
    </row>
    <row r="22" customFormat="false" ht="15" hidden="false" customHeight="true" outlineLevel="0" collapsed="false">
      <c r="A22" s="51" t="n">
        <v>2522270</v>
      </c>
      <c r="B22" s="51" t="s">
        <v>331</v>
      </c>
      <c r="C22" s="51" t="n">
        <v>2024</v>
      </c>
      <c r="D22" s="52" t="n">
        <v>1257</v>
      </c>
      <c r="E22" s="52" t="n">
        <v>54</v>
      </c>
      <c r="F22" s="53" t="n">
        <v>23.2777777777778</v>
      </c>
      <c r="G22" s="51" t="s">
        <v>326</v>
      </c>
    </row>
    <row r="23" customFormat="false" ht="15" hidden="false" customHeight="true" outlineLevel="0" collapsed="false">
      <c r="A23" s="47" t="n">
        <v>1573630</v>
      </c>
      <c r="B23" s="47" t="s">
        <v>332</v>
      </c>
      <c r="C23" s="47" t="n">
        <v>2022</v>
      </c>
      <c r="D23" s="48" t="n">
        <v>50626</v>
      </c>
      <c r="E23" s="48" t="n">
        <v>1009</v>
      </c>
      <c r="F23" s="49" t="n">
        <v>50.1744301288404</v>
      </c>
      <c r="G23" s="47" t="s">
        <v>326</v>
      </c>
    </row>
    <row r="24" customFormat="false" ht="15" hidden="false" customHeight="true" outlineLevel="0" collapsed="false">
      <c r="A24" s="51" t="n">
        <v>2742830</v>
      </c>
      <c r="B24" s="51" t="s">
        <v>125</v>
      </c>
      <c r="C24" s="51" t="n">
        <v>2025</v>
      </c>
      <c r="D24" s="52" t="n">
        <v>537235</v>
      </c>
      <c r="E24" s="52" t="n">
        <v>10303</v>
      </c>
      <c r="F24" s="53" t="n">
        <v>52.1435504222071</v>
      </c>
      <c r="G24" s="51" t="s">
        <v>333</v>
      </c>
    </row>
    <row r="25" customFormat="false" ht="15" hidden="false" customHeight="true" outlineLevel="0" collapsed="false">
      <c r="A25" s="47" t="n">
        <v>2632650</v>
      </c>
      <c r="B25" s="47" t="s">
        <v>334</v>
      </c>
      <c r="C25" s="47" t="n">
        <v>2025</v>
      </c>
      <c r="D25" s="48" t="n">
        <v>190</v>
      </c>
      <c r="E25" s="48" t="n">
        <v>11</v>
      </c>
      <c r="F25" s="49" t="n">
        <v>17.2727272727273</v>
      </c>
      <c r="G25" s="47" t="s">
        <v>309</v>
      </c>
    </row>
    <row r="26" customFormat="false" ht="15" hidden="false" customHeight="true" outlineLevel="0" collapsed="false">
      <c r="A26" s="51" t="n">
        <v>3449630</v>
      </c>
      <c r="B26" s="51" t="s">
        <v>335</v>
      </c>
      <c r="C26" s="51" t="n">
        <v>2026</v>
      </c>
      <c r="D26" s="52" t="n">
        <v>2358</v>
      </c>
      <c r="E26" s="52" t="n">
        <v>124</v>
      </c>
      <c r="F26" s="53" t="n">
        <v>19.0161290322581</v>
      </c>
      <c r="G26" s="51" t="s">
        <v>326</v>
      </c>
    </row>
    <row r="27" customFormat="false" ht="15" hidden="false" customHeight="true" outlineLevel="0" collapsed="false">
      <c r="A27" s="47" t="n">
        <v>2631650</v>
      </c>
      <c r="B27" s="47" t="s">
        <v>336</v>
      </c>
      <c r="C27" s="47" t="n">
        <v>2025</v>
      </c>
      <c r="D27" s="48" t="n">
        <v>250</v>
      </c>
      <c r="E27" s="48" t="n">
        <v>45</v>
      </c>
      <c r="F27" s="49" t="n">
        <v>5.55555555555556</v>
      </c>
      <c r="G27" s="47" t="s">
        <v>309</v>
      </c>
    </row>
    <row r="28" customFormat="false" ht="15" hidden="false" customHeight="true" outlineLevel="0" collapsed="false">
      <c r="A28" s="51" t="n">
        <v>3830240</v>
      </c>
      <c r="B28" s="51" t="s">
        <v>337</v>
      </c>
      <c r="C28" s="51" t="n">
        <v>2025</v>
      </c>
      <c r="D28" s="52" t="n">
        <v>34</v>
      </c>
      <c r="E28" s="52" t="n">
        <v>3</v>
      </c>
      <c r="F28" s="53" t="n">
        <v>11.3333333333333</v>
      </c>
      <c r="G28" s="51" t="s">
        <v>338</v>
      </c>
    </row>
    <row r="29" customFormat="false" ht="15" hidden="false" customHeight="true" outlineLevel="0" collapsed="false">
      <c r="A29" s="47" t="n">
        <v>3442280</v>
      </c>
      <c r="B29" s="47" t="s">
        <v>339</v>
      </c>
      <c r="C29" s="47" t="n">
        <v>2025</v>
      </c>
      <c r="D29" s="48" t="n">
        <v>3152</v>
      </c>
      <c r="E29" s="48" t="n">
        <v>105</v>
      </c>
      <c r="F29" s="49" t="n">
        <v>30.0190476190476</v>
      </c>
      <c r="G29" s="47" t="s">
        <v>326</v>
      </c>
    </row>
    <row r="30" customFormat="false" ht="15" hidden="false" customHeight="true" outlineLevel="0" collapsed="false">
      <c r="A30" s="51" t="n">
        <v>3070040</v>
      </c>
      <c r="B30" s="51" t="s">
        <v>340</v>
      </c>
      <c r="C30" s="51" t="n">
        <v>2024</v>
      </c>
      <c r="D30" s="52" t="n">
        <v>83</v>
      </c>
      <c r="E30" s="52" t="n">
        <v>7</v>
      </c>
      <c r="F30" s="53" t="n">
        <v>11.8571428571429</v>
      </c>
      <c r="G30" s="51" t="s">
        <v>341</v>
      </c>
    </row>
    <row r="31" customFormat="false" ht="15" hidden="false" customHeight="true" outlineLevel="0" collapsed="false">
      <c r="A31" s="47" t="n">
        <v>3355940</v>
      </c>
      <c r="B31" s="47" t="s">
        <v>342</v>
      </c>
      <c r="C31" s="47" t="n">
        <v>2026</v>
      </c>
      <c r="D31" s="48" t="n">
        <v>1427</v>
      </c>
      <c r="E31" s="48" t="n">
        <v>28</v>
      </c>
      <c r="F31" s="49" t="n">
        <v>50.9642857142857</v>
      </c>
      <c r="G31" s="47" t="s">
        <v>318</v>
      </c>
    </row>
    <row r="32" customFormat="false" ht="15" hidden="false" customHeight="true" outlineLevel="0" collapsed="false">
      <c r="A32" s="51" t="n">
        <v>2468550</v>
      </c>
      <c r="B32" s="51" t="s">
        <v>343</v>
      </c>
      <c r="C32" s="51" t="n">
        <v>2025</v>
      </c>
      <c r="D32" s="52" t="n">
        <v>29618</v>
      </c>
      <c r="E32" s="52" t="n">
        <v>622</v>
      </c>
      <c r="F32" s="53" t="n">
        <v>47.6173633440515</v>
      </c>
      <c r="G32" s="51" t="s">
        <v>326</v>
      </c>
    </row>
    <row r="33" customFormat="false" ht="15" hidden="false" customHeight="true" outlineLevel="0" collapsed="false">
      <c r="A33" s="47" t="n">
        <v>3917700</v>
      </c>
      <c r="B33" s="47" t="s">
        <v>344</v>
      </c>
      <c r="C33" s="47" t="n">
        <v>2026</v>
      </c>
      <c r="D33" s="48" t="n">
        <v>37543</v>
      </c>
      <c r="E33" s="48" t="n">
        <v>878</v>
      </c>
      <c r="F33" s="49" t="n">
        <v>42.7596810933941</v>
      </c>
      <c r="G33" s="47" t="s">
        <v>333</v>
      </c>
    </row>
    <row r="34" customFormat="false" ht="15" hidden="false" customHeight="true" outlineLevel="0" collapsed="false">
      <c r="A34" s="51" t="n">
        <v>2600970</v>
      </c>
      <c r="B34" s="51" t="s">
        <v>345</v>
      </c>
      <c r="C34" s="51" t="n">
        <v>2026</v>
      </c>
      <c r="D34" s="52" t="n">
        <v>1104</v>
      </c>
      <c r="E34" s="52" t="n">
        <v>73</v>
      </c>
      <c r="F34" s="53" t="n">
        <v>15.1232876712329</v>
      </c>
      <c r="G34" s="51" t="s">
        <v>326</v>
      </c>
    </row>
    <row r="35" customFormat="false" ht="15" hidden="false" customHeight="true" outlineLevel="0" collapsed="false">
      <c r="A35" s="47" t="n">
        <v>4920310</v>
      </c>
      <c r="B35" s="47" t="s">
        <v>346</v>
      </c>
      <c r="C35" s="47" t="n">
        <v>2026</v>
      </c>
      <c r="D35" s="48" t="n">
        <v>1</v>
      </c>
      <c r="E35" s="48" t="n">
        <v>0</v>
      </c>
      <c r="F35" s="49" t="n">
        <v>0</v>
      </c>
      <c r="G35" s="47" t="s">
        <v>347</v>
      </c>
    </row>
    <row r="36" customFormat="false" ht="15" hidden="false" customHeight="true" outlineLevel="0" collapsed="false">
      <c r="A36" s="51" t="n">
        <v>1915780</v>
      </c>
      <c r="B36" s="51" t="s">
        <v>348</v>
      </c>
      <c r="C36" s="51" t="n">
        <v>2024</v>
      </c>
      <c r="D36" s="52" t="n">
        <v>2616</v>
      </c>
      <c r="E36" s="52" t="n">
        <v>99</v>
      </c>
      <c r="F36" s="53" t="n">
        <v>26.4242424242424</v>
      </c>
      <c r="G36" s="51" t="s">
        <v>318</v>
      </c>
    </row>
    <row r="37" customFormat="false" ht="15" hidden="false" customHeight="true" outlineLevel="0" collapsed="false">
      <c r="A37" s="47" t="n">
        <v>3308960</v>
      </c>
      <c r="B37" s="47" t="s">
        <v>349</v>
      </c>
      <c r="C37" s="47" t="n">
        <v>2026</v>
      </c>
      <c r="D37" s="48" t="n">
        <v>3925</v>
      </c>
      <c r="E37" s="48" t="n">
        <v>222</v>
      </c>
      <c r="F37" s="49" t="n">
        <v>17.6801801801802</v>
      </c>
      <c r="G37" s="47" t="s">
        <v>318</v>
      </c>
    </row>
    <row r="38" customFormat="false" ht="15" hidden="false" customHeight="true" outlineLevel="0" collapsed="false">
      <c r="A38" s="51" t="n">
        <v>4148810</v>
      </c>
      <c r="B38" s="51" t="s">
        <v>350</v>
      </c>
      <c r="C38" s="51" t="n">
        <v>2026</v>
      </c>
      <c r="D38" s="52" t="n">
        <v>486</v>
      </c>
      <c r="E38" s="52" t="n">
        <v>18</v>
      </c>
      <c r="F38" s="53" t="n">
        <v>27</v>
      </c>
      <c r="G38" s="51" t="s">
        <v>309</v>
      </c>
    </row>
    <row r="39" customFormat="false" ht="15" hidden="false" customHeight="true" outlineLevel="0" collapsed="false">
      <c r="A39" s="47" t="n">
        <v>1434540</v>
      </c>
      <c r="B39" s="47" t="s">
        <v>351</v>
      </c>
      <c r="C39" s="47" t="n">
        <v>2023</v>
      </c>
      <c r="D39" s="48" t="n">
        <v>28137</v>
      </c>
      <c r="E39" s="48" t="n">
        <v>526</v>
      </c>
      <c r="F39" s="49" t="n">
        <v>53.4923954372624</v>
      </c>
      <c r="G39" s="47" t="s">
        <v>313</v>
      </c>
    </row>
    <row r="40" customFormat="false" ht="15" hidden="false" customHeight="true" outlineLevel="0" collapsed="false">
      <c r="A40" s="51" t="n">
        <v>2877770</v>
      </c>
      <c r="B40" s="51" t="s">
        <v>352</v>
      </c>
      <c r="C40" s="51" t="n">
        <v>2025</v>
      </c>
      <c r="D40" s="52" t="n">
        <v>7522</v>
      </c>
      <c r="E40" s="52" t="n">
        <v>132</v>
      </c>
      <c r="F40" s="53" t="n">
        <v>56.9848484848485</v>
      </c>
      <c r="G40" s="51" t="s">
        <v>326</v>
      </c>
    </row>
    <row r="41" customFormat="false" ht="15" hidden="false" customHeight="true" outlineLevel="0" collapsed="false">
      <c r="A41" s="47" t="n">
        <v>3062650</v>
      </c>
      <c r="B41" s="47" t="s">
        <v>353</v>
      </c>
      <c r="C41" s="47" t="n">
        <v>2026</v>
      </c>
      <c r="D41" s="48" t="n">
        <v>1163</v>
      </c>
      <c r="E41" s="48" t="n">
        <v>62</v>
      </c>
      <c r="F41" s="49" t="n">
        <v>18.758064516129</v>
      </c>
      <c r="G41" s="47" t="s">
        <v>326</v>
      </c>
    </row>
    <row r="42" customFormat="false" ht="15" hidden="false" customHeight="true" outlineLevel="0" collapsed="false">
      <c r="A42" s="51" t="n">
        <v>996370</v>
      </c>
      <c r="B42" s="51" t="s">
        <v>354</v>
      </c>
      <c r="C42" s="51" t="n">
        <v>2021</v>
      </c>
      <c r="D42" s="52" t="n">
        <v>1332</v>
      </c>
      <c r="E42" s="52" t="n">
        <v>48</v>
      </c>
      <c r="F42" s="53" t="n">
        <v>27.75</v>
      </c>
      <c r="G42" s="51" t="s">
        <v>309</v>
      </c>
    </row>
    <row r="43" customFormat="false" ht="15" hidden="false" customHeight="true" outlineLevel="0" collapsed="false">
      <c r="A43" s="47" t="n">
        <v>2084000</v>
      </c>
      <c r="B43" s="47" t="s">
        <v>234</v>
      </c>
      <c r="C43" s="47" t="n">
        <v>2024</v>
      </c>
      <c r="D43" s="48" t="n">
        <v>367362</v>
      </c>
      <c r="E43" s="48" t="n">
        <v>7151</v>
      </c>
      <c r="F43" s="49" t="n">
        <v>51.3721157880017</v>
      </c>
      <c r="G43" s="47" t="s">
        <v>333</v>
      </c>
    </row>
    <row r="44" customFormat="false" ht="15" hidden="false" customHeight="true" outlineLevel="0" collapsed="false">
      <c r="A44" s="51" t="n">
        <v>3217480</v>
      </c>
      <c r="B44" s="51" t="s">
        <v>355</v>
      </c>
      <c r="C44" s="51" t="n">
        <v>2025</v>
      </c>
      <c r="D44" s="52" t="n">
        <v>68</v>
      </c>
      <c r="E44" s="52" t="n">
        <v>5</v>
      </c>
      <c r="F44" s="53" t="n">
        <v>13.6</v>
      </c>
      <c r="G44" s="51" t="s">
        <v>356</v>
      </c>
    </row>
    <row r="45" customFormat="false" ht="15" hidden="false" customHeight="true" outlineLevel="0" collapsed="false">
      <c r="A45" s="47" t="n">
        <v>3298780</v>
      </c>
      <c r="B45" s="47" t="s">
        <v>357</v>
      </c>
      <c r="C45" s="47" t="n">
        <v>2026</v>
      </c>
      <c r="D45" s="48" t="n">
        <v>15</v>
      </c>
      <c r="E45" s="48" t="n">
        <v>1</v>
      </c>
      <c r="F45" s="49" t="n">
        <v>15</v>
      </c>
      <c r="G45" s="47" t="s">
        <v>358</v>
      </c>
    </row>
    <row r="46" customFormat="false" ht="15" hidden="false" customHeight="true" outlineLevel="0" collapsed="false">
      <c r="A46" s="51" t="n">
        <v>4021230</v>
      </c>
      <c r="B46" s="51" t="s">
        <v>359</v>
      </c>
      <c r="C46" s="51" t="n">
        <v>2026</v>
      </c>
      <c r="D46" s="52" t="n">
        <v>1024</v>
      </c>
      <c r="E46" s="52" t="n">
        <v>60</v>
      </c>
      <c r="F46" s="53" t="n">
        <v>17.0666666666667</v>
      </c>
      <c r="G46" s="51" t="s">
        <v>326</v>
      </c>
    </row>
    <row r="47" customFormat="false" ht="15" hidden="false" customHeight="true" outlineLevel="0" collapsed="false">
      <c r="A47" s="47" t="n">
        <v>2423290</v>
      </c>
      <c r="B47" s="47" t="s">
        <v>360</v>
      </c>
      <c r="C47" s="47" t="n">
        <v>2026</v>
      </c>
      <c r="D47" s="48" t="n">
        <v>2486</v>
      </c>
      <c r="E47" s="48" t="n">
        <v>93</v>
      </c>
      <c r="F47" s="49" t="n">
        <v>26.7311827956989</v>
      </c>
      <c r="G47" s="47" t="s">
        <v>326</v>
      </c>
    </row>
    <row r="48" customFormat="false" ht="15" hidden="false" customHeight="true" outlineLevel="0" collapsed="false">
      <c r="A48" s="51" t="n">
        <v>3001330</v>
      </c>
      <c r="B48" s="51" t="s">
        <v>361</v>
      </c>
      <c r="C48" s="51" t="n">
        <v>2025</v>
      </c>
      <c r="D48" s="52" t="n">
        <v>10332</v>
      </c>
      <c r="E48" s="52" t="n">
        <v>298</v>
      </c>
      <c r="F48" s="53" t="n">
        <v>34.6711409395973</v>
      </c>
      <c r="G48" s="51" t="s">
        <v>326</v>
      </c>
    </row>
    <row r="49" customFormat="false" ht="15" hidden="false" customHeight="true" outlineLevel="0" collapsed="false">
      <c r="A49" s="47" t="n">
        <v>2490310</v>
      </c>
      <c r="B49" s="47" t="s">
        <v>362</v>
      </c>
      <c r="C49" s="47" t="n">
        <v>2024</v>
      </c>
      <c r="D49" s="48" t="n">
        <v>97</v>
      </c>
      <c r="E49" s="48" t="n">
        <v>5</v>
      </c>
      <c r="F49" s="49" t="n">
        <v>19.4</v>
      </c>
      <c r="G49" s="47" t="s">
        <v>356</v>
      </c>
    </row>
    <row r="50" customFormat="false" ht="15" hidden="false" customHeight="true" outlineLevel="0" collapsed="false">
      <c r="A50" s="51" t="n">
        <v>4206270</v>
      </c>
      <c r="B50" s="51" t="s">
        <v>363</v>
      </c>
      <c r="C50" s="51" t="n">
        <v>2026</v>
      </c>
      <c r="D50" s="52" t="n">
        <v>56782</v>
      </c>
      <c r="E50" s="52" t="n">
        <v>644</v>
      </c>
      <c r="F50" s="53" t="n">
        <v>88.1708074534162</v>
      </c>
      <c r="G50" s="51" t="s">
        <v>326</v>
      </c>
    </row>
    <row r="51" customFormat="false" ht="15" hidden="false" customHeight="true" outlineLevel="0" collapsed="false">
      <c r="A51" s="47" t="n">
        <v>2584800</v>
      </c>
      <c r="B51" s="47" t="s">
        <v>364</v>
      </c>
      <c r="C51" s="47" t="n">
        <v>2025</v>
      </c>
      <c r="D51" s="48" t="n">
        <v>1073</v>
      </c>
      <c r="E51" s="48" t="n">
        <v>29</v>
      </c>
      <c r="F51" s="49" t="n">
        <v>37</v>
      </c>
      <c r="G51" s="47" t="s">
        <v>309</v>
      </c>
    </row>
    <row r="52" customFormat="false" ht="15" hidden="false" customHeight="true" outlineLevel="0" collapsed="false">
      <c r="A52" s="51" t="n">
        <v>3941130</v>
      </c>
      <c r="B52" s="51" t="s">
        <v>365</v>
      </c>
      <c r="C52" s="51" t="n">
        <v>2026</v>
      </c>
      <c r="D52" s="52" t="n">
        <v>53</v>
      </c>
      <c r="E52" s="52" t="n">
        <v>4</v>
      </c>
      <c r="F52" s="53" t="n">
        <v>13.25</v>
      </c>
      <c r="G52" s="51" t="s">
        <v>366</v>
      </c>
    </row>
    <row r="53" customFormat="false" ht="15" hidden="false" customHeight="true" outlineLevel="0" collapsed="false">
      <c r="A53" s="47" t="n">
        <v>1668690</v>
      </c>
      <c r="B53" s="47" t="s">
        <v>189</v>
      </c>
      <c r="C53" s="47" t="n">
        <v>2022</v>
      </c>
      <c r="D53" s="48" t="n">
        <v>140526</v>
      </c>
      <c r="E53" s="48" t="n">
        <v>3975</v>
      </c>
      <c r="F53" s="49" t="n">
        <v>35.3524528301887</v>
      </c>
      <c r="G53" s="47" t="s">
        <v>326</v>
      </c>
    </row>
    <row r="54" customFormat="false" ht="15" hidden="false" customHeight="true" outlineLevel="0" collapsed="false">
      <c r="A54" s="51" t="n">
        <v>3320370</v>
      </c>
      <c r="B54" s="51" t="s">
        <v>367</v>
      </c>
      <c r="C54" s="51" t="n">
        <v>2025</v>
      </c>
      <c r="D54" s="52" t="n">
        <v>129</v>
      </c>
      <c r="E54" s="52" t="n">
        <v>6</v>
      </c>
      <c r="F54" s="53" t="n">
        <v>21.5</v>
      </c>
      <c r="G54" s="51" t="s">
        <v>368</v>
      </c>
    </row>
    <row r="55" customFormat="false" ht="15" hidden="false" customHeight="true" outlineLevel="0" collapsed="false">
      <c r="A55" s="47" t="n">
        <v>2013080</v>
      </c>
      <c r="B55" s="47" t="s">
        <v>369</v>
      </c>
      <c r="C55" s="47" t="n">
        <v>2022</v>
      </c>
      <c r="D55" s="48" t="n">
        <v>862</v>
      </c>
      <c r="E55" s="48" t="n">
        <v>24</v>
      </c>
      <c r="F55" s="49" t="n">
        <v>35.9166666666667</v>
      </c>
      <c r="G55" s="47" t="s">
        <v>313</v>
      </c>
    </row>
    <row r="56" customFormat="false" ht="15" hidden="false" customHeight="true" outlineLevel="0" collapsed="false">
      <c r="A56" s="51" t="n">
        <v>2868840</v>
      </c>
      <c r="B56" s="51" t="s">
        <v>110</v>
      </c>
      <c r="C56" s="51" t="n">
        <v>2026</v>
      </c>
      <c r="D56" s="52" t="n">
        <v>7410557</v>
      </c>
      <c r="E56" s="52" t="n">
        <v>205590</v>
      </c>
      <c r="F56" s="53" t="n">
        <v>36.0453183520599</v>
      </c>
      <c r="G56" s="51" t="s">
        <v>313</v>
      </c>
    </row>
    <row r="57" customFormat="false" ht="15" hidden="false" customHeight="true" outlineLevel="0" collapsed="false">
      <c r="A57" s="47" t="n">
        <v>3040270</v>
      </c>
      <c r="B57" s="47" t="s">
        <v>370</v>
      </c>
      <c r="C57" s="47" t="n">
        <v>2024</v>
      </c>
      <c r="D57" s="48" t="n">
        <v>1572</v>
      </c>
      <c r="E57" s="48" t="n">
        <v>108</v>
      </c>
      <c r="F57" s="49" t="n">
        <v>14.5555555555556</v>
      </c>
      <c r="G57" s="47" t="s">
        <v>326</v>
      </c>
    </row>
    <row r="58" customFormat="false" ht="15" hidden="false" customHeight="true" outlineLevel="0" collapsed="false">
      <c r="A58" s="51" t="n">
        <v>2451820</v>
      </c>
      <c r="B58" s="51" t="s">
        <v>371</v>
      </c>
      <c r="C58" s="51" t="n">
        <v>2024</v>
      </c>
      <c r="D58" s="52" t="n">
        <v>1379</v>
      </c>
      <c r="E58" s="52" t="n">
        <v>40</v>
      </c>
      <c r="F58" s="53" t="n">
        <v>34.475</v>
      </c>
      <c r="G58" s="51" t="s">
        <v>318</v>
      </c>
    </row>
    <row r="59" customFormat="false" ht="15" hidden="false" customHeight="true" outlineLevel="0" collapsed="false">
      <c r="A59" s="47" t="n">
        <v>2065870</v>
      </c>
      <c r="B59" s="47" t="s">
        <v>372</v>
      </c>
      <c r="C59" s="47" t="n">
        <v>2024</v>
      </c>
      <c r="D59" s="48" t="n">
        <v>205</v>
      </c>
      <c r="E59" s="48" t="n">
        <v>14</v>
      </c>
      <c r="F59" s="49" t="n">
        <v>14.6428571428571</v>
      </c>
      <c r="G59" s="47" t="s">
        <v>309</v>
      </c>
    </row>
    <row r="60" customFormat="false" ht="15" hidden="false" customHeight="true" outlineLevel="0" collapsed="false">
      <c r="A60" s="51" t="n">
        <v>4295100</v>
      </c>
      <c r="B60" s="51" t="s">
        <v>373</v>
      </c>
      <c r="C60" s="51" t="n">
        <v>2026</v>
      </c>
      <c r="D60" s="52" t="n">
        <v>110</v>
      </c>
      <c r="E60" s="52" t="n">
        <v>10</v>
      </c>
      <c r="F60" s="53" t="n">
        <v>11</v>
      </c>
      <c r="G60" s="51" t="s">
        <v>309</v>
      </c>
    </row>
    <row r="61" customFormat="false" ht="15" hidden="false" customHeight="true" outlineLevel="0" collapsed="false">
      <c r="A61" s="47" t="n">
        <v>1566090</v>
      </c>
      <c r="B61" s="47" t="s">
        <v>374</v>
      </c>
      <c r="C61" s="47" t="n">
        <v>2021</v>
      </c>
      <c r="D61" s="48" t="n">
        <v>3110</v>
      </c>
      <c r="E61" s="48" t="n">
        <v>66</v>
      </c>
      <c r="F61" s="49" t="n">
        <v>47.1212121212121</v>
      </c>
      <c r="G61" s="47" t="s">
        <v>318</v>
      </c>
    </row>
    <row r="62" customFormat="false" ht="15" hidden="false" customHeight="true" outlineLevel="0" collapsed="false">
      <c r="A62" s="51" t="n">
        <v>1863170</v>
      </c>
      <c r="B62" s="51" t="s">
        <v>375</v>
      </c>
      <c r="C62" s="51" t="n">
        <v>2022</v>
      </c>
      <c r="D62" s="52" t="n">
        <v>168</v>
      </c>
      <c r="E62" s="52" t="n">
        <v>8</v>
      </c>
      <c r="F62" s="53" t="n">
        <v>21</v>
      </c>
      <c r="G62" s="51" t="s">
        <v>376</v>
      </c>
    </row>
    <row r="63" customFormat="false" ht="15" hidden="false" customHeight="true" outlineLevel="0" collapsed="false">
      <c r="A63" s="47" t="n">
        <v>3508510</v>
      </c>
      <c r="B63" s="47" t="s">
        <v>377</v>
      </c>
      <c r="C63" s="47" t="n">
        <v>2026</v>
      </c>
      <c r="D63" s="48" t="n">
        <v>1280</v>
      </c>
      <c r="E63" s="48" t="n">
        <v>77</v>
      </c>
      <c r="F63" s="49" t="n">
        <v>16.6233766233766</v>
      </c>
      <c r="G63" s="47" t="s">
        <v>318</v>
      </c>
    </row>
    <row r="64" customFormat="false" ht="15" hidden="false" customHeight="true" outlineLevel="0" collapsed="false">
      <c r="A64" s="51" t="n">
        <v>2591290</v>
      </c>
      <c r="B64" s="51" t="s">
        <v>378</v>
      </c>
      <c r="C64" s="51" t="n">
        <v>2024</v>
      </c>
      <c r="D64" s="52" t="n">
        <v>1744</v>
      </c>
      <c r="E64" s="52" t="n">
        <v>54</v>
      </c>
      <c r="F64" s="53" t="n">
        <v>32.2962962962963</v>
      </c>
      <c r="G64" s="51" t="s">
        <v>326</v>
      </c>
    </row>
    <row r="65" customFormat="false" ht="15" hidden="false" customHeight="true" outlineLevel="0" collapsed="false">
      <c r="A65" s="47" t="n">
        <v>2886470</v>
      </c>
      <c r="B65" s="47" t="s">
        <v>379</v>
      </c>
      <c r="C65" s="47" t="n">
        <v>2024</v>
      </c>
      <c r="D65" s="48" t="n">
        <v>3966</v>
      </c>
      <c r="E65" s="48" t="n">
        <v>153</v>
      </c>
      <c r="F65" s="49" t="n">
        <v>25.921568627451</v>
      </c>
      <c r="G65" s="47" t="s">
        <v>313</v>
      </c>
    </row>
    <row r="66" customFormat="false" ht="15" hidden="false" customHeight="true" outlineLevel="0" collapsed="false">
      <c r="A66" s="51" t="n">
        <v>3212590</v>
      </c>
      <c r="B66" s="51" t="s">
        <v>380</v>
      </c>
      <c r="C66" s="51" t="n">
        <v>2025</v>
      </c>
      <c r="D66" s="52" t="n">
        <v>27</v>
      </c>
      <c r="E66" s="52" t="n">
        <v>3</v>
      </c>
      <c r="F66" s="53" t="n">
        <v>9</v>
      </c>
      <c r="G66" s="51" t="s">
        <v>338</v>
      </c>
    </row>
    <row r="67" customFormat="false" ht="15" hidden="false" customHeight="true" outlineLevel="0" collapsed="false">
      <c r="A67" s="47" t="n">
        <v>3330210</v>
      </c>
      <c r="B67" s="47" t="s">
        <v>381</v>
      </c>
      <c r="C67" s="47" t="n">
        <v>2026</v>
      </c>
      <c r="D67" s="48" t="n">
        <v>28261</v>
      </c>
      <c r="E67" s="48" t="n">
        <v>634</v>
      </c>
      <c r="F67" s="49" t="n">
        <v>44.5757097791798</v>
      </c>
      <c r="G67" s="47" t="s">
        <v>326</v>
      </c>
    </row>
    <row r="68" customFormat="false" ht="15" hidden="false" customHeight="true" outlineLevel="0" collapsed="false">
      <c r="A68" s="51" t="n">
        <v>3972900</v>
      </c>
      <c r="B68" s="51" t="s">
        <v>382</v>
      </c>
      <c r="C68" s="51" t="n">
        <v>2026</v>
      </c>
      <c r="D68" s="52" t="n">
        <v>28</v>
      </c>
      <c r="E68" s="52" t="n">
        <v>2</v>
      </c>
      <c r="F68" s="53" t="n">
        <v>14</v>
      </c>
      <c r="G68" s="51" t="s">
        <v>383</v>
      </c>
    </row>
    <row r="69" customFormat="false" ht="15" hidden="false" customHeight="true" outlineLevel="0" collapsed="false">
      <c r="A69" s="47" t="n">
        <v>3966890</v>
      </c>
      <c r="B69" s="47" t="s">
        <v>384</v>
      </c>
      <c r="C69" s="47" t="n">
        <v>2026</v>
      </c>
      <c r="D69" s="48" t="n">
        <v>10982</v>
      </c>
      <c r="E69" s="48" t="n">
        <v>306</v>
      </c>
      <c r="F69" s="49" t="n">
        <v>35.8888888888889</v>
      </c>
      <c r="G69" s="47" t="s">
        <v>326</v>
      </c>
    </row>
    <row r="70" customFormat="false" ht="15" hidden="false" customHeight="true" outlineLevel="0" collapsed="false">
      <c r="A70" s="51" t="n">
        <v>3835670</v>
      </c>
      <c r="B70" s="51" t="s">
        <v>385</v>
      </c>
      <c r="C70" s="51" t="n">
        <v>2026</v>
      </c>
      <c r="D70" s="52" t="n">
        <v>171</v>
      </c>
      <c r="E70" s="52" t="n">
        <v>12</v>
      </c>
      <c r="F70" s="53" t="n">
        <v>14.25</v>
      </c>
      <c r="G70" s="51" t="s">
        <v>309</v>
      </c>
    </row>
    <row r="71" customFormat="false" ht="15" hidden="false" customHeight="true" outlineLevel="0" collapsed="false">
      <c r="A71" s="47" t="n">
        <v>1768530</v>
      </c>
      <c r="B71" s="47" t="s">
        <v>386</v>
      </c>
      <c r="C71" s="47" t="n">
        <v>2022</v>
      </c>
      <c r="D71" s="48" t="n">
        <v>336</v>
      </c>
      <c r="E71" s="48" t="n">
        <v>13</v>
      </c>
      <c r="F71" s="49" t="n">
        <v>25.8461538461539</v>
      </c>
      <c r="G71" s="47" t="s">
        <v>318</v>
      </c>
    </row>
    <row r="72" customFormat="false" ht="15" hidden="false" customHeight="true" outlineLevel="0" collapsed="false">
      <c r="A72" s="51" t="n">
        <v>3219010</v>
      </c>
      <c r="B72" s="51" t="s">
        <v>387</v>
      </c>
      <c r="C72" s="51" t="n">
        <v>2026</v>
      </c>
      <c r="D72" s="52" t="n">
        <v>40168</v>
      </c>
      <c r="E72" s="52" t="n">
        <v>669</v>
      </c>
      <c r="F72" s="53" t="n">
        <v>60.0418535127055</v>
      </c>
      <c r="G72" s="51" t="s">
        <v>326</v>
      </c>
    </row>
    <row r="73" customFormat="false" ht="15" hidden="false" customHeight="true" outlineLevel="0" collapsed="false">
      <c r="A73" s="47" t="n">
        <v>3183220</v>
      </c>
      <c r="B73" s="47" t="s">
        <v>388</v>
      </c>
      <c r="C73" s="47" t="n">
        <v>2025</v>
      </c>
      <c r="D73" s="48" t="n">
        <v>4647</v>
      </c>
      <c r="E73" s="48" t="n">
        <v>102</v>
      </c>
      <c r="F73" s="49" t="n">
        <v>45.5588235294118</v>
      </c>
      <c r="G73" s="47" t="s">
        <v>313</v>
      </c>
    </row>
    <row r="74" customFormat="false" ht="15" hidden="false" customHeight="true" outlineLevel="0" collapsed="false">
      <c r="A74" s="51" t="n">
        <v>1708950</v>
      </c>
      <c r="B74" s="51" t="s">
        <v>389</v>
      </c>
      <c r="C74" s="51" t="n">
        <v>2025</v>
      </c>
      <c r="D74" s="52" t="n">
        <v>3736</v>
      </c>
      <c r="E74" s="52" t="n">
        <v>125</v>
      </c>
      <c r="F74" s="53" t="n">
        <v>29.888</v>
      </c>
      <c r="G74" s="51" t="s">
        <v>326</v>
      </c>
    </row>
    <row r="75" customFormat="false" ht="15" hidden="false" customHeight="true" outlineLevel="0" collapsed="false">
      <c r="A75" s="47" t="n">
        <v>3205630</v>
      </c>
      <c r="B75" s="47" t="s">
        <v>390</v>
      </c>
      <c r="C75" s="47" t="n">
        <v>2026</v>
      </c>
      <c r="D75" s="48" t="n">
        <v>583</v>
      </c>
      <c r="E75" s="48" t="n">
        <v>31</v>
      </c>
      <c r="F75" s="49" t="n">
        <v>18.8064516129032</v>
      </c>
      <c r="G75" s="47" t="s">
        <v>309</v>
      </c>
    </row>
    <row r="76" customFormat="false" ht="15" hidden="false" customHeight="true" outlineLevel="0" collapsed="false">
      <c r="A76" s="51" t="n">
        <v>1135810</v>
      </c>
      <c r="B76" s="51" t="s">
        <v>391</v>
      </c>
      <c r="C76" s="51" t="n">
        <v>2022</v>
      </c>
      <c r="D76" s="52" t="n">
        <v>97111</v>
      </c>
      <c r="E76" s="52" t="n">
        <v>3019</v>
      </c>
      <c r="F76" s="53" t="n">
        <v>32.1666114607486</v>
      </c>
      <c r="G76" s="51" t="s">
        <v>326</v>
      </c>
    </row>
    <row r="77" customFormat="false" ht="15" hidden="false" customHeight="true" outlineLevel="0" collapsed="false">
      <c r="A77" s="47" t="n">
        <v>4775200</v>
      </c>
      <c r="B77" s="47" t="s">
        <v>392</v>
      </c>
      <c r="C77" s="47" t="n">
        <v>2026</v>
      </c>
      <c r="D77" s="48" t="n">
        <v>1</v>
      </c>
      <c r="E77" s="48" t="n">
        <v>0</v>
      </c>
      <c r="F77" s="49" t="n">
        <v>0</v>
      </c>
      <c r="G77" s="47" t="s">
        <v>347</v>
      </c>
    </row>
    <row r="78" customFormat="false" ht="15" hidden="false" customHeight="true" outlineLevel="0" collapsed="false">
      <c r="A78" s="51" t="n">
        <v>2686020</v>
      </c>
      <c r="B78" s="51" t="s">
        <v>393</v>
      </c>
      <c r="C78" s="51" t="n">
        <v>2025</v>
      </c>
      <c r="D78" s="52" t="n">
        <v>1829</v>
      </c>
      <c r="E78" s="52" t="n">
        <v>78</v>
      </c>
      <c r="F78" s="53" t="n">
        <v>23.448717948718</v>
      </c>
      <c r="G78" s="51" t="s">
        <v>326</v>
      </c>
    </row>
    <row r="79" customFormat="false" ht="15" hidden="false" customHeight="true" outlineLevel="0" collapsed="false">
      <c r="A79" s="47" t="n">
        <v>4224320</v>
      </c>
      <c r="B79" s="47" t="s">
        <v>394</v>
      </c>
      <c r="C79" s="47" t="n">
        <v>2026</v>
      </c>
      <c r="D79" s="48" t="n">
        <v>82</v>
      </c>
      <c r="E79" s="48" t="n">
        <v>7</v>
      </c>
      <c r="F79" s="49" t="n">
        <v>11.7142857142857</v>
      </c>
      <c r="G79" s="47" t="s">
        <v>341</v>
      </c>
    </row>
    <row r="80" customFormat="false" ht="15" hidden="false" customHeight="true" outlineLevel="0" collapsed="false">
      <c r="A80" s="51" t="n">
        <v>3668640</v>
      </c>
      <c r="B80" s="51" t="s">
        <v>395</v>
      </c>
      <c r="C80" s="51" t="n">
        <v>2026</v>
      </c>
      <c r="D80" s="52" t="n">
        <v>4130</v>
      </c>
      <c r="E80" s="52" t="n">
        <v>97</v>
      </c>
      <c r="F80" s="53" t="n">
        <v>42.5773195876289</v>
      </c>
      <c r="G80" s="51" t="s">
        <v>318</v>
      </c>
    </row>
    <row r="81" customFormat="false" ht="15" hidden="false" customHeight="true" outlineLevel="0" collapsed="false">
      <c r="A81" s="47" t="n">
        <v>2797340</v>
      </c>
      <c r="B81" s="47" t="s">
        <v>254</v>
      </c>
      <c r="C81" s="47" t="n">
        <v>2024</v>
      </c>
      <c r="D81" s="48" t="n">
        <v>226696</v>
      </c>
      <c r="E81" s="48" t="n">
        <v>2204</v>
      </c>
      <c r="F81" s="49" t="n">
        <v>102.856624319419</v>
      </c>
      <c r="G81" s="47" t="s">
        <v>326</v>
      </c>
    </row>
    <row r="82" customFormat="false" ht="15" hidden="false" customHeight="true" outlineLevel="0" collapsed="false">
      <c r="A82" s="51" t="n">
        <v>3650350</v>
      </c>
      <c r="B82" s="51" t="s">
        <v>396</v>
      </c>
      <c r="C82" s="51" t="n">
        <v>2026</v>
      </c>
      <c r="D82" s="52" t="n">
        <v>23</v>
      </c>
      <c r="E82" s="52" t="n">
        <v>2</v>
      </c>
      <c r="F82" s="53" t="n">
        <v>11.5</v>
      </c>
      <c r="G82" s="51" t="s">
        <v>383</v>
      </c>
    </row>
    <row r="83" customFormat="false" ht="15" hidden="false" customHeight="true" outlineLevel="0" collapsed="false">
      <c r="A83" s="47" t="n">
        <v>2190400</v>
      </c>
      <c r="B83" s="47" t="s">
        <v>397</v>
      </c>
      <c r="C83" s="47" t="n">
        <v>2024</v>
      </c>
      <c r="D83" s="48" t="n">
        <v>6458</v>
      </c>
      <c r="E83" s="48" t="n">
        <v>166</v>
      </c>
      <c r="F83" s="49" t="n">
        <v>38.9036144578313</v>
      </c>
      <c r="G83" s="47" t="s">
        <v>318</v>
      </c>
    </row>
    <row r="84" customFormat="false" ht="15" hidden="false" customHeight="true" outlineLevel="0" collapsed="false">
      <c r="A84" s="51" t="n">
        <v>3226660</v>
      </c>
      <c r="B84" s="51" t="s">
        <v>398</v>
      </c>
      <c r="C84" s="51" t="n">
        <v>2026</v>
      </c>
      <c r="D84" s="52" t="n">
        <v>417</v>
      </c>
      <c r="E84" s="52" t="n">
        <v>51</v>
      </c>
      <c r="F84" s="53" t="n">
        <v>8.17647058823529</v>
      </c>
      <c r="G84" s="51" t="s">
        <v>326</v>
      </c>
    </row>
    <row r="85" customFormat="false" ht="15" hidden="false" customHeight="true" outlineLevel="0" collapsed="false">
      <c r="A85" s="47" t="n">
        <v>2452820</v>
      </c>
      <c r="B85" s="47" t="s">
        <v>399</v>
      </c>
      <c r="C85" s="47" t="n">
        <v>2025</v>
      </c>
      <c r="D85" s="48" t="n">
        <v>2745</v>
      </c>
      <c r="E85" s="48" t="n">
        <v>137</v>
      </c>
      <c r="F85" s="49" t="n">
        <v>20.036496350365</v>
      </c>
      <c r="G85" s="47" t="s">
        <v>326</v>
      </c>
    </row>
    <row r="86" customFormat="false" ht="15" hidden="false" customHeight="true" outlineLevel="0" collapsed="false">
      <c r="A86" s="51" t="n">
        <v>3966510</v>
      </c>
      <c r="B86" s="51" t="s">
        <v>400</v>
      </c>
      <c r="C86" s="51" t="n">
        <v>2026</v>
      </c>
      <c r="D86" s="52" t="n">
        <v>23229</v>
      </c>
      <c r="E86" s="52" t="n">
        <v>483</v>
      </c>
      <c r="F86" s="53" t="n">
        <v>48.0931677018634</v>
      </c>
      <c r="G86" s="51" t="s">
        <v>326</v>
      </c>
    </row>
    <row r="87" customFormat="false" ht="15" hidden="false" customHeight="true" outlineLevel="0" collapsed="false">
      <c r="A87" s="47" t="n">
        <v>3656560</v>
      </c>
      <c r="B87" s="47" t="s">
        <v>401</v>
      </c>
      <c r="C87" s="47" t="n">
        <v>2026</v>
      </c>
      <c r="D87" s="48" t="n">
        <v>1726</v>
      </c>
      <c r="E87" s="48" t="n">
        <v>58</v>
      </c>
      <c r="F87" s="49" t="n">
        <v>29.7586206896552</v>
      </c>
      <c r="G87" s="47" t="s">
        <v>326</v>
      </c>
    </row>
    <row r="88" customFormat="false" ht="15" hidden="false" customHeight="true" outlineLevel="0" collapsed="false">
      <c r="A88" s="51" t="n">
        <v>3609280</v>
      </c>
      <c r="B88" s="51" t="s">
        <v>402</v>
      </c>
      <c r="C88" s="51" t="n">
        <v>2026</v>
      </c>
      <c r="D88" s="52" t="n">
        <v>1</v>
      </c>
      <c r="E88" s="52" t="n">
        <v>2</v>
      </c>
      <c r="F88" s="53" t="n">
        <v>0.5</v>
      </c>
      <c r="G88" s="51" t="s">
        <v>383</v>
      </c>
    </row>
    <row r="89" customFormat="false" ht="15" hidden="false" customHeight="true" outlineLevel="0" collapsed="false">
      <c r="A89" s="47" t="n">
        <v>4537600</v>
      </c>
      <c r="B89" s="47" t="s">
        <v>403</v>
      </c>
      <c r="C89" s="47" t="n">
        <v>2026</v>
      </c>
      <c r="D89" s="48" t="n">
        <v>336</v>
      </c>
      <c r="E89" s="48" t="n">
        <v>20</v>
      </c>
      <c r="F89" s="49" t="n">
        <v>16.8</v>
      </c>
      <c r="G89" s="47" t="s">
        <v>309</v>
      </c>
    </row>
    <row r="90" customFormat="false" ht="15" hidden="false" customHeight="true" outlineLevel="0" collapsed="false">
      <c r="A90" s="51" t="n">
        <v>1492150</v>
      </c>
      <c r="B90" s="51" t="s">
        <v>404</v>
      </c>
      <c r="C90" s="51" t="n">
        <v>2023</v>
      </c>
      <c r="D90" s="52" t="n">
        <v>2058</v>
      </c>
      <c r="E90" s="52" t="n">
        <v>49</v>
      </c>
      <c r="F90" s="53" t="n">
        <v>42</v>
      </c>
      <c r="G90" s="51" t="s">
        <v>318</v>
      </c>
    </row>
    <row r="91" customFormat="false" ht="15" hidden="false" customHeight="true" outlineLevel="0" collapsed="false">
      <c r="A91" s="47" t="n">
        <v>3112170</v>
      </c>
      <c r="B91" s="47" t="s">
        <v>405</v>
      </c>
      <c r="C91" s="47" t="n">
        <v>2025</v>
      </c>
      <c r="D91" s="48" t="n">
        <v>7544</v>
      </c>
      <c r="E91" s="48" t="n">
        <v>290</v>
      </c>
      <c r="F91" s="49" t="n">
        <v>26.0137931034483</v>
      </c>
      <c r="G91" s="47" t="s">
        <v>318</v>
      </c>
    </row>
    <row r="92" customFormat="false" ht="15" hidden="false" customHeight="true" outlineLevel="0" collapsed="false">
      <c r="A92" s="51" t="n">
        <v>3963750</v>
      </c>
      <c r="B92" s="51" t="s">
        <v>406</v>
      </c>
      <c r="C92" s="51" t="n">
        <v>2025</v>
      </c>
      <c r="D92" s="52" t="n">
        <v>120</v>
      </c>
      <c r="E92" s="52" t="n">
        <v>12</v>
      </c>
      <c r="F92" s="53" t="n">
        <v>10</v>
      </c>
      <c r="G92" s="51" t="s">
        <v>309</v>
      </c>
    </row>
    <row r="93" customFormat="false" ht="15" hidden="false" customHeight="true" outlineLevel="0" collapsed="false">
      <c r="A93" s="47" t="n">
        <v>2945350</v>
      </c>
      <c r="B93" s="47" t="s">
        <v>407</v>
      </c>
      <c r="C93" s="47" t="n">
        <v>2024</v>
      </c>
      <c r="D93" s="48" t="n">
        <v>340</v>
      </c>
      <c r="E93" s="48" t="n">
        <v>25</v>
      </c>
      <c r="F93" s="49" t="n">
        <v>13.6</v>
      </c>
      <c r="G93" s="47" t="s">
        <v>309</v>
      </c>
    </row>
    <row r="94" customFormat="false" ht="15" hidden="false" customHeight="true" outlineLevel="0" collapsed="false">
      <c r="A94" s="51" t="n">
        <v>1660290</v>
      </c>
      <c r="B94" s="51" t="s">
        <v>408</v>
      </c>
      <c r="C94" s="51" t="n">
        <v>2021</v>
      </c>
      <c r="D94" s="52" t="n">
        <v>11627</v>
      </c>
      <c r="E94" s="52" t="n">
        <v>205</v>
      </c>
      <c r="F94" s="53" t="n">
        <v>56.7170731707317</v>
      </c>
      <c r="G94" s="51" t="s">
        <v>326</v>
      </c>
    </row>
    <row r="95" customFormat="false" ht="15" hidden="false" customHeight="true" outlineLevel="0" collapsed="false">
      <c r="A95" s="47" t="n">
        <v>2748770</v>
      </c>
      <c r="B95" s="47" t="s">
        <v>409</v>
      </c>
      <c r="C95" s="47" t="n">
        <v>2026</v>
      </c>
      <c r="D95" s="48" t="n">
        <v>207</v>
      </c>
      <c r="E95" s="48" t="n">
        <v>7</v>
      </c>
      <c r="F95" s="49" t="n">
        <v>29.5714285714286</v>
      </c>
      <c r="G95" s="47" t="s">
        <v>341</v>
      </c>
    </row>
    <row r="96" customFormat="false" ht="15" hidden="false" customHeight="true" outlineLevel="0" collapsed="false">
      <c r="A96" s="51" t="n">
        <v>3166810</v>
      </c>
      <c r="B96" s="51" t="s">
        <v>410</v>
      </c>
      <c r="C96" s="51" t="n">
        <v>2026</v>
      </c>
      <c r="D96" s="52" t="n">
        <v>73190</v>
      </c>
      <c r="E96" s="52" t="n">
        <v>649</v>
      </c>
      <c r="F96" s="53" t="n">
        <v>112.773497688752</v>
      </c>
      <c r="G96" s="51" t="s">
        <v>326</v>
      </c>
    </row>
    <row r="97" customFormat="false" ht="15" hidden="false" customHeight="true" outlineLevel="0" collapsed="false">
      <c r="A97" s="47" t="n">
        <v>3319720</v>
      </c>
      <c r="B97" s="47" t="s">
        <v>411</v>
      </c>
      <c r="C97" s="47" t="n">
        <v>2025</v>
      </c>
      <c r="D97" s="48" t="n">
        <v>310</v>
      </c>
      <c r="E97" s="48" t="n">
        <v>27</v>
      </c>
      <c r="F97" s="49" t="n">
        <v>11.4814814814815</v>
      </c>
      <c r="G97" s="47" t="s">
        <v>309</v>
      </c>
    </row>
    <row r="98" customFormat="false" ht="15" hidden="false" customHeight="true" outlineLevel="0" collapsed="false">
      <c r="A98" s="51" t="n">
        <v>3298430</v>
      </c>
      <c r="B98" s="51" t="s">
        <v>412</v>
      </c>
      <c r="C98" s="51" t="n">
        <v>2026</v>
      </c>
      <c r="D98" s="52" t="n">
        <v>1406</v>
      </c>
      <c r="E98" s="52" t="n">
        <v>64</v>
      </c>
      <c r="F98" s="53" t="n">
        <v>21.96875</v>
      </c>
      <c r="G98" s="51" t="s">
        <v>318</v>
      </c>
    </row>
    <row r="99" customFormat="false" ht="15" hidden="false" customHeight="true" outlineLevel="0" collapsed="false">
      <c r="A99" s="47" t="n">
        <v>3546440</v>
      </c>
      <c r="B99" s="47" t="s">
        <v>413</v>
      </c>
      <c r="C99" s="47" t="n">
        <v>2025</v>
      </c>
      <c r="D99" s="48" t="n">
        <v>22865</v>
      </c>
      <c r="E99" s="48" t="n">
        <v>411</v>
      </c>
      <c r="F99" s="49" t="n">
        <v>55.632603406326</v>
      </c>
      <c r="G99" s="47" t="s">
        <v>318</v>
      </c>
    </row>
    <row r="100" customFormat="false" ht="15" hidden="false" customHeight="true" outlineLevel="0" collapsed="false">
      <c r="A100" s="51" t="n">
        <v>2906730</v>
      </c>
      <c r="B100" s="51" t="s">
        <v>414</v>
      </c>
      <c r="C100" s="51" t="n">
        <v>2025</v>
      </c>
      <c r="D100" s="52" t="n">
        <v>1057</v>
      </c>
      <c r="E100" s="52" t="n">
        <v>35</v>
      </c>
      <c r="F100" s="53" t="n">
        <v>30.2</v>
      </c>
      <c r="G100" s="51" t="s">
        <v>309</v>
      </c>
    </row>
    <row r="101" customFormat="false" ht="15" hidden="false" customHeight="true" outlineLevel="0" collapsed="false">
      <c r="A101" s="47" t="n">
        <v>1635710</v>
      </c>
      <c r="B101" s="47" t="s">
        <v>415</v>
      </c>
      <c r="C101" s="47" t="n">
        <v>2025</v>
      </c>
      <c r="D101" s="48" t="n">
        <v>385</v>
      </c>
      <c r="E101" s="48" t="n">
        <v>36</v>
      </c>
      <c r="F101" s="49" t="n">
        <v>10.6944444444444</v>
      </c>
      <c r="G101" s="47" t="s">
        <v>309</v>
      </c>
    </row>
    <row r="102" customFormat="false" ht="15" hidden="false" customHeight="true" outlineLevel="0" collapsed="false">
      <c r="A102" s="51" t="n">
        <v>5259200</v>
      </c>
      <c r="B102" s="51" t="s">
        <v>416</v>
      </c>
      <c r="C102" s="51" t="n">
        <v>2026</v>
      </c>
      <c r="D102" s="52" t="n">
        <v>1</v>
      </c>
      <c r="E102" s="52" t="n">
        <v>0</v>
      </c>
      <c r="F102" s="53" t="n">
        <v>0</v>
      </c>
      <c r="G102" s="51" t="s">
        <v>347</v>
      </c>
    </row>
    <row r="103" customFormat="false" ht="15" hidden="false" customHeight="true" outlineLevel="0" collapsed="false">
      <c r="A103" s="47" t="n">
        <v>3576520</v>
      </c>
      <c r="B103" s="47" t="s">
        <v>417</v>
      </c>
      <c r="C103" s="47" t="n">
        <v>2026</v>
      </c>
      <c r="D103" s="48" t="n">
        <v>2901</v>
      </c>
      <c r="E103" s="48" t="n">
        <v>135</v>
      </c>
      <c r="F103" s="49" t="n">
        <v>21.4888888888889</v>
      </c>
      <c r="G103" s="47" t="s">
        <v>318</v>
      </c>
    </row>
    <row r="104" customFormat="false" ht="15" hidden="false" customHeight="true" outlineLevel="0" collapsed="false">
      <c r="A104" s="51" t="n">
        <v>3160090</v>
      </c>
      <c r="B104" s="51" t="s">
        <v>418</v>
      </c>
      <c r="C104" s="51" t="n">
        <v>2026</v>
      </c>
      <c r="D104" s="52" t="n">
        <v>18401</v>
      </c>
      <c r="E104" s="52" t="n">
        <v>332</v>
      </c>
      <c r="F104" s="53" t="n">
        <v>55.4246987951807</v>
      </c>
      <c r="G104" s="51" t="s">
        <v>326</v>
      </c>
    </row>
    <row r="105" customFormat="false" ht="15" hidden="false" customHeight="true" outlineLevel="0" collapsed="false">
      <c r="A105" s="47" t="n">
        <v>3656680</v>
      </c>
      <c r="B105" s="47" t="s">
        <v>419</v>
      </c>
      <c r="C105" s="47" t="n">
        <v>2025</v>
      </c>
      <c r="D105" s="48" t="n">
        <v>4028</v>
      </c>
      <c r="E105" s="48" t="n">
        <v>181</v>
      </c>
      <c r="F105" s="49" t="n">
        <v>22.2541436464088</v>
      </c>
      <c r="G105" s="47" t="s">
        <v>326</v>
      </c>
    </row>
    <row r="106" customFormat="false" ht="15" hidden="false" customHeight="true" outlineLevel="0" collapsed="false">
      <c r="A106" s="51" t="n">
        <v>4718270</v>
      </c>
      <c r="B106" s="51" t="s">
        <v>420</v>
      </c>
      <c r="C106" s="51" t="n">
        <v>2026</v>
      </c>
      <c r="D106" s="52" t="n">
        <v>161</v>
      </c>
      <c r="E106" s="52" t="n">
        <v>9</v>
      </c>
      <c r="F106" s="53" t="n">
        <v>17.8888888888889</v>
      </c>
      <c r="G106" s="51" t="s">
        <v>321</v>
      </c>
    </row>
    <row r="107" customFormat="false" ht="15" hidden="false" customHeight="true" outlineLevel="0" collapsed="false">
      <c r="A107" s="47" t="n">
        <v>3726730</v>
      </c>
      <c r="B107" s="47" t="s">
        <v>421</v>
      </c>
      <c r="C107" s="47" t="n">
        <v>2026</v>
      </c>
      <c r="D107" s="48" t="n">
        <v>1647</v>
      </c>
      <c r="E107" s="48" t="n">
        <v>114</v>
      </c>
      <c r="F107" s="49" t="n">
        <v>14.4473684210526</v>
      </c>
      <c r="G107" s="47" t="s">
        <v>326</v>
      </c>
    </row>
    <row r="108" customFormat="false" ht="15" hidden="false" customHeight="true" outlineLevel="0" collapsed="false">
      <c r="A108" s="51" t="n">
        <v>1913420</v>
      </c>
      <c r="B108" s="51" t="s">
        <v>422</v>
      </c>
      <c r="C108" s="51" t="n">
        <v>2023</v>
      </c>
      <c r="D108" s="52" t="n">
        <v>15420</v>
      </c>
      <c r="E108" s="52" t="n">
        <v>394</v>
      </c>
      <c r="F108" s="53" t="n">
        <v>39.1370558375635</v>
      </c>
      <c r="G108" s="51" t="s">
        <v>326</v>
      </c>
    </row>
    <row r="109" customFormat="false" ht="15" hidden="false" customHeight="true" outlineLevel="0" collapsed="false">
      <c r="A109" s="47" t="n">
        <v>2924580</v>
      </c>
      <c r="B109" s="47" t="s">
        <v>423</v>
      </c>
      <c r="C109" s="47" t="n">
        <v>2025</v>
      </c>
      <c r="D109" s="48" t="n">
        <v>2112</v>
      </c>
      <c r="E109" s="48" t="n">
        <v>86</v>
      </c>
      <c r="F109" s="49" t="n">
        <v>24.5581395348837</v>
      </c>
      <c r="G109" s="47" t="s">
        <v>326</v>
      </c>
    </row>
    <row r="110" customFormat="false" ht="15" hidden="false" customHeight="true" outlineLevel="0" collapsed="false">
      <c r="A110" s="51" t="n">
        <v>3962850</v>
      </c>
      <c r="B110" s="51" t="s">
        <v>424</v>
      </c>
      <c r="C110" s="51" t="n">
        <v>2026</v>
      </c>
      <c r="D110" s="52" t="n">
        <v>30</v>
      </c>
      <c r="E110" s="52" t="n">
        <v>3</v>
      </c>
      <c r="F110" s="53" t="n">
        <v>10</v>
      </c>
      <c r="G110" s="51" t="s">
        <v>338</v>
      </c>
    </row>
    <row r="111" customFormat="false" ht="15" hidden="false" customHeight="true" outlineLevel="0" collapsed="false">
      <c r="A111" s="47" t="n">
        <v>2946260</v>
      </c>
      <c r="B111" s="47" t="s">
        <v>425</v>
      </c>
      <c r="C111" s="47" t="n">
        <v>2024</v>
      </c>
      <c r="D111" s="48" t="n">
        <v>1082</v>
      </c>
      <c r="E111" s="48" t="n">
        <v>28</v>
      </c>
      <c r="F111" s="49" t="n">
        <v>38.6428571428572</v>
      </c>
      <c r="G111" s="47" t="s">
        <v>309</v>
      </c>
    </row>
    <row r="112" customFormat="false" ht="15" hidden="false" customHeight="true" outlineLevel="0" collapsed="false">
      <c r="A112" s="51" t="n">
        <v>2837790</v>
      </c>
      <c r="B112" s="51" t="s">
        <v>426</v>
      </c>
      <c r="C112" s="51" t="n">
        <v>2026</v>
      </c>
      <c r="D112" s="52" t="n">
        <v>5653</v>
      </c>
      <c r="E112" s="52" t="n">
        <v>93</v>
      </c>
      <c r="F112" s="53" t="n">
        <v>60.7849462365591</v>
      </c>
      <c r="G112" s="51" t="s">
        <v>326</v>
      </c>
    </row>
    <row r="113" customFormat="false" ht="15" hidden="false" customHeight="true" outlineLevel="0" collapsed="false">
      <c r="A113" s="47" t="n">
        <v>3879840</v>
      </c>
      <c r="B113" s="47" t="s">
        <v>427</v>
      </c>
      <c r="C113" s="47" t="n">
        <v>2026</v>
      </c>
      <c r="D113" s="48" t="n">
        <v>1</v>
      </c>
      <c r="E113" s="48" t="n">
        <v>0</v>
      </c>
      <c r="F113" s="49" t="n">
        <v>0</v>
      </c>
      <c r="G113" s="47" t="s">
        <v>347</v>
      </c>
    </row>
    <row r="114" customFormat="false" ht="15" hidden="false" customHeight="true" outlineLevel="0" collapsed="false">
      <c r="A114" s="51" t="n">
        <v>3885520</v>
      </c>
      <c r="B114" s="51" t="s">
        <v>428</v>
      </c>
      <c r="C114" s="51" t="n">
        <v>2025</v>
      </c>
      <c r="D114" s="52" t="n">
        <v>4577</v>
      </c>
      <c r="E114" s="52" t="n">
        <v>134</v>
      </c>
      <c r="F114" s="53" t="n">
        <v>34.1567164179105</v>
      </c>
      <c r="G114" s="51" t="s">
        <v>326</v>
      </c>
    </row>
    <row r="115" customFormat="false" ht="15" hidden="false" customHeight="true" outlineLevel="0" collapsed="false">
      <c r="A115" s="47" t="n">
        <v>2056210</v>
      </c>
      <c r="B115" s="47" t="s">
        <v>429</v>
      </c>
      <c r="C115" s="47" t="n">
        <v>2025</v>
      </c>
      <c r="D115" s="48" t="n">
        <v>162587</v>
      </c>
      <c r="E115" s="48" t="n">
        <v>2459</v>
      </c>
      <c r="F115" s="49" t="n">
        <v>66.1191541276942</v>
      </c>
      <c r="G115" s="47" t="s">
        <v>326</v>
      </c>
    </row>
    <row r="116" customFormat="false" ht="15" hidden="false" customHeight="true" outlineLevel="0" collapsed="false">
      <c r="A116" s="51" t="n">
        <v>4637960</v>
      </c>
      <c r="B116" s="51" t="s">
        <v>430</v>
      </c>
      <c r="C116" s="51" t="n">
        <v>2026</v>
      </c>
      <c r="D116" s="52" t="n">
        <v>85</v>
      </c>
      <c r="E116" s="52" t="n">
        <v>6</v>
      </c>
      <c r="F116" s="53" t="n">
        <v>14.1666666666667</v>
      </c>
      <c r="G116" s="51" t="s">
        <v>368</v>
      </c>
    </row>
    <row r="117" customFormat="false" ht="15" hidden="false" customHeight="true" outlineLevel="0" collapsed="false">
      <c r="A117" s="47" t="n">
        <v>1937110</v>
      </c>
      <c r="B117" s="47" t="s">
        <v>431</v>
      </c>
      <c r="C117" s="47" t="n">
        <v>2024</v>
      </c>
      <c r="D117" s="48" t="n">
        <v>2258</v>
      </c>
      <c r="E117" s="48" t="n">
        <v>63</v>
      </c>
      <c r="F117" s="49" t="n">
        <v>35.8412698412698</v>
      </c>
      <c r="G117" s="47" t="s">
        <v>318</v>
      </c>
    </row>
    <row r="118" customFormat="false" ht="15" hidden="false" customHeight="true" outlineLevel="0" collapsed="false">
      <c r="A118" s="51" t="n">
        <v>4571100</v>
      </c>
      <c r="B118" s="51" t="s">
        <v>432</v>
      </c>
      <c r="C118" s="51" t="n">
        <v>2026</v>
      </c>
      <c r="D118" s="52" t="n">
        <v>49</v>
      </c>
      <c r="E118" s="52" t="n">
        <v>5</v>
      </c>
      <c r="F118" s="53" t="n">
        <v>9.8</v>
      </c>
      <c r="G118" s="51" t="s">
        <v>356</v>
      </c>
    </row>
    <row r="119" customFormat="false" ht="15" hidden="false" customHeight="true" outlineLevel="0" collapsed="false">
      <c r="A119" s="47" t="n">
        <v>4300180</v>
      </c>
      <c r="B119" s="47" t="s">
        <v>433</v>
      </c>
      <c r="C119" s="47" t="n">
        <v>2026</v>
      </c>
      <c r="D119" s="48" t="n">
        <v>633</v>
      </c>
      <c r="E119" s="48" t="n">
        <v>46</v>
      </c>
      <c r="F119" s="49" t="n">
        <v>13.7608695652174</v>
      </c>
      <c r="G119" s="47" t="s">
        <v>309</v>
      </c>
    </row>
    <row r="120" customFormat="false" ht="15" hidden="false" customHeight="true" outlineLevel="0" collapsed="false">
      <c r="A120" s="51" t="n">
        <v>2372240</v>
      </c>
      <c r="B120" s="51" t="s">
        <v>434</v>
      </c>
      <c r="C120" s="51" t="n">
        <v>2026</v>
      </c>
      <c r="D120" s="52" t="n">
        <v>11711</v>
      </c>
      <c r="E120" s="52" t="n">
        <v>172</v>
      </c>
      <c r="F120" s="53" t="n">
        <v>68.0872093023256</v>
      </c>
      <c r="G120" s="51" t="s">
        <v>326</v>
      </c>
    </row>
    <row r="121" customFormat="false" ht="15" hidden="false" customHeight="true" outlineLevel="0" collapsed="false">
      <c r="A121" s="47" t="n">
        <v>2216700</v>
      </c>
      <c r="B121" s="47" t="s">
        <v>435</v>
      </c>
      <c r="C121" s="47" t="n">
        <v>2023</v>
      </c>
      <c r="D121" s="48" t="n">
        <v>166</v>
      </c>
      <c r="E121" s="48" t="n">
        <v>8</v>
      </c>
      <c r="F121" s="49" t="n">
        <v>20.75</v>
      </c>
      <c r="G121" s="47" t="s">
        <v>376</v>
      </c>
    </row>
    <row r="122" customFormat="false" ht="15" hidden="false" customHeight="true" outlineLevel="0" collapsed="false">
      <c r="A122" s="51" t="n">
        <v>3856460</v>
      </c>
      <c r="B122" s="51" t="s">
        <v>436</v>
      </c>
      <c r="C122" s="51" t="n">
        <v>2026</v>
      </c>
      <c r="D122" s="52" t="n">
        <v>27301</v>
      </c>
      <c r="E122" s="52" t="n">
        <v>760</v>
      </c>
      <c r="F122" s="53" t="n">
        <v>35.9223684210526</v>
      </c>
      <c r="G122" s="51" t="s">
        <v>333</v>
      </c>
    </row>
    <row r="123" customFormat="false" ht="15" hidden="false" customHeight="true" outlineLevel="0" collapsed="false">
      <c r="A123" s="47" t="n">
        <v>2997060</v>
      </c>
      <c r="B123" s="47" t="s">
        <v>437</v>
      </c>
      <c r="C123" s="47" t="n">
        <v>2025</v>
      </c>
      <c r="D123" s="48" t="n">
        <v>788</v>
      </c>
      <c r="E123" s="48" t="n">
        <v>45</v>
      </c>
      <c r="F123" s="49" t="n">
        <v>17.5111111111111</v>
      </c>
      <c r="G123" s="47" t="s">
        <v>309</v>
      </c>
    </row>
    <row r="124" customFormat="false" ht="15" hidden="false" customHeight="true" outlineLevel="0" collapsed="false">
      <c r="A124" s="51" t="n">
        <v>4638590</v>
      </c>
      <c r="B124" s="51" t="s">
        <v>438</v>
      </c>
      <c r="C124" s="51" t="n">
        <v>2026</v>
      </c>
      <c r="D124" s="52" t="n">
        <v>206</v>
      </c>
      <c r="E124" s="52" t="n">
        <v>14</v>
      </c>
      <c r="F124" s="53" t="n">
        <v>14.7142857142857</v>
      </c>
      <c r="G124" s="51" t="s">
        <v>309</v>
      </c>
    </row>
    <row r="125" customFormat="false" ht="15" hidden="false" customHeight="true" outlineLevel="0" collapsed="false">
      <c r="A125" s="47" t="n">
        <v>5222500</v>
      </c>
      <c r="B125" s="47" t="s">
        <v>439</v>
      </c>
      <c r="C125" s="47" t="n">
        <v>2026</v>
      </c>
      <c r="D125" s="48" t="n">
        <v>15</v>
      </c>
      <c r="E125" s="48" t="n">
        <v>1</v>
      </c>
      <c r="F125" s="49" t="n">
        <v>15</v>
      </c>
      <c r="G125" s="47" t="s">
        <v>358</v>
      </c>
    </row>
    <row r="126" customFormat="false" ht="15" hidden="false" customHeight="true" outlineLevel="0" collapsed="false">
      <c r="A126" s="51" t="n">
        <v>3007390</v>
      </c>
      <c r="B126" s="51" t="s">
        <v>440</v>
      </c>
      <c r="C126" s="51" t="n">
        <v>2024</v>
      </c>
      <c r="D126" s="52" t="n">
        <v>663</v>
      </c>
      <c r="E126" s="52" t="n">
        <v>33</v>
      </c>
      <c r="F126" s="53" t="n">
        <v>20.0909090909091</v>
      </c>
      <c r="G126" s="51" t="s">
        <v>309</v>
      </c>
    </row>
    <row r="127" customFormat="false" ht="15" hidden="false" customHeight="true" outlineLevel="0" collapsed="false">
      <c r="A127" s="47" t="n">
        <v>2954010</v>
      </c>
      <c r="B127" s="47" t="s">
        <v>441</v>
      </c>
      <c r="C127" s="47" t="n">
        <v>2026</v>
      </c>
      <c r="D127" s="48" t="n">
        <v>7249</v>
      </c>
      <c r="E127" s="48" t="n">
        <v>289</v>
      </c>
      <c r="F127" s="49" t="n">
        <v>25.083044982699</v>
      </c>
      <c r="G127" s="47" t="s">
        <v>326</v>
      </c>
    </row>
    <row r="128" customFormat="false" ht="15" hidden="false" customHeight="true" outlineLevel="0" collapsed="false">
      <c r="A128" s="51" t="n">
        <v>3498550</v>
      </c>
      <c r="B128" s="51" t="s">
        <v>442</v>
      </c>
      <c r="C128" s="51" t="n">
        <v>2025</v>
      </c>
      <c r="D128" s="52" t="n">
        <v>30</v>
      </c>
      <c r="E128" s="52" t="n">
        <v>1</v>
      </c>
      <c r="F128" s="53" t="n">
        <v>30</v>
      </c>
      <c r="G128" s="51" t="s">
        <v>358</v>
      </c>
    </row>
    <row r="129" customFormat="false" ht="15" hidden="false" customHeight="true" outlineLevel="0" collapsed="false">
      <c r="A129" s="47" t="n">
        <v>3634010</v>
      </c>
      <c r="B129" s="47" t="s">
        <v>443</v>
      </c>
      <c r="C129" s="47" t="n">
        <v>2026</v>
      </c>
      <c r="D129" s="48" t="n">
        <v>2832</v>
      </c>
      <c r="E129" s="48" t="n">
        <v>70</v>
      </c>
      <c r="F129" s="49" t="n">
        <v>40.4571428571429</v>
      </c>
      <c r="G129" s="47" t="s">
        <v>326</v>
      </c>
    </row>
    <row r="130" customFormat="false" ht="15" hidden="false" customHeight="true" outlineLevel="0" collapsed="false">
      <c r="A130" s="51" t="n">
        <v>3843360</v>
      </c>
      <c r="B130" s="51" t="s">
        <v>444</v>
      </c>
      <c r="C130" s="51" t="n">
        <v>2026</v>
      </c>
      <c r="D130" s="52" t="n">
        <v>4206</v>
      </c>
      <c r="E130" s="52" t="n">
        <v>92</v>
      </c>
      <c r="F130" s="53" t="n">
        <v>45.7173913043478</v>
      </c>
      <c r="G130" s="51" t="s">
        <v>326</v>
      </c>
    </row>
    <row r="131" customFormat="false" ht="15" hidden="false" customHeight="true" outlineLevel="0" collapsed="false">
      <c r="A131" s="47" t="n">
        <v>3453330</v>
      </c>
      <c r="B131" s="47" t="s">
        <v>445</v>
      </c>
      <c r="C131" s="47" t="n">
        <v>2025</v>
      </c>
      <c r="D131" s="48" t="n">
        <v>646</v>
      </c>
      <c r="E131" s="48" t="n">
        <v>23</v>
      </c>
      <c r="F131" s="49" t="n">
        <v>28.0869565217391</v>
      </c>
      <c r="G131" s="47" t="s">
        <v>313</v>
      </c>
    </row>
    <row r="132" customFormat="false" ht="15" hidden="false" customHeight="true" outlineLevel="0" collapsed="false">
      <c r="A132" s="51" t="n">
        <v>2666230</v>
      </c>
      <c r="B132" s="51" t="s">
        <v>446</v>
      </c>
      <c r="C132" s="51" t="n">
        <v>2024</v>
      </c>
      <c r="D132" s="52" t="n">
        <v>8942</v>
      </c>
      <c r="E132" s="52" t="n">
        <v>172</v>
      </c>
      <c r="F132" s="53" t="n">
        <v>51.9883720930233</v>
      </c>
      <c r="G132" s="51" t="s">
        <v>318</v>
      </c>
    </row>
    <row r="133" customFormat="false" ht="15" hidden="false" customHeight="true" outlineLevel="0" collapsed="false">
      <c r="A133" s="47" t="n">
        <v>1996430</v>
      </c>
      <c r="B133" s="47" t="s">
        <v>447</v>
      </c>
      <c r="C133" s="47" t="n">
        <v>2024</v>
      </c>
      <c r="D133" s="48" t="n">
        <v>67082</v>
      </c>
      <c r="E133" s="48" t="n">
        <v>1141</v>
      </c>
      <c r="F133" s="49" t="n">
        <v>58.7922874671341</v>
      </c>
      <c r="G133" s="47" t="s">
        <v>326</v>
      </c>
    </row>
    <row r="134" customFormat="false" ht="15" hidden="false" customHeight="true" outlineLevel="0" collapsed="false">
      <c r="A134" s="51" t="n">
        <v>2356780</v>
      </c>
      <c r="B134" s="51" t="s">
        <v>230</v>
      </c>
      <c r="C134" s="51" t="n">
        <v>2026</v>
      </c>
      <c r="D134" s="52" t="n">
        <v>385291</v>
      </c>
      <c r="E134" s="52" t="n">
        <v>4051</v>
      </c>
      <c r="F134" s="53" t="n">
        <v>95.1100962725253</v>
      </c>
      <c r="G134" s="51" t="s">
        <v>326</v>
      </c>
    </row>
    <row r="135" customFormat="false" ht="15" hidden="false" customHeight="true" outlineLevel="0" collapsed="false">
      <c r="A135" s="47" t="n">
        <v>3541000</v>
      </c>
      <c r="B135" s="47" t="s">
        <v>448</v>
      </c>
      <c r="C135" s="47" t="n">
        <v>2026</v>
      </c>
      <c r="D135" s="48" t="n">
        <v>873</v>
      </c>
      <c r="E135" s="48" t="n">
        <v>45</v>
      </c>
      <c r="F135" s="49" t="n">
        <v>19.4</v>
      </c>
      <c r="G135" s="47" t="s">
        <v>313</v>
      </c>
    </row>
    <row r="136" customFormat="false" ht="15" hidden="false" customHeight="true" outlineLevel="0" collapsed="false">
      <c r="A136" s="51" t="n">
        <v>2095290</v>
      </c>
      <c r="B136" s="51" t="s">
        <v>449</v>
      </c>
      <c r="C136" s="51" t="n">
        <v>2023</v>
      </c>
      <c r="D136" s="52" t="n">
        <v>17333</v>
      </c>
      <c r="E136" s="52" t="n">
        <v>371</v>
      </c>
      <c r="F136" s="53" t="n">
        <v>46.7196765498652</v>
      </c>
      <c r="G136" s="51" t="s">
        <v>313</v>
      </c>
    </row>
    <row r="137" customFormat="false" ht="15" hidden="false" customHeight="true" outlineLevel="0" collapsed="false">
      <c r="A137" s="47" t="n">
        <v>2071430</v>
      </c>
      <c r="B137" s="47" t="s">
        <v>450</v>
      </c>
      <c r="C137" s="47" t="n">
        <v>2024</v>
      </c>
      <c r="D137" s="48" t="n">
        <v>19447</v>
      </c>
      <c r="E137" s="48" t="n">
        <v>366</v>
      </c>
      <c r="F137" s="49" t="n">
        <v>53.1338797814208</v>
      </c>
      <c r="G137" s="47" t="s">
        <v>326</v>
      </c>
    </row>
    <row r="138" customFormat="false" ht="15" hidden="false" customHeight="true" outlineLevel="0" collapsed="false">
      <c r="A138" s="51" t="n">
        <v>3496890</v>
      </c>
      <c r="B138" s="51" t="s">
        <v>451</v>
      </c>
      <c r="C138" s="51" t="n">
        <v>2026</v>
      </c>
      <c r="D138" s="52" t="n">
        <v>5455</v>
      </c>
      <c r="E138" s="52" t="n">
        <v>163</v>
      </c>
      <c r="F138" s="53" t="n">
        <v>33.4662576687117</v>
      </c>
      <c r="G138" s="51" t="s">
        <v>326</v>
      </c>
    </row>
    <row r="139" customFormat="false" ht="15" hidden="false" customHeight="true" outlineLevel="0" collapsed="false">
      <c r="A139" s="47" t="n">
        <v>3264170</v>
      </c>
      <c r="B139" s="47" t="s">
        <v>452</v>
      </c>
      <c r="C139" s="47" t="n">
        <v>2025</v>
      </c>
      <c r="D139" s="48" t="n">
        <v>2535</v>
      </c>
      <c r="E139" s="48" t="n">
        <v>86</v>
      </c>
      <c r="F139" s="49" t="n">
        <v>29.4767441860465</v>
      </c>
      <c r="G139" s="47" t="s">
        <v>326</v>
      </c>
    </row>
    <row r="140" customFormat="false" ht="15" hidden="false" customHeight="true" outlineLevel="0" collapsed="false">
      <c r="A140" s="51" t="n">
        <v>1772050</v>
      </c>
      <c r="B140" s="51" t="s">
        <v>453</v>
      </c>
      <c r="C140" s="51" t="n">
        <v>2023</v>
      </c>
      <c r="D140" s="52" t="n">
        <v>3707</v>
      </c>
      <c r="E140" s="52" t="n">
        <v>167</v>
      </c>
      <c r="F140" s="53" t="n">
        <v>22.1976047904192</v>
      </c>
      <c r="G140" s="51" t="s">
        <v>326</v>
      </c>
    </row>
    <row r="141" customFormat="false" ht="15" hidden="false" customHeight="true" outlineLevel="0" collapsed="false">
      <c r="A141" s="47" t="n">
        <v>3449690</v>
      </c>
      <c r="B141" s="47" t="s">
        <v>454</v>
      </c>
      <c r="C141" s="47" t="n">
        <v>2025</v>
      </c>
      <c r="D141" s="48" t="n">
        <v>4970</v>
      </c>
      <c r="E141" s="48" t="n">
        <v>197</v>
      </c>
      <c r="F141" s="49" t="n">
        <v>25.2284263959391</v>
      </c>
      <c r="G141" s="47" t="s">
        <v>318</v>
      </c>
    </row>
    <row r="142" customFormat="false" ht="15" hidden="false" customHeight="true" outlineLevel="0" collapsed="false">
      <c r="A142" s="51" t="n">
        <v>3408020</v>
      </c>
      <c r="B142" s="51" t="s">
        <v>455</v>
      </c>
      <c r="C142" s="51" t="n">
        <v>2025</v>
      </c>
      <c r="D142" s="52" t="n">
        <v>12508</v>
      </c>
      <c r="E142" s="52" t="n">
        <v>234</v>
      </c>
      <c r="F142" s="53" t="n">
        <v>53.4529914529915</v>
      </c>
      <c r="G142" s="51" t="s">
        <v>318</v>
      </c>
    </row>
    <row r="143" customFormat="false" ht="15" hidden="false" customHeight="true" outlineLevel="0" collapsed="false">
      <c r="A143" s="47" t="n">
        <v>4147140</v>
      </c>
      <c r="B143" s="47" t="s">
        <v>456</v>
      </c>
      <c r="C143" s="47" t="n">
        <v>2025</v>
      </c>
      <c r="D143" s="48" t="n">
        <v>8051</v>
      </c>
      <c r="E143" s="48" t="n">
        <v>30</v>
      </c>
      <c r="F143" s="49" t="n">
        <v>268.366666666667</v>
      </c>
      <c r="G143" s="47" t="s">
        <v>318</v>
      </c>
    </row>
    <row r="144" customFormat="false" ht="15" hidden="false" customHeight="true" outlineLevel="0" collapsed="false">
      <c r="A144" s="51" t="n">
        <v>3165590</v>
      </c>
      <c r="B144" s="51" t="s">
        <v>457</v>
      </c>
      <c r="C144" s="51" t="n">
        <v>2026</v>
      </c>
      <c r="D144" s="52" t="n">
        <v>2303</v>
      </c>
      <c r="E144" s="52" t="n">
        <v>65</v>
      </c>
      <c r="F144" s="53" t="n">
        <v>35.4307692307692</v>
      </c>
      <c r="G144" s="51" t="s">
        <v>326</v>
      </c>
    </row>
    <row r="145" customFormat="false" ht="15" hidden="false" customHeight="true" outlineLevel="0" collapsed="false">
      <c r="A145" s="47" t="n">
        <v>2243070</v>
      </c>
      <c r="B145" s="47" t="s">
        <v>458</v>
      </c>
      <c r="C145" s="47" t="n">
        <v>2023</v>
      </c>
      <c r="D145" s="48" t="n">
        <v>116</v>
      </c>
      <c r="E145" s="48" t="n">
        <v>6</v>
      </c>
      <c r="F145" s="49" t="n">
        <v>19.3333333333333</v>
      </c>
      <c r="G145" s="47" t="s">
        <v>368</v>
      </c>
    </row>
    <row r="146" customFormat="false" ht="15" hidden="false" customHeight="true" outlineLevel="0" collapsed="false">
      <c r="A146" s="51" t="n">
        <v>2726870</v>
      </c>
      <c r="B146" s="51" t="s">
        <v>459</v>
      </c>
      <c r="C146" s="51" t="n">
        <v>2024</v>
      </c>
      <c r="D146" s="52" t="n">
        <v>23661</v>
      </c>
      <c r="E146" s="52" t="n">
        <v>384</v>
      </c>
      <c r="F146" s="53" t="n">
        <v>61.6171875</v>
      </c>
      <c r="G146" s="51" t="s">
        <v>326</v>
      </c>
    </row>
    <row r="147" customFormat="false" ht="15" hidden="false" customHeight="true" outlineLevel="0" collapsed="false">
      <c r="A147" s="47" t="n">
        <v>1314770</v>
      </c>
      <c r="B147" s="47" t="s">
        <v>460</v>
      </c>
      <c r="C147" s="47" t="n">
        <v>2023</v>
      </c>
      <c r="D147" s="48" t="n">
        <v>11823</v>
      </c>
      <c r="E147" s="48" t="n">
        <v>249</v>
      </c>
      <c r="F147" s="49" t="n">
        <v>47.4819277108434</v>
      </c>
      <c r="G147" s="47" t="s">
        <v>326</v>
      </c>
    </row>
    <row r="148" customFormat="false" ht="15" hidden="false" customHeight="true" outlineLevel="0" collapsed="false">
      <c r="A148" s="51" t="n">
        <v>1716940</v>
      </c>
      <c r="B148" s="51" t="s">
        <v>461</v>
      </c>
      <c r="C148" s="51" t="n">
        <v>2022</v>
      </c>
      <c r="D148" s="52" t="n">
        <v>10467</v>
      </c>
      <c r="E148" s="52" t="n">
        <v>302</v>
      </c>
      <c r="F148" s="53" t="n">
        <v>34.658940397351</v>
      </c>
      <c r="G148" s="51" t="s">
        <v>313</v>
      </c>
    </row>
    <row r="149" customFormat="false" ht="15" hidden="false" customHeight="true" outlineLevel="0" collapsed="false">
      <c r="A149" s="47" t="n">
        <v>2209560</v>
      </c>
      <c r="B149" s="47" t="s">
        <v>462</v>
      </c>
      <c r="C149" s="47" t="n">
        <v>2023</v>
      </c>
      <c r="D149" s="48" t="n">
        <v>163</v>
      </c>
      <c r="E149" s="48" t="n">
        <v>12</v>
      </c>
      <c r="F149" s="49" t="n">
        <v>13.5833333333333</v>
      </c>
      <c r="G149" s="47" t="s">
        <v>313</v>
      </c>
    </row>
    <row r="150" customFormat="false" ht="15" hidden="false" customHeight="true" outlineLevel="0" collapsed="false">
      <c r="A150" s="51" t="n">
        <v>1408730</v>
      </c>
      <c r="B150" s="51" t="s">
        <v>463</v>
      </c>
      <c r="C150" s="51" t="n">
        <v>2025</v>
      </c>
      <c r="D150" s="52" t="n">
        <v>153</v>
      </c>
      <c r="E150" s="52" t="n">
        <v>7</v>
      </c>
      <c r="F150" s="53" t="n">
        <v>21.8571428571429</v>
      </c>
      <c r="G150" s="51" t="s">
        <v>341</v>
      </c>
    </row>
    <row r="151" customFormat="false" ht="15" hidden="false" customHeight="true" outlineLevel="0" collapsed="false">
      <c r="A151" s="47" t="n">
        <v>2097570</v>
      </c>
      <c r="B151" s="47" t="s">
        <v>177</v>
      </c>
      <c r="C151" s="47" t="n">
        <v>2025</v>
      </c>
      <c r="D151" s="48" t="n">
        <v>186861</v>
      </c>
      <c r="E151" s="48" t="n">
        <v>4449</v>
      </c>
      <c r="F151" s="49" t="n">
        <v>42.0006743088335</v>
      </c>
      <c r="G151" s="47" t="s">
        <v>333</v>
      </c>
    </row>
    <row r="152" customFormat="false" ht="15" hidden="false" customHeight="true" outlineLevel="0" collapsed="false">
      <c r="A152" s="51" t="n">
        <v>3324350</v>
      </c>
      <c r="B152" s="51" t="s">
        <v>464</v>
      </c>
      <c r="C152" s="51" t="n">
        <v>2025</v>
      </c>
      <c r="D152" s="52" t="n">
        <v>545</v>
      </c>
      <c r="E152" s="52" t="n">
        <v>7</v>
      </c>
      <c r="F152" s="53" t="n">
        <v>77.8571428571429</v>
      </c>
      <c r="G152" s="51" t="s">
        <v>341</v>
      </c>
    </row>
  </sheetData>
  <autoFilter ref="A12:G15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4332"/>
    <pageSetUpPr fitToPage="fals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13"/>
  </cols>
  <sheetData>
    <row r="1" customFormat="false" ht="21" hidden="false" customHeight="true" outlineLevel="0" collapsed="false">
      <c r="A1" s="11" t="s">
        <v>465</v>
      </c>
    </row>
    <row r="2" customFormat="false" ht="15" hidden="false" customHeight="true" outlineLevel="0" collapsed="false">
      <c r="A2" s="4" t="s">
        <v>466</v>
      </c>
    </row>
    <row r="4" customFormat="false" ht="15" hidden="false" customHeight="true" outlineLevel="0" collapsed="false">
      <c r="A4" s="56" t="s">
        <v>467</v>
      </c>
      <c r="B4" s="57" t="n">
        <v>58</v>
      </c>
      <c r="E4" s="58" t="s">
        <v>468</v>
      </c>
      <c r="F4" s="59" t="n">
        <v>0.914</v>
      </c>
    </row>
    <row r="5" customFormat="false" ht="15" hidden="false" customHeight="true" outlineLevel="0" collapsed="false">
      <c r="A5" s="56" t="s">
        <v>469</v>
      </c>
      <c r="B5" s="60" t="n">
        <v>19.99</v>
      </c>
      <c r="E5" s="58" t="s">
        <v>470</v>
      </c>
      <c r="F5" s="59" t="n">
        <v>1.265</v>
      </c>
    </row>
    <row r="6" customFormat="false" ht="15" hidden="false" customHeight="true" outlineLevel="0" collapsed="false">
      <c r="A6" s="56" t="s">
        <v>471</v>
      </c>
      <c r="B6" s="61" t="n">
        <v>0.75</v>
      </c>
    </row>
    <row r="7" customFormat="false" ht="15" hidden="false" customHeight="true" outlineLevel="0" collapsed="false">
      <c r="A7" s="56" t="s">
        <v>472</v>
      </c>
      <c r="B7" s="61" t="n">
        <v>0.6</v>
      </c>
    </row>
    <row r="9" customFormat="false" ht="15" hidden="false" customHeight="true" outlineLevel="0" collapsed="false">
      <c r="A9" s="62" t="s">
        <v>473</v>
      </c>
      <c r="B9" s="63" t="n">
        <f aca="false">B6*B7</f>
        <v>0.45</v>
      </c>
    </row>
    <row r="10" customFormat="false" ht="15" hidden="false" customHeight="true" outlineLevel="0" collapsed="false">
      <c r="A10" s="62" t="s">
        <v>474</v>
      </c>
      <c r="B10" s="64" t="n">
        <f aca="false">B4*B9</f>
        <v>26.1</v>
      </c>
    </row>
    <row r="11" customFormat="false" ht="15" hidden="false" customHeight="true" outlineLevel="0" collapsed="false">
      <c r="A11" s="62" t="s">
        <v>475</v>
      </c>
      <c r="B11" s="65" t="n">
        <f aca="false">B5*B9</f>
        <v>8.9955</v>
      </c>
    </row>
    <row r="13" customFormat="false" ht="15.75" hidden="false" customHeight="true" outlineLevel="0" collapsed="false">
      <c r="A13" s="12" t="s">
        <v>476</v>
      </c>
    </row>
    <row r="14" customFormat="false" ht="30" hidden="false" customHeight="true" outlineLevel="0" collapsed="false">
      <c r="A14" s="13" t="s">
        <v>477</v>
      </c>
      <c r="B14" s="13" t="s">
        <v>478</v>
      </c>
      <c r="C14" s="13" t="s">
        <v>479</v>
      </c>
      <c r="D14" s="13" t="s">
        <v>480</v>
      </c>
      <c r="E14" s="13" t="s">
        <v>481</v>
      </c>
      <c r="F14" s="13" t="s">
        <v>482</v>
      </c>
      <c r="G14" s="13" t="s">
        <v>483</v>
      </c>
    </row>
    <row r="15" customFormat="false" ht="15" hidden="false" customHeight="true" outlineLevel="0" collapsed="false">
      <c r="A15" s="47" t="s">
        <v>484</v>
      </c>
      <c r="B15" s="47" t="n">
        <v>18</v>
      </c>
      <c r="C15" s="66" t="n">
        <v>8000</v>
      </c>
      <c r="D15" s="66" t="n">
        <v>50000</v>
      </c>
      <c r="E15" s="66" t="n">
        <f aca="false">B15*C15+D15</f>
        <v>194000</v>
      </c>
      <c r="F15" s="48" t="n">
        <f aca="false">ROUNDUP(E15/$B$10,0)</f>
        <v>7433</v>
      </c>
      <c r="G15" s="67" t="n">
        <v>0.584</v>
      </c>
    </row>
    <row r="16" customFormat="false" ht="15" hidden="false" customHeight="true" outlineLevel="0" collapsed="false">
      <c r="A16" s="51" t="s">
        <v>485</v>
      </c>
      <c r="B16" s="51" t="n">
        <v>24</v>
      </c>
      <c r="C16" s="68" t="n">
        <v>12000</v>
      </c>
      <c r="D16" s="68" t="n">
        <v>100000</v>
      </c>
      <c r="E16" s="68" t="n">
        <f aca="false">B16*C16+D16</f>
        <v>388000</v>
      </c>
      <c r="F16" s="52" t="n">
        <f aca="false">ROUNDUP(E16/$B$10,0)</f>
        <v>14866</v>
      </c>
      <c r="G16" s="69" t="n">
        <v>0.656</v>
      </c>
    </row>
    <row r="17" customFormat="false" ht="15" hidden="false" customHeight="true" outlineLevel="0" collapsed="false">
      <c r="A17" s="47" t="s">
        <v>486</v>
      </c>
      <c r="B17" s="47" t="n">
        <v>30</v>
      </c>
      <c r="C17" s="66" t="n">
        <v>15000</v>
      </c>
      <c r="D17" s="66" t="n">
        <v>150000</v>
      </c>
      <c r="E17" s="66" t="n">
        <f aca="false">B17*C17+D17</f>
        <v>600000</v>
      </c>
      <c r="F17" s="48" t="n">
        <f aca="false">ROUNDUP(E17/$B$10,0)</f>
        <v>22989</v>
      </c>
      <c r="G17" s="67" t="n">
        <v>0.72</v>
      </c>
    </row>
    <row r="20" customFormat="false" ht="15.75" hidden="false" customHeight="true" outlineLevel="0" collapsed="false">
      <c r="A20" s="12" t="s">
        <v>487</v>
      </c>
    </row>
    <row r="21" customFormat="false" ht="30" hidden="false" customHeight="true" outlineLevel="0" collapsed="false">
      <c r="A21" s="13" t="s">
        <v>13</v>
      </c>
      <c r="B21" s="13" t="s">
        <v>488</v>
      </c>
      <c r="C21" s="13" t="s">
        <v>483</v>
      </c>
      <c r="D21" s="13" t="s">
        <v>489</v>
      </c>
      <c r="E21" s="13" t="s">
        <v>490</v>
      </c>
    </row>
    <row r="22" customFormat="false" ht="15" hidden="false" customHeight="true" outlineLevel="0" collapsed="false">
      <c r="A22" s="48" t="n">
        <v>5000</v>
      </c>
      <c r="B22" s="66" t="n">
        <f aca="false">A22*$B$10</f>
        <v>130500</v>
      </c>
      <c r="C22" s="67" t="n">
        <v>0.548</v>
      </c>
      <c r="D22" s="48" t="n">
        <f aca="false">ROUND(10^((LOG10(A22)-$F$4)/$F$5),0)</f>
        <v>159</v>
      </c>
      <c r="E22" s="47"/>
    </row>
    <row r="23" customFormat="false" ht="15" hidden="false" customHeight="true" outlineLevel="0" collapsed="false">
      <c r="A23" s="52" t="n">
        <v>10000</v>
      </c>
      <c r="B23" s="68" t="n">
        <f aca="false">A23*$B$10</f>
        <v>261000</v>
      </c>
      <c r="C23" s="69" t="n">
        <v>0.612</v>
      </c>
      <c r="D23" s="52" t="n">
        <f aca="false">ROUND(10^((LOG10(A23)-$F$4)/$F$5),0)</f>
        <v>275</v>
      </c>
      <c r="E23" s="51"/>
    </row>
    <row r="24" customFormat="false" ht="15" hidden="false" customHeight="true" outlineLevel="0" collapsed="false">
      <c r="A24" s="48" t="n">
        <v>20000</v>
      </c>
      <c r="B24" s="66" t="n">
        <f aca="false">A24*$B$10</f>
        <v>522000</v>
      </c>
      <c r="C24" s="67" t="n">
        <v>0.708</v>
      </c>
      <c r="D24" s="48" t="n">
        <f aca="false">ROUND(10^((LOG10(A24)-$F$4)/$F$5),0)</f>
        <v>476</v>
      </c>
      <c r="E24" s="47" t="s">
        <v>491</v>
      </c>
    </row>
    <row r="25" customFormat="false" ht="15" hidden="false" customHeight="true" outlineLevel="0" collapsed="false">
      <c r="A25" s="52" t="n">
        <v>50000</v>
      </c>
      <c r="B25" s="68" t="n">
        <f aca="false">A25*$B$10</f>
        <v>1305000</v>
      </c>
      <c r="C25" s="69" t="n">
        <v>0.82</v>
      </c>
      <c r="D25" s="52" t="n">
        <f aca="false">ROUND(10^((LOG10(A25)-$F$4)/$F$5),0)</f>
        <v>982</v>
      </c>
      <c r="E25" s="51"/>
    </row>
    <row r="26" customFormat="false" ht="15" hidden="false" customHeight="true" outlineLevel="0" collapsed="false">
      <c r="A26" s="48" t="n">
        <v>100000</v>
      </c>
      <c r="B26" s="66" t="n">
        <f aca="false">A26*$B$10</f>
        <v>2610000</v>
      </c>
      <c r="C26" s="67" t="n">
        <v>0.888</v>
      </c>
      <c r="D26" s="48" t="n">
        <f aca="false">ROUND(10^((LOG10(A26)-$F$4)/$F$5),0)</f>
        <v>1698</v>
      </c>
      <c r="E26" s="47"/>
    </row>
    <row r="27" customFormat="false" ht="15" hidden="false" customHeight="true" outlineLevel="0" collapsed="false">
      <c r="A27" s="52" t="n">
        <v>300000</v>
      </c>
      <c r="B27" s="68" t="n">
        <f aca="false">A27*$B$10</f>
        <v>7830000</v>
      </c>
      <c r="C27" s="69" t="n">
        <v>0.952</v>
      </c>
      <c r="D27" s="52" t="n">
        <f aca="false">ROUND(10^((LOG10(A27)-$F$4)/$F$5),0)</f>
        <v>4048</v>
      </c>
      <c r="E27" s="51"/>
    </row>
    <row r="30" customFormat="false" ht="15.75" hidden="false" customHeight="true" outlineLevel="0" collapsed="false">
      <c r="A30" s="12" t="s">
        <v>492</v>
      </c>
    </row>
    <row r="31" customFormat="false" ht="30" hidden="false" customHeight="true" outlineLevel="0" collapsed="false">
      <c r="A31" s="13" t="s">
        <v>493</v>
      </c>
      <c r="B31" s="13" t="s">
        <v>494</v>
      </c>
      <c r="C31" s="13" t="s">
        <v>495</v>
      </c>
      <c r="D31" s="13" t="s">
        <v>496</v>
      </c>
      <c r="E31" s="13" t="s">
        <v>497</v>
      </c>
      <c r="F31" s="13" t="s">
        <v>498</v>
      </c>
    </row>
    <row r="32" customFormat="false" ht="15" hidden="false" customHeight="true" outlineLevel="0" collapsed="false">
      <c r="A32" s="66" t="n">
        <v>52</v>
      </c>
      <c r="B32" s="70" t="n">
        <f aca="false">A32*$B$9</f>
        <v>23.4</v>
      </c>
      <c r="C32" s="66" t="n">
        <f aca="false">$B32*5000</f>
        <v>117000</v>
      </c>
      <c r="D32" s="66" t="n">
        <f aca="false">$B32*10000</f>
        <v>234000</v>
      </c>
      <c r="E32" s="66" t="n">
        <f aca="false">$B32*20000</f>
        <v>468000</v>
      </c>
      <c r="F32" s="66" t="n">
        <f aca="false">$B32*50000</f>
        <v>1170000</v>
      </c>
    </row>
    <row r="33" customFormat="false" ht="15" hidden="false" customHeight="true" outlineLevel="0" collapsed="false">
      <c r="A33" s="68" t="n">
        <v>58</v>
      </c>
      <c r="B33" s="71" t="n">
        <f aca="false">A33*$B$9</f>
        <v>26.1</v>
      </c>
      <c r="C33" s="68" t="n">
        <f aca="false">$B33*5000</f>
        <v>130500</v>
      </c>
      <c r="D33" s="68" t="n">
        <f aca="false">$B33*10000</f>
        <v>261000</v>
      </c>
      <c r="E33" s="68" t="n">
        <f aca="false">$B33*20000</f>
        <v>522000</v>
      </c>
      <c r="F33" s="68" t="n">
        <f aca="false">$B33*50000</f>
        <v>1305000</v>
      </c>
    </row>
    <row r="34" customFormat="false" ht="15" hidden="false" customHeight="true" outlineLevel="0" collapsed="false">
      <c r="A34" s="66" t="n">
        <v>68</v>
      </c>
      <c r="B34" s="70" t="n">
        <f aca="false">A34*$B$9</f>
        <v>30.6</v>
      </c>
      <c r="C34" s="66" t="n">
        <f aca="false">$B34*5000</f>
        <v>153000</v>
      </c>
      <c r="D34" s="66" t="n">
        <f aca="false">$B34*10000</f>
        <v>306000</v>
      </c>
      <c r="E34" s="66" t="n">
        <f aca="false">$B34*20000</f>
        <v>612000</v>
      </c>
      <c r="F34" s="66" t="n">
        <f aca="false">$B34*50000</f>
        <v>1530000</v>
      </c>
    </row>
    <row r="37" customFormat="false" ht="15.75" hidden="false" customHeight="true" outlineLevel="0" collapsed="false">
      <c r="A37" s="12" t="s">
        <v>499</v>
      </c>
    </row>
    <row r="38" customFormat="false" ht="30" hidden="false" customHeight="true" outlineLevel="0" collapsed="false">
      <c r="A38" s="13" t="s">
        <v>97</v>
      </c>
      <c r="B38" s="13" t="s">
        <v>500</v>
      </c>
      <c r="C38" s="13" t="s">
        <v>501</v>
      </c>
    </row>
    <row r="39" customFormat="false" ht="15" hidden="false" customHeight="true" outlineLevel="0" collapsed="false">
      <c r="A39" s="48" t="n">
        <v>100</v>
      </c>
      <c r="B39" s="48" t="n">
        <v>2776</v>
      </c>
      <c r="C39" s="66" t="n">
        <f aca="false">B39*$B$10</f>
        <v>72453.6</v>
      </c>
    </row>
    <row r="40" customFormat="false" ht="15" hidden="false" customHeight="true" outlineLevel="0" collapsed="false">
      <c r="A40" s="52" t="n">
        <v>300</v>
      </c>
      <c r="B40" s="52" t="n">
        <v>11140</v>
      </c>
      <c r="C40" s="68" t="n">
        <f aca="false">B40*$B$10</f>
        <v>290754</v>
      </c>
    </row>
    <row r="41" customFormat="false" ht="15" hidden="false" customHeight="true" outlineLevel="0" collapsed="false">
      <c r="A41" s="48" t="n">
        <v>400</v>
      </c>
      <c r="B41" s="48" t="n">
        <v>16028</v>
      </c>
      <c r="C41" s="66" t="n">
        <f aca="false">B41*$B$10</f>
        <v>418330.8</v>
      </c>
    </row>
    <row r="42" customFormat="false" ht="15" hidden="false" customHeight="true" outlineLevel="0" collapsed="false">
      <c r="A42" s="52" t="n">
        <v>500</v>
      </c>
      <c r="B42" s="52" t="n">
        <v>21254</v>
      </c>
      <c r="C42" s="68" t="n">
        <f aca="false">B42*$B$10</f>
        <v>554729.4</v>
      </c>
    </row>
    <row r="43" customFormat="false" ht="15" hidden="false" customHeight="true" outlineLevel="0" collapsed="false">
      <c r="A43" s="48" t="n">
        <v>800</v>
      </c>
      <c r="B43" s="48" t="n">
        <v>38511</v>
      </c>
      <c r="C43" s="66" t="n">
        <f aca="false">B43*$B$10</f>
        <v>1005137.1</v>
      </c>
    </row>
    <row r="44" customFormat="false" ht="15" hidden="false" customHeight="true" outlineLevel="0" collapsed="false">
      <c r="A44" s="52" t="n">
        <v>1000</v>
      </c>
      <c r="B44" s="52" t="n">
        <v>51067</v>
      </c>
      <c r="C44" s="68" t="n">
        <f aca="false">B44*$B$10</f>
        <v>1332848.7</v>
      </c>
    </row>
    <row r="45" customFormat="false" ht="15" hidden="false" customHeight="true" outlineLevel="0" collapsed="false">
      <c r="A45" s="48" t="n">
        <v>2000</v>
      </c>
      <c r="B45" s="48" t="n">
        <v>122698</v>
      </c>
      <c r="C45" s="66" t="n">
        <f aca="false">B45*$B$10</f>
        <v>3202417.8</v>
      </c>
    </row>
    <row r="46" customFormat="false" ht="15" hidden="false" customHeight="true" outlineLevel="0" collapsed="false">
      <c r="A46" s="52" t="n">
        <v>5000</v>
      </c>
      <c r="B46" s="52" t="n">
        <v>390922</v>
      </c>
      <c r="C46" s="68" t="n">
        <f aca="false">B46*$B$10</f>
        <v>10203064.2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89B"/>
    <pageSetUpPr fitToPage="false"/>
  </sheetPr>
  <dimension ref="A1:H9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4"/>
    <col collapsed="false" customWidth="true" hidden="false" outlineLevel="0" max="6" min="3" style="1" width="13"/>
    <col collapsed="false" customWidth="true" hidden="false" outlineLevel="0" max="7" min="7" style="1" width="28"/>
    <col collapsed="false" customWidth="true" hidden="false" outlineLevel="0" max="8" min="8" style="1" width="70"/>
  </cols>
  <sheetData>
    <row r="1" customFormat="false" ht="21" hidden="false" customHeight="true" outlineLevel="0" collapsed="false">
      <c r="A1" s="11" t="s">
        <v>502</v>
      </c>
    </row>
    <row r="2" customFormat="false" ht="15" hidden="false" customHeight="true" outlineLevel="0" collapsed="false">
      <c r="A2" s="4" t="s">
        <v>503</v>
      </c>
    </row>
    <row r="4" customFormat="false" ht="30" hidden="false" customHeight="true" outlineLevel="0" collapsed="false">
      <c r="A4" s="13" t="s">
        <v>93</v>
      </c>
      <c r="B4" s="13" t="s">
        <v>92</v>
      </c>
      <c r="C4" s="13" t="s">
        <v>94</v>
      </c>
      <c r="D4" s="13" t="s">
        <v>504</v>
      </c>
      <c r="E4" s="13" t="s">
        <v>99</v>
      </c>
      <c r="F4" s="13" t="s">
        <v>505</v>
      </c>
      <c r="G4" s="13" t="s">
        <v>102</v>
      </c>
      <c r="H4" s="13" t="s">
        <v>506</v>
      </c>
    </row>
    <row r="5" customFormat="false" ht="15" hidden="false" customHeight="true" outlineLevel="0" collapsed="false">
      <c r="A5" s="72" t="n">
        <v>646570</v>
      </c>
      <c r="B5" s="72" t="s">
        <v>106</v>
      </c>
      <c r="C5" s="72" t="n">
        <v>2019</v>
      </c>
      <c r="D5" s="73" t="n">
        <v>24.99</v>
      </c>
      <c r="E5" s="74" t="n">
        <v>10583038</v>
      </c>
      <c r="F5" s="72" t="n">
        <v>97</v>
      </c>
      <c r="G5" s="72" t="s">
        <v>107</v>
      </c>
      <c r="H5" s="72" t="s">
        <v>507</v>
      </c>
    </row>
    <row r="6" customFormat="false" ht="15" hidden="false" customHeight="true" outlineLevel="0" collapsed="false">
      <c r="A6" s="75" t="n">
        <v>2868840</v>
      </c>
      <c r="B6" s="75" t="s">
        <v>110</v>
      </c>
      <c r="C6" s="75" t="n">
        <v>2026</v>
      </c>
      <c r="D6" s="76" t="n">
        <v>24.99</v>
      </c>
      <c r="E6" s="77" t="n">
        <v>7410557</v>
      </c>
      <c r="F6" s="75" t="n">
        <v>61</v>
      </c>
      <c r="G6" s="75" t="s">
        <v>107</v>
      </c>
      <c r="H6" s="75" t="s">
        <v>508</v>
      </c>
    </row>
    <row r="7" customFormat="false" ht="15" hidden="false" customHeight="true" outlineLevel="0" collapsed="false">
      <c r="A7" s="72" t="n">
        <v>2379780</v>
      </c>
      <c r="B7" s="72" t="s">
        <v>113</v>
      </c>
      <c r="C7" s="72" t="n">
        <v>2024</v>
      </c>
      <c r="D7" s="73" t="n">
        <v>14.99</v>
      </c>
      <c r="E7" s="74" t="n">
        <v>6495863</v>
      </c>
      <c r="F7" s="72" t="n">
        <v>98</v>
      </c>
      <c r="G7" s="72" t="s">
        <v>114</v>
      </c>
      <c r="H7" s="72" t="s">
        <v>509</v>
      </c>
    </row>
    <row r="8" customFormat="false" ht="15" hidden="false" customHeight="true" outlineLevel="0" collapsed="false">
      <c r="A8" s="75" t="n">
        <v>1557740</v>
      </c>
      <c r="B8" s="75" t="s">
        <v>510</v>
      </c>
      <c r="C8" s="75" t="n">
        <v>2021</v>
      </c>
      <c r="D8" s="76" t="n">
        <v>5.99</v>
      </c>
      <c r="E8" s="77" t="n">
        <v>2083509</v>
      </c>
      <c r="F8" s="75" t="n">
        <v>95</v>
      </c>
      <c r="G8" s="75" t="s">
        <v>511</v>
      </c>
      <c r="H8" s="75" t="s">
        <v>512</v>
      </c>
    </row>
    <row r="9" customFormat="false" ht="15" hidden="false" customHeight="true" outlineLevel="0" collapsed="false">
      <c r="A9" s="72" t="n">
        <v>2427700</v>
      </c>
      <c r="B9" s="72" t="s">
        <v>117</v>
      </c>
      <c r="C9" s="72" t="n">
        <v>2025</v>
      </c>
      <c r="D9" s="73" t="n">
        <v>14.99</v>
      </c>
      <c r="E9" s="74" t="n">
        <v>1556886</v>
      </c>
      <c r="F9" s="72" t="n">
        <v>91</v>
      </c>
      <c r="G9" s="72" t="s">
        <v>118</v>
      </c>
      <c r="H9" s="72" t="s">
        <v>513</v>
      </c>
    </row>
    <row r="10" customFormat="false" ht="15" hidden="false" customHeight="true" outlineLevel="0" collapsed="false">
      <c r="A10" s="75" t="n">
        <v>1102190</v>
      </c>
      <c r="B10" s="75" t="s">
        <v>121</v>
      </c>
      <c r="C10" s="75" t="n">
        <v>2020</v>
      </c>
      <c r="D10" s="76" t="n">
        <v>24.99</v>
      </c>
      <c r="E10" s="77" t="n">
        <v>1445478</v>
      </c>
      <c r="F10" s="75" t="n">
        <v>96</v>
      </c>
      <c r="G10" s="75" t="s">
        <v>122</v>
      </c>
      <c r="H10" s="75" t="s">
        <v>514</v>
      </c>
    </row>
    <row r="11" customFormat="false" ht="15" hidden="false" customHeight="true" outlineLevel="0" collapsed="false">
      <c r="A11" s="72" t="n">
        <v>3265700</v>
      </c>
      <c r="B11" s="72" t="s">
        <v>515</v>
      </c>
      <c r="C11" s="72" t="n">
        <v>2026</v>
      </c>
      <c r="D11" s="73" t="n">
        <v>9.99</v>
      </c>
      <c r="E11" s="74" t="n">
        <v>1338510</v>
      </c>
      <c r="F11" s="72" t="n">
        <v>96</v>
      </c>
      <c r="G11" s="72" t="s">
        <v>516</v>
      </c>
      <c r="H11" s="72" t="s">
        <v>517</v>
      </c>
    </row>
    <row r="12" customFormat="false" ht="15" hidden="false" customHeight="true" outlineLevel="0" collapsed="false">
      <c r="A12" s="75" t="n">
        <v>2784470</v>
      </c>
      <c r="B12" s="75" t="s">
        <v>129</v>
      </c>
      <c r="C12" s="75" t="n">
        <v>2025</v>
      </c>
      <c r="D12" s="76" t="n">
        <v>19.99</v>
      </c>
      <c r="E12" s="77" t="n">
        <v>1127310</v>
      </c>
      <c r="F12" s="75" t="n">
        <v>92</v>
      </c>
      <c r="G12" s="75" t="s">
        <v>130</v>
      </c>
      <c r="H12" s="75" t="s">
        <v>518</v>
      </c>
    </row>
    <row r="13" customFormat="false" ht="15" hidden="false" customHeight="true" outlineLevel="0" collapsed="false">
      <c r="A13" s="72" t="n">
        <v>769560</v>
      </c>
      <c r="B13" s="72" t="s">
        <v>519</v>
      </c>
      <c r="C13" s="72" t="n">
        <v>2019</v>
      </c>
      <c r="D13" s="73" t="n">
        <v>0</v>
      </c>
      <c r="E13" s="74" t="n">
        <v>1081216</v>
      </c>
      <c r="F13" s="72" t="n">
        <v>80</v>
      </c>
      <c r="G13" s="72" t="s">
        <v>520</v>
      </c>
      <c r="H13" s="72" t="s">
        <v>521</v>
      </c>
    </row>
    <row r="14" customFormat="false" ht="15" hidden="false" customHeight="true" outlineLevel="0" collapsed="false">
      <c r="A14" s="75" t="n">
        <v>601840</v>
      </c>
      <c r="B14" s="75" t="s">
        <v>210</v>
      </c>
      <c r="C14" s="75" t="n">
        <v>2021</v>
      </c>
      <c r="D14" s="76" t="n">
        <v>19.99</v>
      </c>
      <c r="E14" s="77" t="n">
        <v>857962</v>
      </c>
      <c r="F14" s="75" t="n">
        <v>94</v>
      </c>
      <c r="G14" s="75" t="s">
        <v>211</v>
      </c>
      <c r="H14" s="75" t="s">
        <v>522</v>
      </c>
    </row>
    <row r="15" customFormat="false" ht="15" hidden="false" customHeight="true" outlineLevel="0" collapsed="false">
      <c r="A15" s="72" t="n">
        <v>3784030</v>
      </c>
      <c r="B15" s="72" t="s">
        <v>523</v>
      </c>
      <c r="C15" s="72" t="n">
        <v>2026</v>
      </c>
      <c r="D15" s="73" t="n">
        <v>11.99</v>
      </c>
      <c r="E15" s="74" t="n">
        <v>839189</v>
      </c>
      <c r="F15" s="72" t="n">
        <v>82</v>
      </c>
      <c r="G15" s="72" t="s">
        <v>524</v>
      </c>
      <c r="H15" s="72" t="s">
        <v>525</v>
      </c>
    </row>
    <row r="16" customFormat="false" ht="15" hidden="false" customHeight="true" outlineLevel="0" collapsed="false">
      <c r="A16" s="75" t="n">
        <v>1404850</v>
      </c>
      <c r="B16" s="75" t="s">
        <v>214</v>
      </c>
      <c r="C16" s="75" t="n">
        <v>2023</v>
      </c>
      <c r="D16" s="76" t="n">
        <v>9.99</v>
      </c>
      <c r="E16" s="77" t="n">
        <v>818789</v>
      </c>
      <c r="F16" s="75" t="n">
        <v>93</v>
      </c>
      <c r="G16" s="75" t="s">
        <v>215</v>
      </c>
      <c r="H16" s="75" t="s">
        <v>526</v>
      </c>
    </row>
    <row r="17" customFormat="false" ht="15" hidden="false" customHeight="true" outlineLevel="0" collapsed="false">
      <c r="A17" s="72" t="n">
        <v>861540</v>
      </c>
      <c r="B17" s="72" t="s">
        <v>527</v>
      </c>
      <c r="C17" s="72" t="n">
        <v>2019</v>
      </c>
      <c r="D17" s="73" t="n">
        <v>14.99</v>
      </c>
      <c r="E17" s="74" t="n">
        <v>805510</v>
      </c>
      <c r="F17" s="72" t="n">
        <v>89</v>
      </c>
      <c r="G17" s="72" t="s">
        <v>528</v>
      </c>
      <c r="H17" s="72" t="s">
        <v>529</v>
      </c>
    </row>
    <row r="18" customFormat="false" ht="15" hidden="false" customHeight="true" outlineLevel="0" collapsed="false">
      <c r="A18" s="75" t="n">
        <v>266510</v>
      </c>
      <c r="B18" s="75" t="s">
        <v>530</v>
      </c>
      <c r="C18" s="75" t="n">
        <v>2015</v>
      </c>
      <c r="D18" s="76" t="n">
        <v>19.99</v>
      </c>
      <c r="E18" s="77" t="n">
        <v>726786</v>
      </c>
      <c r="F18" s="75" t="n">
        <v>89</v>
      </c>
      <c r="G18" s="75" t="s">
        <v>531</v>
      </c>
      <c r="H18" s="75" t="s">
        <v>532</v>
      </c>
    </row>
    <row r="19" customFormat="false" ht="15" hidden="false" customHeight="true" outlineLevel="0" collapsed="false">
      <c r="A19" s="72" t="n">
        <v>1385380</v>
      </c>
      <c r="B19" s="72" t="s">
        <v>137</v>
      </c>
      <c r="C19" s="72" t="n">
        <v>2022</v>
      </c>
      <c r="D19" s="73" t="n">
        <v>19.99</v>
      </c>
      <c r="E19" s="74" t="n">
        <v>711232</v>
      </c>
      <c r="F19" s="72" t="n">
        <v>80</v>
      </c>
      <c r="G19" s="72" t="s">
        <v>138</v>
      </c>
      <c r="H19" s="72" t="s">
        <v>533</v>
      </c>
    </row>
    <row r="20" customFormat="false" ht="15" hidden="false" customHeight="true" outlineLevel="0" collapsed="false">
      <c r="A20" s="75" t="n">
        <v>1970580</v>
      </c>
      <c r="B20" s="75" t="s">
        <v>218</v>
      </c>
      <c r="C20" s="75" t="n">
        <v>2023</v>
      </c>
      <c r="D20" s="76" t="n">
        <v>19.99</v>
      </c>
      <c r="E20" s="77" t="n">
        <v>586133</v>
      </c>
      <c r="F20" s="75" t="n">
        <v>86</v>
      </c>
      <c r="G20" s="75" t="s">
        <v>219</v>
      </c>
      <c r="H20" s="75" t="s">
        <v>534</v>
      </c>
    </row>
    <row r="21" customFormat="false" ht="15" hidden="false" customHeight="true" outlineLevel="0" collapsed="false">
      <c r="A21" s="72" t="n">
        <v>2742830</v>
      </c>
      <c r="B21" s="72" t="s">
        <v>125</v>
      </c>
      <c r="C21" s="72" t="n">
        <v>2025</v>
      </c>
      <c r="D21" s="73" t="n">
        <v>24.99</v>
      </c>
      <c r="E21" s="74" t="n">
        <v>537235</v>
      </c>
      <c r="F21" s="72" t="n">
        <v>95</v>
      </c>
      <c r="G21" s="72" t="s">
        <v>122</v>
      </c>
      <c r="H21" s="72" t="s">
        <v>535</v>
      </c>
    </row>
    <row r="22" customFormat="false" ht="15" hidden="false" customHeight="true" outlineLevel="0" collapsed="false">
      <c r="A22" s="75" t="n">
        <v>1188930</v>
      </c>
      <c r="B22" s="75" t="s">
        <v>145</v>
      </c>
      <c r="C22" s="75" t="n">
        <v>2024</v>
      </c>
      <c r="D22" s="76" t="n">
        <v>24.99</v>
      </c>
      <c r="E22" s="77" t="n">
        <v>490331</v>
      </c>
      <c r="F22" s="75" t="n">
        <v>91</v>
      </c>
      <c r="G22" s="75" t="s">
        <v>146</v>
      </c>
      <c r="H22" s="75" t="s">
        <v>536</v>
      </c>
    </row>
    <row r="23" customFormat="false" ht="15" hidden="false" customHeight="true" outlineLevel="0" collapsed="false">
      <c r="A23" s="72" t="n">
        <v>456670</v>
      </c>
      <c r="B23" s="72" t="s">
        <v>537</v>
      </c>
      <c r="C23" s="72" t="n">
        <v>2017</v>
      </c>
      <c r="D23" s="73" t="n">
        <v>29.99</v>
      </c>
      <c r="E23" s="74" t="n">
        <v>453398</v>
      </c>
      <c r="F23" s="72" t="n">
        <v>84</v>
      </c>
      <c r="G23" s="72" t="s">
        <v>531</v>
      </c>
      <c r="H23" s="72" t="s">
        <v>538</v>
      </c>
    </row>
    <row r="24" customFormat="false" ht="15" hidden="false" customHeight="true" outlineLevel="0" collapsed="false">
      <c r="A24" s="75" t="n">
        <v>2289750</v>
      </c>
      <c r="B24" s="75" t="s">
        <v>153</v>
      </c>
      <c r="C24" s="75" t="n">
        <v>2025</v>
      </c>
      <c r="D24" s="76" t="n">
        <v>19.99</v>
      </c>
      <c r="E24" s="77" t="n">
        <v>391377</v>
      </c>
      <c r="F24" s="75" t="n">
        <v>87</v>
      </c>
      <c r="G24" s="75" t="s">
        <v>154</v>
      </c>
      <c r="H24" s="75" t="s">
        <v>539</v>
      </c>
    </row>
    <row r="25" customFormat="false" ht="15" hidden="false" customHeight="true" outlineLevel="0" collapsed="false">
      <c r="A25" s="72" t="n">
        <v>2356780</v>
      </c>
      <c r="B25" s="72" t="s">
        <v>230</v>
      </c>
      <c r="C25" s="72" t="n">
        <v>2026</v>
      </c>
      <c r="D25" s="73" t="n">
        <v>14.99</v>
      </c>
      <c r="E25" s="74" t="n">
        <v>385291</v>
      </c>
      <c r="F25" s="72" t="n">
        <v>89</v>
      </c>
      <c r="G25" s="72" t="s">
        <v>231</v>
      </c>
      <c r="H25" s="72" t="s">
        <v>540</v>
      </c>
    </row>
    <row r="26" customFormat="false" ht="15" hidden="false" customHeight="true" outlineLevel="0" collapsed="false">
      <c r="A26" s="75" t="n">
        <v>2084000</v>
      </c>
      <c r="B26" s="75" t="s">
        <v>234</v>
      </c>
      <c r="C26" s="75" t="n">
        <v>2024</v>
      </c>
      <c r="D26" s="76" t="n">
        <v>14.99</v>
      </c>
      <c r="E26" s="77" t="n">
        <v>367362</v>
      </c>
      <c r="F26" s="75" t="n">
        <v>95</v>
      </c>
      <c r="G26" s="75" t="s">
        <v>235</v>
      </c>
      <c r="H26" s="75" t="s">
        <v>541</v>
      </c>
    </row>
    <row r="27" customFormat="false" ht="15" hidden="false" customHeight="true" outlineLevel="0" collapsed="false">
      <c r="A27" s="72" t="n">
        <v>1265820</v>
      </c>
      <c r="B27" s="72" t="s">
        <v>157</v>
      </c>
      <c r="C27" s="72" t="n">
        <v>2021</v>
      </c>
      <c r="D27" s="73" t="n">
        <v>24.99</v>
      </c>
      <c r="E27" s="74" t="n">
        <v>336269</v>
      </c>
      <c r="F27" s="72" t="n">
        <v>90</v>
      </c>
      <c r="G27" s="72" t="s">
        <v>158</v>
      </c>
      <c r="H27" s="72" t="s">
        <v>542</v>
      </c>
    </row>
    <row r="28" customFormat="false" ht="15" hidden="false" customHeight="true" outlineLevel="0" collapsed="false">
      <c r="A28" s="75" t="n">
        <v>1201540</v>
      </c>
      <c r="B28" s="75" t="s">
        <v>543</v>
      </c>
      <c r="C28" s="75" t="n">
        <v>2024</v>
      </c>
      <c r="D28" s="76" t="n">
        <v>24.99</v>
      </c>
      <c r="E28" s="77" t="n">
        <v>324119</v>
      </c>
      <c r="F28" s="75" t="n">
        <v>86</v>
      </c>
      <c r="G28" s="75" t="s">
        <v>544</v>
      </c>
      <c r="H28" s="75" t="s">
        <v>545</v>
      </c>
    </row>
    <row r="29" customFormat="false" ht="15" hidden="false" customHeight="true" outlineLevel="0" collapsed="false">
      <c r="A29" s="72" t="n">
        <v>2400510</v>
      </c>
      <c r="B29" s="72" t="s">
        <v>546</v>
      </c>
      <c r="C29" s="72" t="n">
        <v>2024</v>
      </c>
      <c r="D29" s="73" t="n">
        <v>14.99</v>
      </c>
      <c r="E29" s="74" t="n">
        <v>308475</v>
      </c>
      <c r="F29" s="72" t="n">
        <v>82</v>
      </c>
      <c r="G29" s="72" t="s">
        <v>547</v>
      </c>
      <c r="H29" s="72" t="s">
        <v>548</v>
      </c>
    </row>
    <row r="30" customFormat="false" ht="15" hidden="false" customHeight="true" outlineLevel="0" collapsed="false">
      <c r="A30" s="75" t="n">
        <v>1076200</v>
      </c>
      <c r="B30" s="75" t="s">
        <v>242</v>
      </c>
      <c r="C30" s="75" t="n">
        <v>2021</v>
      </c>
      <c r="D30" s="76" t="n">
        <v>24.99</v>
      </c>
      <c r="E30" s="77" t="n">
        <v>303981</v>
      </c>
      <c r="F30" s="75" t="n">
        <v>84</v>
      </c>
      <c r="G30" s="75" t="s">
        <v>243</v>
      </c>
      <c r="H30" s="75" t="s">
        <v>549</v>
      </c>
    </row>
    <row r="31" customFormat="false" ht="15" hidden="false" customHeight="true" outlineLevel="0" collapsed="false">
      <c r="A31" s="72" t="n">
        <v>449960</v>
      </c>
      <c r="B31" s="72" t="s">
        <v>550</v>
      </c>
      <c r="C31" s="72" t="n">
        <v>2017</v>
      </c>
      <c r="D31" s="73" t="n">
        <v>24.99</v>
      </c>
      <c r="E31" s="74" t="n">
        <v>303539</v>
      </c>
      <c r="F31" s="72" t="n">
        <v>91</v>
      </c>
      <c r="G31" s="72" t="s">
        <v>544</v>
      </c>
      <c r="H31" s="72" t="s">
        <v>551</v>
      </c>
    </row>
    <row r="32" customFormat="false" ht="15" hidden="false" customHeight="true" outlineLevel="0" collapsed="false">
      <c r="A32" s="75" t="n">
        <v>3444020</v>
      </c>
      <c r="B32" s="75" t="s">
        <v>246</v>
      </c>
      <c r="C32" s="75" t="n">
        <v>2025</v>
      </c>
      <c r="D32" s="76" t="n">
        <v>16.99</v>
      </c>
      <c r="E32" s="77" t="n">
        <v>300013</v>
      </c>
      <c r="F32" s="75" t="n">
        <v>96</v>
      </c>
      <c r="G32" s="75" t="s">
        <v>247</v>
      </c>
      <c r="H32" s="75" t="s">
        <v>552</v>
      </c>
    </row>
    <row r="33" customFormat="false" ht="15" hidden="false" customHeight="true" outlineLevel="0" collapsed="false">
      <c r="A33" s="72" t="n">
        <v>2501600</v>
      </c>
      <c r="B33" s="72" t="s">
        <v>553</v>
      </c>
      <c r="C33" s="72" t="n">
        <v>2024</v>
      </c>
      <c r="D33" s="73" t="n">
        <v>14.99</v>
      </c>
      <c r="E33" s="74" t="n">
        <v>295486</v>
      </c>
      <c r="F33" s="72" t="n">
        <v>96</v>
      </c>
      <c r="G33" s="72" t="s">
        <v>554</v>
      </c>
      <c r="H33" s="72" t="s">
        <v>555</v>
      </c>
    </row>
    <row r="34" customFormat="false" ht="15" hidden="false" customHeight="true" outlineLevel="0" collapsed="false">
      <c r="A34" s="75" t="n">
        <v>1108370</v>
      </c>
      <c r="B34" s="75" t="s">
        <v>556</v>
      </c>
      <c r="C34" s="75" t="n">
        <v>2020</v>
      </c>
      <c r="D34" s="76" t="n">
        <v>17.99</v>
      </c>
      <c r="E34" s="77" t="n">
        <v>276011</v>
      </c>
      <c r="F34" s="75" t="n">
        <v>88</v>
      </c>
      <c r="G34" s="75" t="s">
        <v>557</v>
      </c>
      <c r="H34" s="75" t="s">
        <v>558</v>
      </c>
    </row>
    <row r="35" customFormat="false" ht="15" hidden="false" customHeight="true" outlineLevel="0" collapsed="false">
      <c r="A35" s="72" t="n">
        <v>2824490</v>
      </c>
      <c r="B35" s="72" t="s">
        <v>165</v>
      </c>
      <c r="C35" s="72" t="n">
        <v>2025</v>
      </c>
      <c r="D35" s="73" t="n">
        <v>19.99</v>
      </c>
      <c r="E35" s="74" t="n">
        <v>275559</v>
      </c>
      <c r="F35" s="72" t="n">
        <v>85</v>
      </c>
      <c r="G35" s="72" t="s">
        <v>166</v>
      </c>
      <c r="H35" s="72" t="s">
        <v>559</v>
      </c>
    </row>
    <row r="36" customFormat="false" ht="15" hidden="false" customHeight="true" outlineLevel="0" collapsed="false">
      <c r="A36" s="75" t="n">
        <v>1811990</v>
      </c>
      <c r="B36" s="75" t="s">
        <v>169</v>
      </c>
      <c r="C36" s="75" t="n">
        <v>2023</v>
      </c>
      <c r="D36" s="76" t="n">
        <v>19.99</v>
      </c>
      <c r="E36" s="77" t="n">
        <v>270553</v>
      </c>
      <c r="F36" s="75" t="n">
        <v>83</v>
      </c>
      <c r="G36" s="75" t="s">
        <v>170</v>
      </c>
      <c r="H36" s="75" t="s">
        <v>560</v>
      </c>
    </row>
    <row r="37" customFormat="false" ht="15" hidden="false" customHeight="true" outlineLevel="0" collapsed="false">
      <c r="A37" s="72" t="n">
        <v>1755830</v>
      </c>
      <c r="B37" s="72" t="s">
        <v>561</v>
      </c>
      <c r="C37" s="72" t="n">
        <v>2023</v>
      </c>
      <c r="D37" s="73" t="n">
        <v>24.99</v>
      </c>
      <c r="E37" s="74" t="n">
        <v>253014</v>
      </c>
      <c r="F37" s="72" t="n">
        <v>92</v>
      </c>
      <c r="G37" s="72" t="s">
        <v>562</v>
      </c>
      <c r="H37" s="72" t="s">
        <v>563</v>
      </c>
    </row>
    <row r="38" customFormat="false" ht="15" hidden="false" customHeight="true" outlineLevel="0" collapsed="false">
      <c r="A38" s="75" t="n">
        <v>981430</v>
      </c>
      <c r="B38" s="75" t="s">
        <v>173</v>
      </c>
      <c r="C38" s="75" t="n">
        <v>2022</v>
      </c>
      <c r="D38" s="76" t="n">
        <v>19.99</v>
      </c>
      <c r="E38" s="77" t="n">
        <v>248027</v>
      </c>
      <c r="F38" s="75" t="n">
        <v>89</v>
      </c>
      <c r="G38" s="75" t="s">
        <v>174</v>
      </c>
      <c r="H38" s="75" t="s">
        <v>564</v>
      </c>
    </row>
    <row r="39" customFormat="false" ht="15" hidden="false" customHeight="true" outlineLevel="0" collapsed="false">
      <c r="A39" s="72" t="n">
        <v>2459550</v>
      </c>
      <c r="B39" s="72" t="s">
        <v>250</v>
      </c>
      <c r="C39" s="72" t="n">
        <v>2026</v>
      </c>
      <c r="D39" s="73" t="n">
        <v>19.99</v>
      </c>
      <c r="E39" s="74" t="n">
        <v>237831</v>
      </c>
      <c r="F39" s="72" t="n">
        <v>97</v>
      </c>
      <c r="G39" s="72" t="s">
        <v>251</v>
      </c>
      <c r="H39" s="72" t="s">
        <v>565</v>
      </c>
    </row>
    <row r="40" customFormat="false" ht="15" hidden="false" customHeight="true" outlineLevel="0" collapsed="false">
      <c r="A40" s="75" t="n">
        <v>2181610</v>
      </c>
      <c r="B40" s="75" t="s">
        <v>566</v>
      </c>
      <c r="C40" s="75" t="n">
        <v>2023</v>
      </c>
      <c r="D40" s="76" t="n">
        <v>9.99</v>
      </c>
      <c r="E40" s="77" t="n">
        <v>233597</v>
      </c>
      <c r="F40" s="75" t="n">
        <v>85</v>
      </c>
      <c r="G40" s="75" t="s">
        <v>567</v>
      </c>
      <c r="H40" s="75" t="s">
        <v>568</v>
      </c>
    </row>
    <row r="41" customFormat="false" ht="15" hidden="false" customHeight="true" outlineLevel="0" collapsed="false">
      <c r="A41" s="72" t="n">
        <v>2797340</v>
      </c>
      <c r="B41" s="72" t="s">
        <v>254</v>
      </c>
      <c r="C41" s="72" t="n">
        <v>2024</v>
      </c>
      <c r="D41" s="73" t="n">
        <v>9.99</v>
      </c>
      <c r="E41" s="74" t="n">
        <v>226696</v>
      </c>
      <c r="F41" s="72" t="n">
        <v>93</v>
      </c>
      <c r="G41" s="72" t="s">
        <v>255</v>
      </c>
      <c r="H41" s="72" t="s">
        <v>569</v>
      </c>
    </row>
    <row r="42" customFormat="false" ht="15" hidden="false" customHeight="true" outlineLevel="0" collapsed="false">
      <c r="A42" s="75" t="n">
        <v>317820</v>
      </c>
      <c r="B42" s="75" t="s">
        <v>570</v>
      </c>
      <c r="C42" s="75" t="n">
        <v>2015</v>
      </c>
      <c r="D42" s="76" t="n">
        <v>19.99</v>
      </c>
      <c r="E42" s="77" t="n">
        <v>221022</v>
      </c>
      <c r="F42" s="75" t="n">
        <v>77</v>
      </c>
      <c r="G42" s="75" t="s">
        <v>571</v>
      </c>
      <c r="H42" s="75" t="s">
        <v>572</v>
      </c>
    </row>
    <row r="43" customFormat="false" ht="15" hidden="false" customHeight="true" outlineLevel="0" collapsed="false">
      <c r="A43" s="72" t="n">
        <v>2738490</v>
      </c>
      <c r="B43" s="72" t="s">
        <v>573</v>
      </c>
      <c r="C43" s="72" t="n">
        <v>2026</v>
      </c>
      <c r="D43" s="73" t="n">
        <v>13.99</v>
      </c>
      <c r="E43" s="74" t="n">
        <v>211559</v>
      </c>
      <c r="F43" s="72" t="n">
        <v>91</v>
      </c>
      <c r="G43" s="72" t="s">
        <v>574</v>
      </c>
      <c r="H43" s="72" t="s">
        <v>575</v>
      </c>
    </row>
    <row r="44" customFormat="false" ht="15" hidden="false" customHeight="true" outlineLevel="0" collapsed="false">
      <c r="A44" s="75" t="n">
        <v>698640</v>
      </c>
      <c r="B44" s="75" t="s">
        <v>576</v>
      </c>
      <c r="C44" s="75" t="n">
        <v>2018</v>
      </c>
      <c r="D44" s="76" t="n">
        <v>19.99</v>
      </c>
      <c r="E44" s="77" t="n">
        <v>208920</v>
      </c>
      <c r="F44" s="75" t="n">
        <v>74</v>
      </c>
      <c r="G44" s="75" t="s">
        <v>577</v>
      </c>
      <c r="H44" s="75" t="s">
        <v>578</v>
      </c>
    </row>
    <row r="45" customFormat="false" ht="15" hidden="false" customHeight="true" outlineLevel="0" collapsed="false">
      <c r="A45" s="72" t="n">
        <v>3509230</v>
      </c>
      <c r="B45" s="72" t="s">
        <v>579</v>
      </c>
      <c r="C45" s="72" t="n">
        <v>2026</v>
      </c>
      <c r="D45" s="73" t="n">
        <v>14.99</v>
      </c>
      <c r="E45" s="74" t="n">
        <v>208592</v>
      </c>
      <c r="F45" s="72" t="n">
        <v>76</v>
      </c>
      <c r="G45" s="72" t="s">
        <v>580</v>
      </c>
      <c r="H45" s="72" t="s">
        <v>581</v>
      </c>
    </row>
    <row r="46" customFormat="false" ht="15" hidden="false" customHeight="true" outlineLevel="0" collapsed="false">
      <c r="A46" s="75" t="n">
        <v>2026820</v>
      </c>
      <c r="B46" s="75" t="s">
        <v>582</v>
      </c>
      <c r="C46" s="75" t="n">
        <v>2026</v>
      </c>
      <c r="D46" s="76" t="n">
        <v>14.99</v>
      </c>
      <c r="E46" s="77" t="n">
        <v>205915</v>
      </c>
      <c r="F46" s="75" t="n">
        <v>92</v>
      </c>
      <c r="G46" s="75" t="s">
        <v>583</v>
      </c>
      <c r="H46" s="75" t="s">
        <v>584</v>
      </c>
    </row>
    <row r="47" customFormat="false" ht="15" hidden="false" customHeight="true" outlineLevel="0" collapsed="false">
      <c r="A47" s="72" t="n">
        <v>2097570</v>
      </c>
      <c r="B47" s="72" t="s">
        <v>177</v>
      </c>
      <c r="C47" s="72" t="n">
        <v>2025</v>
      </c>
      <c r="D47" s="73" t="n">
        <v>24.99</v>
      </c>
      <c r="E47" s="74" t="n">
        <v>186861</v>
      </c>
      <c r="F47" s="72" t="n">
        <v>97</v>
      </c>
      <c r="G47" s="72" t="s">
        <v>178</v>
      </c>
      <c r="H47" s="72" t="s">
        <v>585</v>
      </c>
    </row>
    <row r="48" customFormat="false" ht="15" hidden="false" customHeight="true" outlineLevel="0" collapsed="false">
      <c r="A48" s="75" t="n">
        <v>2198070</v>
      </c>
      <c r="B48" s="75" t="s">
        <v>586</v>
      </c>
      <c r="C48" s="75" t="n">
        <v>2023</v>
      </c>
      <c r="D48" s="76" t="n">
        <v>19.99</v>
      </c>
      <c r="E48" s="77" t="n">
        <v>184755</v>
      </c>
      <c r="F48" s="75" t="n">
        <v>80</v>
      </c>
      <c r="G48" s="75" t="s">
        <v>587</v>
      </c>
      <c r="H48" s="75" t="s">
        <v>588</v>
      </c>
    </row>
    <row r="49" customFormat="false" ht="15" hidden="false" customHeight="true" outlineLevel="0" collapsed="false">
      <c r="A49" s="72" t="n">
        <v>998740</v>
      </c>
      <c r="B49" s="72" t="s">
        <v>589</v>
      </c>
      <c r="C49" s="72" t="n">
        <v>2020</v>
      </c>
      <c r="D49" s="73" t="n">
        <v>19.99</v>
      </c>
      <c r="E49" s="74" t="n">
        <v>178930</v>
      </c>
      <c r="F49" s="72" t="n">
        <v>91</v>
      </c>
      <c r="G49" s="72" t="s">
        <v>590</v>
      </c>
      <c r="H49" s="72" t="s">
        <v>591</v>
      </c>
    </row>
    <row r="50" customFormat="false" ht="15" hidden="false" customHeight="true" outlineLevel="0" collapsed="false">
      <c r="A50" s="75" t="n">
        <v>1919460</v>
      </c>
      <c r="B50" s="75" t="s">
        <v>592</v>
      </c>
      <c r="C50" s="75" t="n">
        <v>2022</v>
      </c>
      <c r="D50" s="76" t="n">
        <v>0.99</v>
      </c>
      <c r="E50" s="77" t="n">
        <v>170941</v>
      </c>
      <c r="F50" s="75" t="n">
        <v>94</v>
      </c>
      <c r="G50" s="75" t="s">
        <v>130</v>
      </c>
      <c r="H50" s="75" t="s">
        <v>593</v>
      </c>
    </row>
    <row r="51" customFormat="false" ht="15" hidden="false" customHeight="true" outlineLevel="0" collapsed="false">
      <c r="A51" s="72" t="n">
        <v>1075740</v>
      </c>
      <c r="B51" s="72" t="s">
        <v>594</v>
      </c>
      <c r="C51" s="72" t="n">
        <v>2021</v>
      </c>
      <c r="D51" s="73" t="n">
        <v>19.99</v>
      </c>
      <c r="E51" s="74" t="n">
        <v>169488</v>
      </c>
      <c r="F51" s="72" t="n">
        <v>79</v>
      </c>
      <c r="G51" s="72" t="s">
        <v>595</v>
      </c>
      <c r="H51" s="72" t="s">
        <v>596</v>
      </c>
    </row>
    <row r="52" customFormat="false" ht="15" hidden="false" customHeight="true" outlineLevel="0" collapsed="false">
      <c r="A52" s="75" t="n">
        <v>2842800</v>
      </c>
      <c r="B52" s="75" t="s">
        <v>597</v>
      </c>
      <c r="C52" s="75" t="n">
        <v>2026</v>
      </c>
      <c r="D52" s="76" t="n">
        <v>9.99</v>
      </c>
      <c r="E52" s="77" t="n">
        <v>167652</v>
      </c>
      <c r="F52" s="75" t="n">
        <v>93</v>
      </c>
      <c r="G52" s="75" t="s">
        <v>598</v>
      </c>
      <c r="H52" s="75" t="s">
        <v>599</v>
      </c>
    </row>
    <row r="53" customFormat="false" ht="15" hidden="false" customHeight="true" outlineLevel="0" collapsed="false">
      <c r="A53" s="72" t="n">
        <v>2870340</v>
      </c>
      <c r="B53" s="72" t="s">
        <v>258</v>
      </c>
      <c r="C53" s="72" t="n">
        <v>2025</v>
      </c>
      <c r="D53" s="73" t="n">
        <v>15.99</v>
      </c>
      <c r="E53" s="74" t="n">
        <v>167224</v>
      </c>
      <c r="F53" s="72" t="n">
        <v>86</v>
      </c>
      <c r="G53" s="72" t="s">
        <v>259</v>
      </c>
      <c r="H53" s="72" t="s">
        <v>600</v>
      </c>
    </row>
    <row r="54" customFormat="false" ht="15" hidden="false" customHeight="true" outlineLevel="0" collapsed="false">
      <c r="A54" s="75" t="n">
        <v>1793250</v>
      </c>
      <c r="B54" s="75" t="s">
        <v>601</v>
      </c>
      <c r="C54" s="75" t="n">
        <v>2023</v>
      </c>
      <c r="D54" s="76" t="n">
        <v>10.99</v>
      </c>
      <c r="E54" s="77" t="n">
        <v>164682</v>
      </c>
      <c r="F54" s="75" t="n">
        <v>94</v>
      </c>
      <c r="G54" s="75" t="s">
        <v>602</v>
      </c>
      <c r="H54" s="75" t="s">
        <v>603</v>
      </c>
    </row>
    <row r="55" customFormat="false" ht="15" hidden="false" customHeight="true" outlineLevel="0" collapsed="false">
      <c r="A55" s="72" t="n">
        <v>2056210</v>
      </c>
      <c r="B55" s="72" t="s">
        <v>429</v>
      </c>
      <c r="C55" s="72" t="n">
        <v>2025</v>
      </c>
      <c r="D55" s="73" t="n">
        <v>12.99</v>
      </c>
      <c r="E55" s="74" t="n">
        <v>162587</v>
      </c>
      <c r="F55" s="72" t="n">
        <v>91</v>
      </c>
      <c r="G55" s="72" t="s">
        <v>604</v>
      </c>
      <c r="H55" s="72" t="s">
        <v>605</v>
      </c>
    </row>
    <row r="56" customFormat="false" ht="15" hidden="false" customHeight="true" outlineLevel="0" collapsed="false">
      <c r="A56" s="75" t="n">
        <v>2179850</v>
      </c>
      <c r="B56" s="75" t="s">
        <v>185</v>
      </c>
      <c r="C56" s="75" t="n">
        <v>2023</v>
      </c>
      <c r="D56" s="76" t="n">
        <v>19.99</v>
      </c>
      <c r="E56" s="77" t="n">
        <v>155304</v>
      </c>
      <c r="F56" s="75" t="n">
        <v>96</v>
      </c>
      <c r="G56" s="75" t="s">
        <v>186</v>
      </c>
      <c r="H56" s="75" t="s">
        <v>606</v>
      </c>
    </row>
    <row r="57" customFormat="false" ht="15" hidden="false" customHeight="true" outlineLevel="0" collapsed="false">
      <c r="A57" s="72" t="n">
        <v>2693930</v>
      </c>
      <c r="B57" s="72" t="s">
        <v>607</v>
      </c>
      <c r="C57" s="72" t="n">
        <v>2024</v>
      </c>
      <c r="D57" s="73" t="n">
        <v>12.99</v>
      </c>
      <c r="E57" s="74" t="n">
        <v>151933</v>
      </c>
      <c r="F57" s="72" t="n">
        <v>83</v>
      </c>
      <c r="G57" s="72" t="s">
        <v>608</v>
      </c>
      <c r="H57" s="72" t="s">
        <v>609</v>
      </c>
    </row>
    <row r="58" customFormat="false" ht="15" hidden="false" customHeight="true" outlineLevel="0" collapsed="false">
      <c r="A58" s="75" t="n">
        <v>3709430</v>
      </c>
      <c r="B58" s="75" t="s">
        <v>610</v>
      </c>
      <c r="C58" s="75" t="n">
        <v>2026</v>
      </c>
      <c r="D58" s="76" t="n">
        <v>8.99</v>
      </c>
      <c r="E58" s="77" t="n">
        <v>142777</v>
      </c>
      <c r="F58" s="75" t="n">
        <v>85</v>
      </c>
      <c r="G58" s="75" t="s">
        <v>611</v>
      </c>
      <c r="H58" s="75" t="s">
        <v>612</v>
      </c>
    </row>
    <row r="59" customFormat="false" ht="15" hidden="false" customHeight="true" outlineLevel="0" collapsed="false">
      <c r="A59" s="72" t="n">
        <v>2719030</v>
      </c>
      <c r="B59" s="72" t="s">
        <v>613</v>
      </c>
      <c r="C59" s="72" t="n">
        <v>2024</v>
      </c>
      <c r="D59" s="73" t="n">
        <v>16.99</v>
      </c>
      <c r="E59" s="74" t="n">
        <v>141139</v>
      </c>
      <c r="F59" s="72" t="n">
        <v>75</v>
      </c>
      <c r="G59" s="72" t="s">
        <v>614</v>
      </c>
      <c r="H59" s="72" t="s">
        <v>615</v>
      </c>
    </row>
    <row r="60" customFormat="false" ht="15" hidden="false" customHeight="true" outlineLevel="0" collapsed="false">
      <c r="A60" s="75" t="n">
        <v>1668690</v>
      </c>
      <c r="B60" s="75" t="s">
        <v>189</v>
      </c>
      <c r="C60" s="75" t="n">
        <v>2022</v>
      </c>
      <c r="D60" s="76" t="n">
        <v>14.99</v>
      </c>
      <c r="E60" s="77" t="n">
        <v>140526</v>
      </c>
      <c r="F60" s="75" t="n">
        <v>92</v>
      </c>
      <c r="G60" s="75" t="s">
        <v>190</v>
      </c>
      <c r="H60" s="75" t="s">
        <v>616</v>
      </c>
    </row>
    <row r="61" customFormat="false" ht="15" hidden="false" customHeight="true" outlineLevel="0" collapsed="false">
      <c r="A61" s="72" t="n">
        <v>1232580</v>
      </c>
      <c r="B61" s="72" t="s">
        <v>330</v>
      </c>
      <c r="C61" s="72" t="n">
        <v>2024</v>
      </c>
      <c r="D61" s="73" t="n">
        <v>24.99</v>
      </c>
      <c r="E61" s="74" t="n">
        <v>135152</v>
      </c>
      <c r="F61" s="72" t="n">
        <v>84</v>
      </c>
      <c r="G61" s="72" t="s">
        <v>617</v>
      </c>
      <c r="H61" s="72" t="s">
        <v>618</v>
      </c>
    </row>
    <row r="62" customFormat="false" ht="15" hidden="false" customHeight="true" outlineLevel="0" collapsed="false">
      <c r="A62" s="75" t="n">
        <v>3410180</v>
      </c>
      <c r="B62" s="75" t="s">
        <v>266</v>
      </c>
      <c r="C62" s="75" t="n">
        <v>2025</v>
      </c>
      <c r="D62" s="76" t="n">
        <v>9.99</v>
      </c>
      <c r="E62" s="77" t="n">
        <v>134671</v>
      </c>
      <c r="F62" s="75" t="n">
        <v>79</v>
      </c>
      <c r="G62" s="75" t="s">
        <v>267</v>
      </c>
      <c r="H62" s="75" t="s">
        <v>619</v>
      </c>
    </row>
    <row r="63" customFormat="false" ht="15" hidden="false" customHeight="true" outlineLevel="0" collapsed="false">
      <c r="A63" s="72" t="n">
        <v>919370</v>
      </c>
      <c r="B63" s="72" t="s">
        <v>620</v>
      </c>
      <c r="C63" s="72" t="n">
        <v>2019</v>
      </c>
      <c r="D63" s="73" t="n">
        <v>14.99</v>
      </c>
      <c r="E63" s="74" t="n">
        <v>130951</v>
      </c>
      <c r="F63" s="72" t="n">
        <v>80</v>
      </c>
      <c r="G63" s="72" t="s">
        <v>621</v>
      </c>
      <c r="H63" s="72" t="s">
        <v>622</v>
      </c>
    </row>
    <row r="64" customFormat="false" ht="15" hidden="false" customHeight="true" outlineLevel="0" collapsed="false">
      <c r="A64" s="75" t="n">
        <v>3100370</v>
      </c>
      <c r="B64" s="75" t="s">
        <v>623</v>
      </c>
      <c r="C64" s="75" t="n">
        <v>2026</v>
      </c>
      <c r="D64" s="76" t="n">
        <v>14.99</v>
      </c>
      <c r="E64" s="77" t="n">
        <v>120461</v>
      </c>
      <c r="F64" s="75" t="n">
        <v>91</v>
      </c>
      <c r="G64" s="75" t="s">
        <v>624</v>
      </c>
      <c r="H64" s="75" t="s">
        <v>625</v>
      </c>
    </row>
    <row r="65" customFormat="false" ht="15" hidden="false" customHeight="true" outlineLevel="0" collapsed="false">
      <c r="A65" s="72" t="n">
        <v>3542380</v>
      </c>
      <c r="B65" s="72" t="s">
        <v>626</v>
      </c>
      <c r="C65" s="72" t="n">
        <v>2026</v>
      </c>
      <c r="D65" s="73" t="n">
        <v>14.99</v>
      </c>
      <c r="E65" s="74" t="n">
        <v>112816</v>
      </c>
      <c r="F65" s="72" t="n">
        <v>81</v>
      </c>
      <c r="G65" s="72" t="s">
        <v>627</v>
      </c>
      <c r="H65" s="72" t="s">
        <v>628</v>
      </c>
    </row>
    <row r="66" customFormat="false" ht="15" hidden="false" customHeight="true" outlineLevel="0" collapsed="false">
      <c r="A66" s="75" t="n">
        <v>823910</v>
      </c>
      <c r="B66" s="75" t="s">
        <v>629</v>
      </c>
      <c r="C66" s="75" t="n">
        <v>2020</v>
      </c>
      <c r="D66" s="76" t="n">
        <v>9.99</v>
      </c>
      <c r="E66" s="77" t="n">
        <v>111491</v>
      </c>
      <c r="F66" s="75" t="n">
        <v>94</v>
      </c>
      <c r="G66" s="75" t="s">
        <v>630</v>
      </c>
      <c r="H66" s="75" t="s">
        <v>631</v>
      </c>
    </row>
    <row r="67" customFormat="false" ht="15" hidden="false" customHeight="true" outlineLevel="0" collapsed="false">
      <c r="A67" s="72" t="n">
        <v>1038370</v>
      </c>
      <c r="B67" s="72" t="s">
        <v>270</v>
      </c>
      <c r="C67" s="72" t="n">
        <v>2021</v>
      </c>
      <c r="D67" s="73" t="n">
        <v>19.99</v>
      </c>
      <c r="E67" s="74" t="n">
        <v>108539</v>
      </c>
      <c r="F67" s="72" t="n">
        <v>86</v>
      </c>
      <c r="G67" s="72" t="s">
        <v>271</v>
      </c>
      <c r="H67" s="72" t="s">
        <v>632</v>
      </c>
    </row>
    <row r="68" customFormat="false" ht="15" hidden="false" customHeight="true" outlineLevel="0" collapsed="false">
      <c r="A68" s="75" t="n">
        <v>1915510</v>
      </c>
      <c r="B68" s="75" t="s">
        <v>274</v>
      </c>
      <c r="C68" s="75" t="n">
        <v>2025</v>
      </c>
      <c r="D68" s="76" t="n">
        <v>16.99</v>
      </c>
      <c r="E68" s="77" t="n">
        <v>107130</v>
      </c>
      <c r="F68" s="75" t="n">
        <v>83</v>
      </c>
      <c r="G68" s="75" t="s">
        <v>275</v>
      </c>
      <c r="H68" s="75" t="s">
        <v>633</v>
      </c>
    </row>
    <row r="69" customFormat="false" ht="15" hidden="false" customHeight="true" outlineLevel="0" collapsed="false">
      <c r="A69" s="72" t="n">
        <v>2113050</v>
      </c>
      <c r="B69" s="72" t="s">
        <v>634</v>
      </c>
      <c r="C69" s="72" t="n">
        <v>2022</v>
      </c>
      <c r="D69" s="73" t="n">
        <v>0</v>
      </c>
      <c r="E69" s="74" t="n">
        <v>104435</v>
      </c>
      <c r="F69" s="72" t="n">
        <v>91</v>
      </c>
      <c r="G69" s="72" t="s">
        <v>635</v>
      </c>
      <c r="H69" s="72" t="s">
        <v>636</v>
      </c>
    </row>
    <row r="70" customFormat="false" ht="15" hidden="false" customHeight="true" outlineLevel="0" collapsed="false">
      <c r="A70" s="75" t="n">
        <v>3177890</v>
      </c>
      <c r="B70" s="75" t="s">
        <v>637</v>
      </c>
      <c r="C70" s="75" t="n">
        <v>2025</v>
      </c>
      <c r="D70" s="76" t="n">
        <v>12.99</v>
      </c>
      <c r="E70" s="77" t="n">
        <v>104406</v>
      </c>
      <c r="F70" s="75" t="n">
        <v>90</v>
      </c>
      <c r="G70" s="75" t="s">
        <v>638</v>
      </c>
      <c r="H70" s="75" t="s">
        <v>639</v>
      </c>
    </row>
    <row r="71" customFormat="false" ht="15" hidden="false" customHeight="true" outlineLevel="0" collapsed="false">
      <c r="A71" s="72" t="n">
        <v>2644610</v>
      </c>
      <c r="B71" s="72" t="s">
        <v>640</v>
      </c>
      <c r="C71" s="72" t="n">
        <v>2024</v>
      </c>
      <c r="D71" s="73" t="n">
        <v>16.99</v>
      </c>
      <c r="E71" s="74" t="n">
        <v>102559</v>
      </c>
      <c r="F71" s="72" t="n">
        <v>85</v>
      </c>
      <c r="G71" s="72" t="s">
        <v>641</v>
      </c>
      <c r="H71" s="72" t="s">
        <v>642</v>
      </c>
    </row>
    <row r="72" customFormat="false" ht="15" hidden="false" customHeight="true" outlineLevel="0" collapsed="false">
      <c r="A72" s="75" t="n">
        <v>3205380</v>
      </c>
      <c r="B72" s="75" t="s">
        <v>643</v>
      </c>
      <c r="C72" s="75" t="n">
        <v>2026</v>
      </c>
      <c r="D72" s="76" t="n">
        <v>14.99</v>
      </c>
      <c r="E72" s="77" t="n">
        <v>101947</v>
      </c>
      <c r="F72" s="75" t="n">
        <v>97</v>
      </c>
      <c r="G72" s="75" t="s">
        <v>644</v>
      </c>
      <c r="H72" s="75" t="s">
        <v>645</v>
      </c>
    </row>
    <row r="73" customFormat="false" ht="15" hidden="false" customHeight="true" outlineLevel="0" collapsed="false">
      <c r="A73" s="72" t="n">
        <v>1260590</v>
      </c>
      <c r="B73" s="72" t="s">
        <v>197</v>
      </c>
      <c r="C73" s="72" t="n">
        <v>2023</v>
      </c>
      <c r="D73" s="73" t="n">
        <v>19.99</v>
      </c>
      <c r="E73" s="74" t="n">
        <v>99480</v>
      </c>
      <c r="F73" s="72" t="n">
        <v>89</v>
      </c>
      <c r="G73" s="72" t="s">
        <v>198</v>
      </c>
      <c r="H73" s="72" t="s">
        <v>646</v>
      </c>
    </row>
    <row r="74" customFormat="false" ht="15" hidden="false" customHeight="true" outlineLevel="0" collapsed="false">
      <c r="A74" s="75" t="n">
        <v>2852980</v>
      </c>
      <c r="B74" s="75" t="s">
        <v>647</v>
      </c>
      <c r="C74" s="75" t="n">
        <v>2024</v>
      </c>
      <c r="D74" s="76" t="n">
        <v>4.99</v>
      </c>
      <c r="E74" s="77" t="n">
        <v>98009</v>
      </c>
      <c r="F74" s="75" t="n">
        <v>82</v>
      </c>
      <c r="G74" s="75" t="s">
        <v>648</v>
      </c>
      <c r="H74" s="75" t="s">
        <v>649</v>
      </c>
    </row>
    <row r="75" customFormat="false" ht="15" hidden="false" customHeight="true" outlineLevel="0" collapsed="false">
      <c r="A75" s="72" t="n">
        <v>1135810</v>
      </c>
      <c r="B75" s="72" t="s">
        <v>391</v>
      </c>
      <c r="C75" s="72" t="n">
        <v>2022</v>
      </c>
      <c r="D75" s="73" t="n">
        <v>17.99</v>
      </c>
      <c r="E75" s="74" t="n">
        <v>97111</v>
      </c>
      <c r="F75" s="72" t="n">
        <v>92</v>
      </c>
      <c r="G75" s="72" t="s">
        <v>650</v>
      </c>
      <c r="H75" s="72" t="s">
        <v>651</v>
      </c>
    </row>
    <row r="76" customFormat="false" ht="15" hidden="false" customHeight="true" outlineLevel="0" collapsed="false">
      <c r="A76" s="75" t="n">
        <v>1709900</v>
      </c>
      <c r="B76" s="75" t="s">
        <v>652</v>
      </c>
      <c r="C76" s="75" t="n">
        <v>2023</v>
      </c>
      <c r="D76" s="76" t="n">
        <v>12.99</v>
      </c>
      <c r="E76" s="77" t="n">
        <v>94568</v>
      </c>
      <c r="F76" s="75" t="n">
        <v>88</v>
      </c>
      <c r="G76" s="75" t="s">
        <v>653</v>
      </c>
      <c r="H76" s="75" t="s">
        <v>654</v>
      </c>
    </row>
    <row r="77" customFormat="false" ht="15" hidden="false" customHeight="true" outlineLevel="0" collapsed="false">
      <c r="A77" s="72" t="n">
        <v>1337890</v>
      </c>
      <c r="B77" s="72" t="s">
        <v>655</v>
      </c>
      <c r="C77" s="72" t="n">
        <v>2020</v>
      </c>
      <c r="D77" s="73" t="n">
        <v>4.99</v>
      </c>
      <c r="E77" s="74" t="n">
        <v>93862</v>
      </c>
      <c r="F77" s="72" t="n">
        <v>89</v>
      </c>
      <c r="G77" s="72" t="s">
        <v>656</v>
      </c>
      <c r="H77" s="72" t="s">
        <v>657</v>
      </c>
    </row>
    <row r="78" customFormat="false" ht="15" hidden="false" customHeight="true" outlineLevel="0" collapsed="false">
      <c r="A78" s="75" t="n">
        <v>1990110</v>
      </c>
      <c r="B78" s="75" t="s">
        <v>658</v>
      </c>
      <c r="C78" s="75" t="n">
        <v>2025</v>
      </c>
      <c r="D78" s="76" t="n">
        <v>19.99</v>
      </c>
      <c r="E78" s="77" t="n">
        <v>93517</v>
      </c>
      <c r="F78" s="75" t="n">
        <v>87</v>
      </c>
      <c r="G78" s="75" t="s">
        <v>659</v>
      </c>
      <c r="H78" s="75" t="s">
        <v>660</v>
      </c>
    </row>
    <row r="79" customFormat="false" ht="15" hidden="false" customHeight="true" outlineLevel="0" collapsed="false">
      <c r="A79" s="72" t="n">
        <v>3430340</v>
      </c>
      <c r="B79" s="72" t="s">
        <v>661</v>
      </c>
      <c r="C79" s="72" t="n">
        <v>2026</v>
      </c>
      <c r="D79" s="73" t="n">
        <v>12.99</v>
      </c>
      <c r="E79" s="74" t="n">
        <v>92674</v>
      </c>
      <c r="F79" s="72" t="n">
        <v>90</v>
      </c>
      <c r="G79" s="72" t="s">
        <v>662</v>
      </c>
      <c r="H79" s="72" t="s">
        <v>663</v>
      </c>
    </row>
    <row r="80" customFormat="false" ht="15" hidden="false" customHeight="true" outlineLevel="0" collapsed="false">
      <c r="A80" s="75" t="n">
        <v>2697930</v>
      </c>
      <c r="B80" s="75" t="s">
        <v>278</v>
      </c>
      <c r="C80" s="75" t="n">
        <v>2025</v>
      </c>
      <c r="D80" s="76" t="n">
        <v>11.99</v>
      </c>
      <c r="E80" s="77" t="n">
        <v>90624</v>
      </c>
      <c r="F80" s="75" t="n">
        <v>75</v>
      </c>
      <c r="G80" s="75" t="s">
        <v>279</v>
      </c>
      <c r="H80" s="75" t="s">
        <v>664</v>
      </c>
    </row>
    <row r="81" customFormat="false" ht="15" hidden="false" customHeight="true" outlineLevel="0" collapsed="false">
      <c r="A81" s="72" t="n">
        <v>1569090</v>
      </c>
      <c r="B81" s="72" t="s">
        <v>201</v>
      </c>
      <c r="C81" s="72" t="n">
        <v>2021</v>
      </c>
      <c r="D81" s="73" t="n">
        <v>14.99</v>
      </c>
      <c r="E81" s="74" t="n">
        <v>88909</v>
      </c>
      <c r="F81" s="72" t="n">
        <v>90</v>
      </c>
      <c r="G81" s="72" t="s">
        <v>202</v>
      </c>
      <c r="H81" s="72" t="s">
        <v>665</v>
      </c>
    </row>
    <row r="82" customFormat="false" ht="15" hidden="false" customHeight="true" outlineLevel="0" collapsed="false">
      <c r="A82" s="75" t="n">
        <v>4075620</v>
      </c>
      <c r="B82" s="75" t="s">
        <v>666</v>
      </c>
      <c r="C82" s="75" t="n">
        <v>2026</v>
      </c>
      <c r="D82" s="76" t="n">
        <v>9.99</v>
      </c>
      <c r="E82" s="77" t="n">
        <v>88076</v>
      </c>
      <c r="F82" s="75" t="n">
        <v>97</v>
      </c>
      <c r="G82" s="75" t="s">
        <v>667</v>
      </c>
      <c r="H82" s="75" t="s">
        <v>668</v>
      </c>
    </row>
    <row r="83" customFormat="false" ht="15" hidden="false" customHeight="true" outlineLevel="0" collapsed="false">
      <c r="A83" s="72" t="n">
        <v>3066570</v>
      </c>
      <c r="B83" s="72" t="s">
        <v>669</v>
      </c>
      <c r="C83" s="72" t="n">
        <v>2025</v>
      </c>
      <c r="D83" s="73" t="n">
        <v>9.99</v>
      </c>
      <c r="E83" s="74" t="n">
        <v>86470</v>
      </c>
      <c r="F83" s="72" t="n">
        <v>88</v>
      </c>
      <c r="G83" s="72" t="s">
        <v>670</v>
      </c>
      <c r="H83" s="72" t="s">
        <v>671</v>
      </c>
    </row>
    <row r="84" customFormat="false" ht="15" hidden="false" customHeight="true" outlineLevel="0" collapsed="false">
      <c r="A84" s="75" t="n">
        <v>2789810</v>
      </c>
      <c r="B84" s="75" t="s">
        <v>672</v>
      </c>
      <c r="C84" s="75" t="n">
        <v>2026</v>
      </c>
      <c r="D84" s="76" t="n">
        <v>14.99</v>
      </c>
      <c r="E84" s="77" t="n">
        <v>86196</v>
      </c>
      <c r="F84" s="75" t="n">
        <v>82</v>
      </c>
      <c r="G84" s="75" t="s">
        <v>673</v>
      </c>
      <c r="H84" s="75" t="s">
        <v>674</v>
      </c>
    </row>
    <row r="85" customFormat="false" ht="15" hidden="false" customHeight="true" outlineLevel="0" collapsed="false">
      <c r="A85" s="72" t="n">
        <v>2735630</v>
      </c>
      <c r="B85" s="72" t="s">
        <v>675</v>
      </c>
      <c r="C85" s="72" t="n">
        <v>2024</v>
      </c>
      <c r="D85" s="73" t="n">
        <v>0</v>
      </c>
      <c r="E85" s="74" t="n">
        <v>85423</v>
      </c>
      <c r="F85" s="72" t="n">
        <v>92</v>
      </c>
      <c r="G85" s="72" t="s">
        <v>676</v>
      </c>
      <c r="H85" s="72" t="s">
        <v>677</v>
      </c>
    </row>
    <row r="86" customFormat="false" ht="15" hidden="false" customHeight="true" outlineLevel="0" collapsed="false">
      <c r="A86" s="75" t="n">
        <v>1140150</v>
      </c>
      <c r="B86" s="75" t="s">
        <v>282</v>
      </c>
      <c r="C86" s="75" t="n">
        <v>2022</v>
      </c>
      <c r="D86" s="76" t="n">
        <v>29.99</v>
      </c>
      <c r="E86" s="77" t="n">
        <v>81114</v>
      </c>
      <c r="F86" s="75" t="n">
        <v>93</v>
      </c>
      <c r="G86" s="75" t="s">
        <v>283</v>
      </c>
      <c r="H86" s="75" t="s">
        <v>678</v>
      </c>
    </row>
    <row r="87" customFormat="false" ht="15" hidden="false" customHeight="true" outlineLevel="0" collapsed="false">
      <c r="A87" s="72" t="n">
        <v>1711950</v>
      </c>
      <c r="B87" s="72" t="s">
        <v>679</v>
      </c>
      <c r="C87" s="72" t="n">
        <v>2022</v>
      </c>
      <c r="D87" s="73" t="n">
        <v>9.99</v>
      </c>
      <c r="E87" s="74" t="n">
        <v>77425</v>
      </c>
      <c r="F87" s="72" t="n">
        <v>54</v>
      </c>
      <c r="G87" s="72" t="s">
        <v>680</v>
      </c>
      <c r="H87" s="72" t="s">
        <v>681</v>
      </c>
    </row>
    <row r="88" customFormat="false" ht="15" hidden="false" customHeight="true" outlineLevel="0" collapsed="false">
      <c r="A88" s="75" t="n">
        <v>2118810</v>
      </c>
      <c r="B88" s="75" t="s">
        <v>682</v>
      </c>
      <c r="C88" s="75" t="n">
        <v>2024</v>
      </c>
      <c r="D88" s="76" t="n">
        <v>19.99</v>
      </c>
      <c r="E88" s="77" t="n">
        <v>76680</v>
      </c>
      <c r="F88" s="75" t="n">
        <v>76</v>
      </c>
      <c r="G88" s="75" t="s">
        <v>683</v>
      </c>
      <c r="H88" s="75" t="s">
        <v>684</v>
      </c>
    </row>
    <row r="89" customFormat="false" ht="15" hidden="false" customHeight="true" outlineLevel="0" collapsed="false">
      <c r="A89" s="72" t="n">
        <v>496620</v>
      </c>
      <c r="B89" s="72" t="s">
        <v>685</v>
      </c>
      <c r="C89" s="72" t="n">
        <v>2017</v>
      </c>
      <c r="D89" s="73" t="n">
        <v>8.99</v>
      </c>
      <c r="E89" s="74" t="n">
        <v>76393</v>
      </c>
      <c r="F89" s="72" t="n">
        <v>79</v>
      </c>
      <c r="G89" s="72" t="s">
        <v>686</v>
      </c>
      <c r="H89" s="72" t="s">
        <v>687</v>
      </c>
    </row>
    <row r="90" customFormat="false" ht="15" hidden="false" customHeight="true" outlineLevel="0" collapsed="false">
      <c r="A90" s="75" t="n">
        <v>2113040</v>
      </c>
      <c r="B90" s="75" t="s">
        <v>688</v>
      </c>
      <c r="C90" s="75" t="n">
        <v>2024</v>
      </c>
      <c r="D90" s="76" t="n">
        <v>14.99</v>
      </c>
      <c r="E90" s="77" t="n">
        <v>73760</v>
      </c>
      <c r="F90" s="75" t="n">
        <v>86</v>
      </c>
      <c r="G90" s="75" t="s">
        <v>635</v>
      </c>
      <c r="H90" s="75" t="s">
        <v>689</v>
      </c>
    </row>
    <row r="91" customFormat="false" ht="15" hidden="false" customHeight="true" outlineLevel="0" collapsed="false">
      <c r="A91" s="72" t="n">
        <v>2917350</v>
      </c>
      <c r="B91" s="72" t="s">
        <v>690</v>
      </c>
      <c r="C91" s="72" t="n">
        <v>2024</v>
      </c>
      <c r="D91" s="73" t="n">
        <v>7.99</v>
      </c>
      <c r="E91" s="74" t="n">
        <v>73712</v>
      </c>
      <c r="F91" s="72" t="n">
        <v>72</v>
      </c>
      <c r="G91" s="72" t="s">
        <v>691</v>
      </c>
      <c r="H91" s="72" t="s">
        <v>692</v>
      </c>
    </row>
    <row r="92" customFormat="false" ht="15" hidden="false" customHeight="true" outlineLevel="0" collapsed="false">
      <c r="A92" s="75" t="n">
        <v>3166810</v>
      </c>
      <c r="B92" s="75" t="s">
        <v>410</v>
      </c>
      <c r="C92" s="75" t="n">
        <v>2026</v>
      </c>
      <c r="D92" s="76" t="n">
        <v>12.89</v>
      </c>
      <c r="E92" s="77" t="n">
        <v>73190</v>
      </c>
      <c r="F92" s="75" t="n">
        <v>81</v>
      </c>
      <c r="G92" s="75" t="s">
        <v>693</v>
      </c>
      <c r="H92" s="75" t="s">
        <v>694</v>
      </c>
    </row>
    <row r="93" customFormat="false" ht="15" hidden="false" customHeight="true" outlineLevel="0" collapsed="false">
      <c r="A93" s="72" t="n">
        <v>3481020</v>
      </c>
      <c r="B93" s="72" t="s">
        <v>695</v>
      </c>
      <c r="C93" s="72" t="n">
        <v>2026</v>
      </c>
      <c r="D93" s="73" t="n">
        <v>9.99</v>
      </c>
      <c r="E93" s="74" t="n">
        <v>72674</v>
      </c>
      <c r="F93" s="72" t="n">
        <v>82</v>
      </c>
      <c r="G93" s="72" t="s">
        <v>696</v>
      </c>
      <c r="H93" s="72" t="s">
        <v>697</v>
      </c>
    </row>
    <row r="94" customFormat="false" ht="15" hidden="false" customHeight="true" outlineLevel="0" collapsed="false">
      <c r="A94" s="75" t="n">
        <v>2460070</v>
      </c>
      <c r="B94" s="75" t="s">
        <v>698</v>
      </c>
      <c r="C94" s="75" t="n">
        <v>2024</v>
      </c>
      <c r="D94" s="76" t="n">
        <v>10.99</v>
      </c>
      <c r="E94" s="77" t="n">
        <v>71618</v>
      </c>
      <c r="F94" s="75" t="n">
        <v>90</v>
      </c>
      <c r="G94" s="75" t="s">
        <v>699</v>
      </c>
      <c r="H94" s="75" t="s">
        <v>700</v>
      </c>
    </row>
    <row r="95" customFormat="false" ht="15" hidden="false" customHeight="true" outlineLevel="0" collapsed="false">
      <c r="A95" s="72" t="n">
        <v>1803400</v>
      </c>
      <c r="B95" s="72" t="s">
        <v>701</v>
      </c>
      <c r="C95" s="72" t="n">
        <v>2023</v>
      </c>
      <c r="D95" s="73" t="n">
        <v>24.99</v>
      </c>
      <c r="E95" s="74" t="n">
        <v>69987</v>
      </c>
      <c r="F95" s="72" t="n">
        <v>76</v>
      </c>
      <c r="G95" s="72" t="s">
        <v>702</v>
      </c>
      <c r="H95" s="72" t="s">
        <v>703</v>
      </c>
    </row>
    <row r="96" customFormat="false" ht="15" hidden="false" customHeight="true" outlineLevel="0" collapsed="false">
      <c r="A96" s="75" t="n">
        <v>4150860</v>
      </c>
      <c r="B96" s="75" t="s">
        <v>704</v>
      </c>
      <c r="C96" s="75" t="n">
        <v>2026</v>
      </c>
      <c r="D96" s="76" t="n">
        <v>9.99</v>
      </c>
      <c r="E96" s="77" t="n">
        <v>68792</v>
      </c>
      <c r="F96" s="75" t="n">
        <v>89</v>
      </c>
      <c r="G96" s="75" t="s">
        <v>705</v>
      </c>
      <c r="H96" s="75" t="s">
        <v>706</v>
      </c>
    </row>
    <row r="97" customFormat="false" ht="15" hidden="false" customHeight="true" outlineLevel="0" collapsed="false">
      <c r="A97" s="72" t="n">
        <v>2464880</v>
      </c>
      <c r="B97" s="72" t="s">
        <v>707</v>
      </c>
      <c r="C97" s="72" t="n">
        <v>2023</v>
      </c>
      <c r="D97" s="73" t="n">
        <v>8.99</v>
      </c>
      <c r="E97" s="74" t="n">
        <v>67594</v>
      </c>
      <c r="F97" s="72" t="n">
        <v>85</v>
      </c>
      <c r="G97" s="72" t="s">
        <v>708</v>
      </c>
      <c r="H97" s="72" t="s">
        <v>709</v>
      </c>
    </row>
    <row r="98" customFormat="false" ht="15" hidden="false" customHeight="true" outlineLevel="0" collapsed="false">
      <c r="A98" s="75" t="n">
        <v>770100</v>
      </c>
      <c r="B98" s="75" t="s">
        <v>710</v>
      </c>
      <c r="C98" s="75" t="n">
        <v>2018</v>
      </c>
      <c r="D98" s="76" t="n">
        <v>9.99</v>
      </c>
      <c r="E98" s="77" t="n">
        <v>67171</v>
      </c>
      <c r="F98" s="75" t="n">
        <v>81</v>
      </c>
      <c r="G98" s="75" t="s">
        <v>711</v>
      </c>
      <c r="H98" s="75" t="s">
        <v>712</v>
      </c>
    </row>
    <row r="99" customFormat="false" ht="15" hidden="false" customHeight="true" outlineLevel="0" collapsed="false">
      <c r="A99" s="72" t="n">
        <v>1996430</v>
      </c>
      <c r="B99" s="72" t="s">
        <v>447</v>
      </c>
      <c r="C99" s="72" t="n">
        <v>2024</v>
      </c>
      <c r="D99" s="73" t="n">
        <v>14.99</v>
      </c>
      <c r="E99" s="74" t="n">
        <v>67082</v>
      </c>
      <c r="F99" s="72" t="n">
        <v>89</v>
      </c>
      <c r="G99" s="72" t="s">
        <v>713</v>
      </c>
      <c r="H99" s="72" t="s">
        <v>714</v>
      </c>
    </row>
    <row r="100" customFormat="false" ht="15" hidden="false" customHeight="true" outlineLevel="0" collapsed="false">
      <c r="A100" s="75" t="n">
        <v>3332600</v>
      </c>
      <c r="B100" s="75" t="s">
        <v>715</v>
      </c>
      <c r="C100" s="75" t="n">
        <v>2026</v>
      </c>
      <c r="D100" s="76" t="n">
        <v>12.99</v>
      </c>
      <c r="E100" s="77" t="n">
        <v>65827</v>
      </c>
      <c r="F100" s="75" t="n">
        <v>92</v>
      </c>
      <c r="G100" s="75" t="s">
        <v>716</v>
      </c>
      <c r="H100" s="75" t="s">
        <v>717</v>
      </c>
    </row>
    <row r="101" customFormat="false" ht="15" hidden="false" customHeight="true" outlineLevel="0" collapsed="false">
      <c r="A101" s="72" t="n">
        <v>1769830</v>
      </c>
      <c r="B101" s="72" t="s">
        <v>718</v>
      </c>
      <c r="C101" s="72" t="n">
        <v>2025</v>
      </c>
      <c r="D101" s="73" t="n">
        <v>19.99</v>
      </c>
      <c r="E101" s="74" t="n">
        <v>64624</v>
      </c>
      <c r="F101" s="72" t="n">
        <v>87</v>
      </c>
      <c r="G101" s="72" t="s">
        <v>719</v>
      </c>
      <c r="H101" s="72" t="s">
        <v>720</v>
      </c>
    </row>
    <row r="102" customFormat="false" ht="15" hidden="false" customHeight="true" outlineLevel="0" collapsed="false">
      <c r="A102" s="75" t="n">
        <v>2760790</v>
      </c>
      <c r="B102" s="75" t="s">
        <v>721</v>
      </c>
      <c r="C102" s="75" t="n">
        <v>2025</v>
      </c>
      <c r="D102" s="76" t="n">
        <v>6.99</v>
      </c>
      <c r="E102" s="77" t="n">
        <v>62489</v>
      </c>
      <c r="F102" s="75" t="n">
        <v>72</v>
      </c>
      <c r="G102" s="75" t="s">
        <v>722</v>
      </c>
      <c r="H102" s="75" t="s">
        <v>723</v>
      </c>
    </row>
    <row r="103" customFormat="false" ht="15" hidden="false" customHeight="true" outlineLevel="0" collapsed="false">
      <c r="A103" s="72" t="n">
        <v>2316330</v>
      </c>
      <c r="B103" s="72" t="s">
        <v>724</v>
      </c>
      <c r="C103" s="72" t="n">
        <v>2023</v>
      </c>
      <c r="D103" s="73" t="n">
        <v>0</v>
      </c>
      <c r="E103" s="74" t="n">
        <v>60734</v>
      </c>
      <c r="F103" s="72" t="n">
        <v>97</v>
      </c>
      <c r="G103" s="72" t="s">
        <v>235</v>
      </c>
      <c r="H103" s="72" t="s">
        <v>725</v>
      </c>
    </row>
    <row r="104" customFormat="false" ht="15" hidden="false" customHeight="true" outlineLevel="0" collapsed="false">
      <c r="A104" s="75" t="n">
        <v>2655590</v>
      </c>
      <c r="B104" s="75" t="s">
        <v>726</v>
      </c>
      <c r="C104" s="75" t="n">
        <v>2025</v>
      </c>
      <c r="D104" s="76" t="n">
        <v>9.99</v>
      </c>
      <c r="E104" s="77" t="n">
        <v>58465</v>
      </c>
      <c r="F104" s="75" t="n">
        <v>73</v>
      </c>
      <c r="G104" s="75" t="s">
        <v>727</v>
      </c>
      <c r="H104" s="75" t="s">
        <v>728</v>
      </c>
    </row>
    <row r="105" customFormat="false" ht="15" hidden="false" customHeight="true" outlineLevel="0" collapsed="false">
      <c r="A105" s="72" t="n">
        <v>4206270</v>
      </c>
      <c r="B105" s="72" t="s">
        <v>363</v>
      </c>
      <c r="C105" s="72" t="n">
        <v>2026</v>
      </c>
      <c r="D105" s="73" t="n">
        <v>6.99</v>
      </c>
      <c r="E105" s="74" t="n">
        <v>56782</v>
      </c>
      <c r="F105" s="72" t="n">
        <v>90</v>
      </c>
      <c r="G105" s="72" t="s">
        <v>729</v>
      </c>
      <c r="H105" s="72" t="s">
        <v>730</v>
      </c>
    </row>
    <row r="106" customFormat="false" ht="15" hidden="false" customHeight="true" outlineLevel="0" collapsed="false">
      <c r="A106" s="75" t="n">
        <v>1389360</v>
      </c>
      <c r="B106" s="75" t="s">
        <v>731</v>
      </c>
      <c r="C106" s="75" t="n">
        <v>2022</v>
      </c>
      <c r="D106" s="76" t="n">
        <v>19.99</v>
      </c>
      <c r="E106" s="77" t="n">
        <v>56214</v>
      </c>
      <c r="F106" s="75" t="n">
        <v>81</v>
      </c>
      <c r="G106" s="75" t="s">
        <v>732</v>
      </c>
      <c r="H106" s="75" t="s">
        <v>733</v>
      </c>
    </row>
    <row r="107" customFormat="false" ht="15" hidden="false" customHeight="true" outlineLevel="0" collapsed="false">
      <c r="A107" s="72" t="n">
        <v>1266430</v>
      </c>
      <c r="B107" s="72" t="s">
        <v>734</v>
      </c>
      <c r="C107" s="72" t="n">
        <v>2024</v>
      </c>
      <c r="D107" s="73" t="n">
        <v>13.99</v>
      </c>
      <c r="E107" s="74" t="n">
        <v>54761</v>
      </c>
      <c r="F107" s="72" t="n">
        <v>85</v>
      </c>
      <c r="G107" s="72" t="s">
        <v>735</v>
      </c>
      <c r="H107" s="72" t="s">
        <v>736</v>
      </c>
    </row>
    <row r="108" customFormat="false" ht="15" hidden="false" customHeight="true" outlineLevel="0" collapsed="false">
      <c r="A108" s="75" t="n">
        <v>2691350</v>
      </c>
      <c r="B108" s="75" t="s">
        <v>737</v>
      </c>
      <c r="C108" s="75" t="n">
        <v>2024</v>
      </c>
      <c r="D108" s="76" t="n">
        <v>0</v>
      </c>
      <c r="E108" s="77" t="n">
        <v>54704</v>
      </c>
      <c r="F108" s="75" t="n">
        <v>95</v>
      </c>
      <c r="G108" s="75" t="s">
        <v>738</v>
      </c>
      <c r="H108" s="75" t="s">
        <v>739</v>
      </c>
    </row>
    <row r="109" customFormat="false" ht="15" hidden="false" customHeight="true" outlineLevel="0" collapsed="false">
      <c r="A109" s="72" t="n">
        <v>2074480</v>
      </c>
      <c r="B109" s="72" t="s">
        <v>740</v>
      </c>
      <c r="C109" s="72" t="n">
        <v>2022</v>
      </c>
      <c r="D109" s="73" t="n">
        <v>0.99</v>
      </c>
      <c r="E109" s="74" t="n">
        <v>53924</v>
      </c>
      <c r="F109" s="72" t="n">
        <v>95</v>
      </c>
      <c r="G109" s="72" t="s">
        <v>741</v>
      </c>
      <c r="H109" s="72" t="s">
        <v>742</v>
      </c>
    </row>
    <row r="110" customFormat="false" ht="15" hidden="false" customHeight="true" outlineLevel="0" collapsed="false">
      <c r="A110" s="75" t="n">
        <v>1573630</v>
      </c>
      <c r="B110" s="75" t="s">
        <v>332</v>
      </c>
      <c r="C110" s="75" t="n">
        <v>2022</v>
      </c>
      <c r="D110" s="76" t="n">
        <v>6.99</v>
      </c>
      <c r="E110" s="77" t="n">
        <v>50626</v>
      </c>
      <c r="F110" s="75" t="n">
        <v>94</v>
      </c>
      <c r="G110" s="75" t="s">
        <v>656</v>
      </c>
      <c r="H110" s="75" t="s">
        <v>743</v>
      </c>
    </row>
    <row r="111" customFormat="false" ht="15" hidden="false" customHeight="true" outlineLevel="0" collapsed="false">
      <c r="A111" s="72" t="n">
        <v>3393750</v>
      </c>
      <c r="B111" s="72" t="s">
        <v>315</v>
      </c>
      <c r="C111" s="72" t="n">
        <v>2025</v>
      </c>
      <c r="D111" s="73" t="n">
        <v>6.99</v>
      </c>
      <c r="E111" s="74" t="n">
        <v>50391</v>
      </c>
      <c r="F111" s="72" t="n">
        <v>67</v>
      </c>
      <c r="G111" s="72" t="s">
        <v>744</v>
      </c>
      <c r="H111" s="72" t="s">
        <v>745</v>
      </c>
    </row>
    <row r="112" customFormat="false" ht="15" hidden="false" customHeight="true" outlineLevel="0" collapsed="false">
      <c r="A112" s="75" t="n">
        <v>2305500</v>
      </c>
      <c r="B112" s="75" t="s">
        <v>746</v>
      </c>
      <c r="C112" s="75" t="n">
        <v>2024</v>
      </c>
      <c r="D112" s="76" t="n">
        <v>13.99</v>
      </c>
      <c r="E112" s="77" t="n">
        <v>48987</v>
      </c>
      <c r="F112" s="75" t="n">
        <v>93</v>
      </c>
      <c r="G112" s="75" t="s">
        <v>747</v>
      </c>
      <c r="H112" s="75" t="s">
        <v>748</v>
      </c>
    </row>
    <row r="113" customFormat="false" ht="15" hidden="false" customHeight="true" outlineLevel="0" collapsed="false">
      <c r="A113" s="72" t="n">
        <v>536040</v>
      </c>
      <c r="B113" s="72" t="s">
        <v>749</v>
      </c>
      <c r="C113" s="72" t="n">
        <v>2016</v>
      </c>
      <c r="D113" s="73" t="n">
        <v>0.99</v>
      </c>
      <c r="E113" s="74" t="n">
        <v>48949</v>
      </c>
      <c r="F113" s="72" t="n">
        <v>74</v>
      </c>
      <c r="G113" s="72" t="s">
        <v>750</v>
      </c>
      <c r="H113" s="72" t="s">
        <v>751</v>
      </c>
    </row>
    <row r="114" customFormat="false" ht="15" hidden="false" customHeight="true" outlineLevel="0" collapsed="false">
      <c r="A114" s="75" t="n">
        <v>2825880</v>
      </c>
      <c r="B114" s="75" t="s">
        <v>752</v>
      </c>
      <c r="C114" s="75" t="n">
        <v>2025</v>
      </c>
      <c r="D114" s="76" t="n">
        <v>19.99</v>
      </c>
      <c r="E114" s="77" t="n">
        <v>47423</v>
      </c>
      <c r="F114" s="75" t="n">
        <v>92</v>
      </c>
      <c r="G114" s="75" t="s">
        <v>753</v>
      </c>
      <c r="H114" s="75" t="s">
        <v>754</v>
      </c>
    </row>
    <row r="115" customFormat="false" ht="15" hidden="false" customHeight="true" outlineLevel="0" collapsed="false">
      <c r="A115" s="72" t="n">
        <v>2116060</v>
      </c>
      <c r="B115" s="72" t="s">
        <v>755</v>
      </c>
      <c r="C115" s="72" t="n">
        <v>2024</v>
      </c>
      <c r="D115" s="73" t="n">
        <v>14.99</v>
      </c>
      <c r="E115" s="74" t="n">
        <v>44229</v>
      </c>
      <c r="F115" s="72" t="n">
        <v>71</v>
      </c>
      <c r="G115" s="72" t="s">
        <v>756</v>
      </c>
      <c r="H115" s="72" t="s">
        <v>757</v>
      </c>
    </row>
    <row r="116" customFormat="false" ht="15" hidden="false" customHeight="true" outlineLevel="0" collapsed="false">
      <c r="A116" s="75" t="n">
        <v>3734290</v>
      </c>
      <c r="B116" s="75" t="s">
        <v>758</v>
      </c>
      <c r="C116" s="75" t="n">
        <v>2026</v>
      </c>
      <c r="D116" s="76" t="n">
        <v>9.99</v>
      </c>
      <c r="E116" s="77" t="n">
        <v>41814</v>
      </c>
      <c r="F116" s="75" t="n">
        <v>90</v>
      </c>
      <c r="G116" s="75" t="s">
        <v>759</v>
      </c>
      <c r="H116" s="75" t="s">
        <v>760</v>
      </c>
    </row>
    <row r="117" customFormat="false" ht="15" hidden="false" customHeight="true" outlineLevel="0" collapsed="false">
      <c r="A117" s="72" t="n">
        <v>2311990</v>
      </c>
      <c r="B117" s="72" t="s">
        <v>761</v>
      </c>
      <c r="C117" s="72" t="n">
        <v>2024</v>
      </c>
      <c r="D117" s="73" t="n">
        <v>5.99</v>
      </c>
      <c r="E117" s="74" t="n">
        <v>41403</v>
      </c>
      <c r="F117" s="72" t="n">
        <v>91</v>
      </c>
      <c r="G117" s="72" t="s">
        <v>762</v>
      </c>
      <c r="H117" s="72" t="s">
        <v>763</v>
      </c>
    </row>
    <row r="118" customFormat="false" ht="15" hidden="false" customHeight="true" outlineLevel="0" collapsed="false">
      <c r="A118" s="75" t="n">
        <v>3219010</v>
      </c>
      <c r="B118" s="75" t="s">
        <v>387</v>
      </c>
      <c r="C118" s="75" t="n">
        <v>2026</v>
      </c>
      <c r="D118" s="76" t="n">
        <v>19.99</v>
      </c>
      <c r="E118" s="77" t="n">
        <v>40168</v>
      </c>
      <c r="F118" s="75" t="n">
        <v>84</v>
      </c>
      <c r="G118" s="75" t="s">
        <v>764</v>
      </c>
      <c r="H118" s="75" t="s">
        <v>684</v>
      </c>
    </row>
    <row r="119" customFormat="false" ht="15" hidden="false" customHeight="true" outlineLevel="0" collapsed="false">
      <c r="A119" s="72" t="n">
        <v>1638390</v>
      </c>
      <c r="B119" s="72" t="s">
        <v>293</v>
      </c>
      <c r="C119" s="72" t="n">
        <v>2023</v>
      </c>
      <c r="D119" s="73" t="n">
        <v>14.99</v>
      </c>
      <c r="E119" s="74" t="n">
        <v>39890</v>
      </c>
      <c r="F119" s="72" t="n">
        <v>76</v>
      </c>
      <c r="G119" s="72" t="s">
        <v>294</v>
      </c>
      <c r="H119" s="72" t="s">
        <v>765</v>
      </c>
    </row>
    <row r="120" customFormat="false" ht="15" hidden="false" customHeight="true" outlineLevel="0" collapsed="false">
      <c r="A120" s="75" t="n">
        <v>2746910</v>
      </c>
      <c r="B120" s="75" t="s">
        <v>766</v>
      </c>
      <c r="C120" s="75" t="n">
        <v>2025</v>
      </c>
      <c r="D120" s="76" t="n">
        <v>8.99</v>
      </c>
      <c r="E120" s="77" t="n">
        <v>39853</v>
      </c>
      <c r="F120" s="75" t="n">
        <v>92</v>
      </c>
      <c r="G120" s="75" t="s">
        <v>767</v>
      </c>
      <c r="H120" s="75" t="s">
        <v>768</v>
      </c>
    </row>
    <row r="121" customFormat="false" ht="15" hidden="false" customHeight="true" outlineLevel="0" collapsed="false">
      <c r="A121" s="72" t="n">
        <v>1142080</v>
      </c>
      <c r="B121" s="72" t="s">
        <v>769</v>
      </c>
      <c r="C121" s="72" t="n">
        <v>2021</v>
      </c>
      <c r="D121" s="73" t="n">
        <v>9.99</v>
      </c>
      <c r="E121" s="74" t="n">
        <v>39079</v>
      </c>
      <c r="F121" s="72" t="n">
        <v>89</v>
      </c>
      <c r="G121" s="72" t="s">
        <v>770</v>
      </c>
      <c r="H121" s="72" t="s">
        <v>771</v>
      </c>
    </row>
    <row r="122" customFormat="false" ht="15" hidden="false" customHeight="true" outlineLevel="0" collapsed="false">
      <c r="A122" s="75" t="n">
        <v>1071140</v>
      </c>
      <c r="B122" s="75" t="s">
        <v>772</v>
      </c>
      <c r="C122" s="75" t="n">
        <v>2022</v>
      </c>
      <c r="D122" s="76" t="n">
        <v>19.99</v>
      </c>
      <c r="E122" s="77" t="n">
        <v>38544</v>
      </c>
      <c r="F122" s="75" t="n">
        <v>69</v>
      </c>
      <c r="G122" s="75" t="s">
        <v>773</v>
      </c>
      <c r="H122" s="75" t="s">
        <v>774</v>
      </c>
    </row>
    <row r="123" customFormat="false" ht="15" hidden="false" customHeight="true" outlineLevel="0" collapsed="false">
      <c r="A123" s="72" t="n">
        <v>3917700</v>
      </c>
      <c r="B123" s="72" t="s">
        <v>344</v>
      </c>
      <c r="C123" s="72" t="n">
        <v>2026</v>
      </c>
      <c r="D123" s="73" t="n">
        <v>14.99</v>
      </c>
      <c r="E123" s="74" t="n">
        <v>37543</v>
      </c>
      <c r="F123" s="72" t="n">
        <v>97</v>
      </c>
      <c r="G123" s="72" t="s">
        <v>178</v>
      </c>
      <c r="H123" s="72" t="s">
        <v>775</v>
      </c>
    </row>
    <row r="124" customFormat="false" ht="15" hidden="false" customHeight="true" outlineLevel="0" collapsed="false">
      <c r="A124" s="75" t="n">
        <v>3519530</v>
      </c>
      <c r="B124" s="75" t="s">
        <v>776</v>
      </c>
      <c r="C124" s="75" t="n">
        <v>2025</v>
      </c>
      <c r="D124" s="76" t="n">
        <v>3.99</v>
      </c>
      <c r="E124" s="77" t="n">
        <v>36915</v>
      </c>
      <c r="F124" s="75" t="n">
        <v>94</v>
      </c>
      <c r="G124" s="75" t="s">
        <v>777</v>
      </c>
      <c r="H124" s="75" t="s">
        <v>778</v>
      </c>
    </row>
    <row r="125" customFormat="false" ht="15" hidden="false" customHeight="true" outlineLevel="0" collapsed="false">
      <c r="A125" s="72" t="n">
        <v>1682060</v>
      </c>
      <c r="B125" s="72" t="s">
        <v>779</v>
      </c>
      <c r="C125" s="72" t="n">
        <v>2022</v>
      </c>
      <c r="D125" s="73" t="n">
        <v>14.99</v>
      </c>
      <c r="E125" s="74" t="n">
        <v>36823</v>
      </c>
      <c r="F125" s="72" t="n">
        <v>89</v>
      </c>
      <c r="G125" s="72" t="s">
        <v>780</v>
      </c>
      <c r="H125" s="72" t="s">
        <v>781</v>
      </c>
    </row>
    <row r="126" customFormat="false" ht="15" hidden="false" customHeight="true" outlineLevel="0" collapsed="false">
      <c r="A126" s="75" t="n">
        <v>1585910</v>
      </c>
      <c r="B126" s="75" t="s">
        <v>782</v>
      </c>
      <c r="C126" s="75" t="n">
        <v>2021</v>
      </c>
      <c r="D126" s="76" t="n">
        <v>4.99</v>
      </c>
      <c r="E126" s="77" t="n">
        <v>35846</v>
      </c>
      <c r="F126" s="75" t="n">
        <v>92</v>
      </c>
      <c r="G126" s="75" t="s">
        <v>783</v>
      </c>
      <c r="H126" s="75" t="s">
        <v>784</v>
      </c>
    </row>
    <row r="127" customFormat="false" ht="15" hidden="false" customHeight="true" outlineLevel="0" collapsed="false">
      <c r="A127" s="72" t="n">
        <v>2652600</v>
      </c>
      <c r="B127" s="72" t="s">
        <v>785</v>
      </c>
      <c r="C127" s="72" t="n">
        <v>2026</v>
      </c>
      <c r="D127" s="73" t="n">
        <v>8.99</v>
      </c>
      <c r="E127" s="74" t="n">
        <v>35654</v>
      </c>
      <c r="F127" s="72" t="n">
        <v>57</v>
      </c>
      <c r="G127" s="72" t="s">
        <v>786</v>
      </c>
      <c r="H127" s="72" t="s">
        <v>787</v>
      </c>
    </row>
    <row r="128" customFormat="false" ht="15" hidden="false" customHeight="true" outlineLevel="0" collapsed="false">
      <c r="A128" s="75" t="n">
        <v>930780</v>
      </c>
      <c r="B128" s="75" t="s">
        <v>788</v>
      </c>
      <c r="C128" s="75" t="n">
        <v>2019</v>
      </c>
      <c r="D128" s="76" t="n">
        <v>14.99</v>
      </c>
      <c r="E128" s="77" t="n">
        <v>35539</v>
      </c>
      <c r="F128" s="75" t="n">
        <v>81</v>
      </c>
      <c r="G128" s="75" t="s">
        <v>789</v>
      </c>
      <c r="H128" s="75" t="s">
        <v>790</v>
      </c>
    </row>
    <row r="129" customFormat="false" ht="15" hidden="false" customHeight="true" outlineLevel="0" collapsed="false">
      <c r="A129" s="72" t="n">
        <v>3573070</v>
      </c>
      <c r="B129" s="72" t="s">
        <v>791</v>
      </c>
      <c r="C129" s="72" t="n">
        <v>2025</v>
      </c>
      <c r="D129" s="73" t="n">
        <v>13.99</v>
      </c>
      <c r="E129" s="74" t="n">
        <v>34997</v>
      </c>
      <c r="F129" s="72" t="n">
        <v>86</v>
      </c>
      <c r="G129" s="72" t="s">
        <v>792</v>
      </c>
      <c r="H129" s="72" t="s">
        <v>793</v>
      </c>
    </row>
    <row r="130" customFormat="false" ht="15" hidden="false" customHeight="true" outlineLevel="0" collapsed="false">
      <c r="A130" s="75" t="n">
        <v>2348090</v>
      </c>
      <c r="B130" s="75" t="s">
        <v>794</v>
      </c>
      <c r="C130" s="75" t="n">
        <v>2023</v>
      </c>
      <c r="D130" s="76" t="n">
        <v>9.99</v>
      </c>
      <c r="E130" s="77" t="n">
        <v>34690</v>
      </c>
      <c r="F130" s="75" t="n">
        <v>94</v>
      </c>
      <c r="G130" s="75" t="s">
        <v>795</v>
      </c>
      <c r="H130" s="75" t="s">
        <v>796</v>
      </c>
    </row>
    <row r="131" customFormat="false" ht="15" hidden="false" customHeight="true" outlineLevel="0" collapsed="false">
      <c r="A131" s="72" t="n">
        <v>1016730</v>
      </c>
      <c r="B131" s="72" t="s">
        <v>797</v>
      </c>
      <c r="C131" s="72" t="n">
        <v>2020</v>
      </c>
      <c r="D131" s="73" t="n">
        <v>19.99</v>
      </c>
      <c r="E131" s="74" t="n">
        <v>34689</v>
      </c>
      <c r="F131" s="72" t="n">
        <v>72</v>
      </c>
      <c r="G131" s="72" t="s">
        <v>798</v>
      </c>
      <c r="H131" s="72" t="s">
        <v>799</v>
      </c>
    </row>
    <row r="132" customFormat="false" ht="15" hidden="false" customHeight="true" outlineLevel="0" collapsed="false">
      <c r="A132" s="75" t="n">
        <v>3282420</v>
      </c>
      <c r="B132" s="75" t="s">
        <v>800</v>
      </c>
      <c r="C132" s="75" t="n">
        <v>2026</v>
      </c>
      <c r="D132" s="76" t="n">
        <v>14.99</v>
      </c>
      <c r="E132" s="77" t="n">
        <v>33431</v>
      </c>
      <c r="F132" s="75" t="n">
        <v>91</v>
      </c>
      <c r="G132" s="75" t="s">
        <v>801</v>
      </c>
      <c r="H132" s="75" t="s">
        <v>802</v>
      </c>
    </row>
    <row r="133" customFormat="false" ht="15" hidden="false" customHeight="true" outlineLevel="0" collapsed="false">
      <c r="A133" s="72" t="n">
        <v>3141720</v>
      </c>
      <c r="B133" s="72" t="s">
        <v>803</v>
      </c>
      <c r="C133" s="72" t="n">
        <v>2025</v>
      </c>
      <c r="D133" s="73" t="n">
        <v>14.99</v>
      </c>
      <c r="E133" s="74" t="n">
        <v>32923</v>
      </c>
      <c r="F133" s="72" t="n">
        <v>75</v>
      </c>
      <c r="G133" s="72" t="s">
        <v>804</v>
      </c>
      <c r="H133" s="72" t="s">
        <v>805</v>
      </c>
    </row>
    <row r="134" customFormat="false" ht="15" hidden="false" customHeight="true" outlineLevel="0" collapsed="false">
      <c r="A134" s="75" t="n">
        <v>1766390</v>
      </c>
      <c r="B134" s="75" t="s">
        <v>806</v>
      </c>
      <c r="C134" s="75" t="n">
        <v>2022</v>
      </c>
      <c r="D134" s="76" t="n">
        <v>9.99</v>
      </c>
      <c r="E134" s="77" t="n">
        <v>32716</v>
      </c>
      <c r="F134" s="75" t="n">
        <v>85</v>
      </c>
      <c r="G134" s="75" t="s">
        <v>807</v>
      </c>
      <c r="H134" s="75" t="s">
        <v>808</v>
      </c>
    </row>
    <row r="135" customFormat="false" ht="15" hidden="false" customHeight="true" outlineLevel="0" collapsed="false">
      <c r="A135" s="72" t="n">
        <v>2229560</v>
      </c>
      <c r="B135" s="72" t="s">
        <v>809</v>
      </c>
      <c r="C135" s="72" t="n">
        <v>2024</v>
      </c>
      <c r="D135" s="73" t="n">
        <v>9.99</v>
      </c>
      <c r="E135" s="74" t="n">
        <v>32278</v>
      </c>
      <c r="F135" s="72" t="n">
        <v>88</v>
      </c>
      <c r="G135" s="72" t="s">
        <v>810</v>
      </c>
      <c r="H135" s="72" t="s">
        <v>811</v>
      </c>
    </row>
    <row r="136" customFormat="false" ht="15" hidden="false" customHeight="true" outlineLevel="0" collapsed="false">
      <c r="A136" s="75" t="n">
        <v>264690</v>
      </c>
      <c r="B136" s="75" t="s">
        <v>812</v>
      </c>
      <c r="C136" s="75" t="n">
        <v>2014</v>
      </c>
      <c r="D136" s="76" t="n">
        <v>9.99</v>
      </c>
      <c r="E136" s="77" t="n">
        <v>32047</v>
      </c>
      <c r="F136" s="75" t="n">
        <v>86</v>
      </c>
      <c r="G136" s="75" t="s">
        <v>813</v>
      </c>
      <c r="H136" s="75" t="s">
        <v>814</v>
      </c>
    </row>
    <row r="137" customFormat="false" ht="15" hidden="false" customHeight="true" outlineLevel="0" collapsed="false">
      <c r="A137" s="72" t="n">
        <v>2009860</v>
      </c>
      <c r="B137" s="72" t="s">
        <v>815</v>
      </c>
      <c r="C137" s="72" t="n">
        <v>2023</v>
      </c>
      <c r="D137" s="73" t="n">
        <v>7.99</v>
      </c>
      <c r="E137" s="74" t="n">
        <v>32018</v>
      </c>
      <c r="F137" s="72" t="n">
        <v>84</v>
      </c>
      <c r="G137" s="72" t="s">
        <v>816</v>
      </c>
      <c r="H137" s="72" t="s">
        <v>817</v>
      </c>
    </row>
    <row r="138" customFormat="false" ht="15" hidden="false" customHeight="true" outlineLevel="0" collapsed="false">
      <c r="A138" s="75" t="n">
        <v>1127610</v>
      </c>
      <c r="B138" s="75" t="s">
        <v>818</v>
      </c>
      <c r="C138" s="75" t="n">
        <v>2020</v>
      </c>
      <c r="D138" s="76" t="n">
        <v>17.99</v>
      </c>
      <c r="E138" s="77" t="n">
        <v>30725</v>
      </c>
      <c r="F138" s="75" t="n">
        <v>88</v>
      </c>
      <c r="G138" s="75" t="s">
        <v>819</v>
      </c>
      <c r="H138" s="75" t="s">
        <v>820</v>
      </c>
    </row>
    <row r="139" customFormat="false" ht="15" hidden="false" customHeight="true" outlineLevel="0" collapsed="false">
      <c r="A139" s="72" t="n">
        <v>2491360</v>
      </c>
      <c r="B139" s="72" t="s">
        <v>821</v>
      </c>
      <c r="C139" s="72" t="n">
        <v>2023</v>
      </c>
      <c r="D139" s="73" t="n">
        <v>0</v>
      </c>
      <c r="E139" s="74" t="n">
        <v>30670</v>
      </c>
      <c r="F139" s="72" t="n">
        <v>57</v>
      </c>
      <c r="G139" s="72" t="s">
        <v>822</v>
      </c>
      <c r="H139" s="72" t="s">
        <v>823</v>
      </c>
    </row>
    <row r="140" customFormat="false" ht="15" hidden="false" customHeight="true" outlineLevel="0" collapsed="false">
      <c r="A140" s="75" t="n">
        <v>3617620</v>
      </c>
      <c r="B140" s="75" t="s">
        <v>824</v>
      </c>
      <c r="C140" s="75" t="n">
        <v>2025</v>
      </c>
      <c r="D140" s="76" t="n">
        <v>14.99</v>
      </c>
      <c r="E140" s="77" t="n">
        <v>30406</v>
      </c>
      <c r="F140" s="75" t="n">
        <v>95</v>
      </c>
      <c r="G140" s="75" t="s">
        <v>825</v>
      </c>
      <c r="H140" s="75" t="s">
        <v>826</v>
      </c>
    </row>
    <row r="141" customFormat="false" ht="15" hidden="false" customHeight="true" outlineLevel="0" collapsed="false">
      <c r="A141" s="72" t="n">
        <v>2468550</v>
      </c>
      <c r="B141" s="72" t="s">
        <v>343</v>
      </c>
      <c r="C141" s="72" t="n">
        <v>2025</v>
      </c>
      <c r="D141" s="73" t="n">
        <v>19.99</v>
      </c>
      <c r="E141" s="74" t="n">
        <v>29618</v>
      </c>
      <c r="F141" s="72" t="n">
        <v>89</v>
      </c>
      <c r="G141" s="72" t="s">
        <v>202</v>
      </c>
      <c r="H141" s="72" t="s">
        <v>827</v>
      </c>
    </row>
    <row r="142" customFormat="false" ht="15" hidden="false" customHeight="true" outlineLevel="0" collapsed="false">
      <c r="A142" s="75" t="n">
        <v>1046300</v>
      </c>
      <c r="B142" s="75" t="s">
        <v>828</v>
      </c>
      <c r="C142" s="75" t="n">
        <v>2020</v>
      </c>
      <c r="D142" s="76" t="n">
        <v>19.99</v>
      </c>
      <c r="E142" s="77" t="n">
        <v>29420</v>
      </c>
      <c r="F142" s="75" t="n">
        <v>82</v>
      </c>
      <c r="G142" s="75" t="s">
        <v>829</v>
      </c>
      <c r="H142" s="75" t="s">
        <v>830</v>
      </c>
    </row>
    <row r="143" customFormat="false" ht="15" hidden="false" customHeight="true" outlineLevel="0" collapsed="false">
      <c r="A143" s="72" t="n">
        <v>3839300</v>
      </c>
      <c r="B143" s="72" t="s">
        <v>831</v>
      </c>
      <c r="C143" s="72" t="n">
        <v>2025</v>
      </c>
      <c r="D143" s="73" t="n">
        <v>9.99</v>
      </c>
      <c r="E143" s="74" t="n">
        <v>29342</v>
      </c>
      <c r="F143" s="72" t="n">
        <v>96</v>
      </c>
      <c r="G143" s="72" t="s">
        <v>832</v>
      </c>
      <c r="H143" s="72" t="s">
        <v>833</v>
      </c>
    </row>
    <row r="144" customFormat="false" ht="15" hidden="false" customHeight="true" outlineLevel="0" collapsed="false">
      <c r="A144" s="75" t="n">
        <v>3064290</v>
      </c>
      <c r="B144" s="75" t="s">
        <v>834</v>
      </c>
      <c r="C144" s="75" t="n">
        <v>2025</v>
      </c>
      <c r="D144" s="76" t="n">
        <v>8.99</v>
      </c>
      <c r="E144" s="77" t="n">
        <v>29308</v>
      </c>
      <c r="F144" s="75" t="n">
        <v>93</v>
      </c>
      <c r="G144" s="75" t="s">
        <v>835</v>
      </c>
      <c r="H144" s="75" t="s">
        <v>836</v>
      </c>
    </row>
    <row r="145" customFormat="false" ht="15" hidden="false" customHeight="true" outlineLevel="0" collapsed="false">
      <c r="A145" s="72" t="n">
        <v>2824310</v>
      </c>
      <c r="B145" s="72" t="s">
        <v>837</v>
      </c>
      <c r="C145" s="72" t="n">
        <v>2024</v>
      </c>
      <c r="D145" s="73" t="n">
        <v>5.99</v>
      </c>
      <c r="E145" s="74" t="n">
        <v>29288</v>
      </c>
      <c r="F145" s="72" t="n">
        <v>90</v>
      </c>
      <c r="G145" s="72" t="s">
        <v>838</v>
      </c>
      <c r="H145" s="72" t="s">
        <v>839</v>
      </c>
    </row>
    <row r="146" customFormat="false" ht="15" hidden="false" customHeight="true" outlineLevel="0" collapsed="false">
      <c r="A146" s="75" t="n">
        <v>3333700</v>
      </c>
      <c r="B146" s="75" t="s">
        <v>840</v>
      </c>
      <c r="C146" s="75" t="n">
        <v>2025</v>
      </c>
      <c r="D146" s="76" t="n">
        <v>14.99</v>
      </c>
      <c r="E146" s="77" t="n">
        <v>29077</v>
      </c>
      <c r="F146" s="75" t="n">
        <v>83</v>
      </c>
      <c r="G146" s="75" t="s">
        <v>841</v>
      </c>
      <c r="H146" s="75" t="s">
        <v>842</v>
      </c>
    </row>
    <row r="147" customFormat="false" ht="15" hidden="false" customHeight="true" outlineLevel="0" collapsed="false">
      <c r="A147" s="72" t="n">
        <v>1184820</v>
      </c>
      <c r="B147" s="72" t="s">
        <v>843</v>
      </c>
      <c r="C147" s="72" t="n">
        <v>2022</v>
      </c>
      <c r="D147" s="73" t="n">
        <v>14.99</v>
      </c>
      <c r="E147" s="74" t="n">
        <v>28958</v>
      </c>
      <c r="F147" s="72" t="n">
        <v>87</v>
      </c>
      <c r="G147" s="72" t="s">
        <v>844</v>
      </c>
      <c r="H147" s="72" t="s">
        <v>845</v>
      </c>
    </row>
    <row r="148" customFormat="false" ht="15" hidden="false" customHeight="true" outlineLevel="0" collapsed="false">
      <c r="A148" s="75" t="n">
        <v>2050590</v>
      </c>
      <c r="B148" s="75" t="s">
        <v>846</v>
      </c>
      <c r="C148" s="75" t="n">
        <v>2022</v>
      </c>
      <c r="D148" s="76" t="n">
        <v>7.99</v>
      </c>
      <c r="E148" s="77" t="n">
        <v>28500</v>
      </c>
      <c r="F148" s="75" t="n">
        <v>89</v>
      </c>
      <c r="G148" s="75" t="s">
        <v>847</v>
      </c>
      <c r="H148" s="75" t="s">
        <v>848</v>
      </c>
    </row>
    <row r="149" customFormat="false" ht="15" hidden="false" customHeight="true" outlineLevel="0" collapsed="false">
      <c r="A149" s="72" t="n">
        <v>1619570</v>
      </c>
      <c r="B149" s="72" t="s">
        <v>849</v>
      </c>
      <c r="C149" s="72" t="n">
        <v>2023</v>
      </c>
      <c r="D149" s="73" t="n">
        <v>14.99</v>
      </c>
      <c r="E149" s="74" t="n">
        <v>28353</v>
      </c>
      <c r="F149" s="72" t="n">
        <v>81</v>
      </c>
      <c r="G149" s="72" t="s">
        <v>850</v>
      </c>
      <c r="H149" s="72" t="s">
        <v>851</v>
      </c>
    </row>
    <row r="150" customFormat="false" ht="15" hidden="false" customHeight="true" outlineLevel="0" collapsed="false">
      <c r="A150" s="75" t="n">
        <v>1709050</v>
      </c>
      <c r="B150" s="75" t="s">
        <v>852</v>
      </c>
      <c r="C150" s="75" t="n">
        <v>2022</v>
      </c>
      <c r="D150" s="76" t="n">
        <v>19.99</v>
      </c>
      <c r="E150" s="77" t="n">
        <v>28347</v>
      </c>
      <c r="F150" s="75" t="n">
        <v>88</v>
      </c>
      <c r="G150" s="75" t="s">
        <v>853</v>
      </c>
      <c r="H150" s="75" t="s">
        <v>854</v>
      </c>
    </row>
    <row r="151" customFormat="false" ht="15" hidden="false" customHeight="true" outlineLevel="0" collapsed="false">
      <c r="A151" s="72" t="n">
        <v>3330210</v>
      </c>
      <c r="B151" s="72" t="s">
        <v>381</v>
      </c>
      <c r="C151" s="72" t="n">
        <v>2026</v>
      </c>
      <c r="D151" s="73" t="n">
        <v>12.99</v>
      </c>
      <c r="E151" s="74" t="n">
        <v>28261</v>
      </c>
      <c r="F151" s="72" t="n">
        <v>85</v>
      </c>
      <c r="G151" s="72" t="s">
        <v>855</v>
      </c>
      <c r="H151" s="72" t="s">
        <v>856</v>
      </c>
    </row>
    <row r="152" customFormat="false" ht="15" hidden="false" customHeight="true" outlineLevel="0" collapsed="false">
      <c r="A152" s="75" t="n">
        <v>1434540</v>
      </c>
      <c r="B152" s="75" t="s">
        <v>351</v>
      </c>
      <c r="C152" s="75" t="n">
        <v>2023</v>
      </c>
      <c r="D152" s="76" t="n">
        <v>19.99</v>
      </c>
      <c r="E152" s="77" t="n">
        <v>28137</v>
      </c>
      <c r="F152" s="75" t="n">
        <v>64</v>
      </c>
      <c r="G152" s="75" t="s">
        <v>857</v>
      </c>
      <c r="H152" s="75" t="s">
        <v>858</v>
      </c>
    </row>
    <row r="153" customFormat="false" ht="15" hidden="false" customHeight="true" outlineLevel="0" collapsed="false">
      <c r="A153" s="72" t="n">
        <v>2752720</v>
      </c>
      <c r="B153" s="72" t="s">
        <v>859</v>
      </c>
      <c r="C153" s="72" t="n">
        <v>2024</v>
      </c>
      <c r="D153" s="73" t="n">
        <v>14.99</v>
      </c>
      <c r="E153" s="74" t="n">
        <v>27787</v>
      </c>
      <c r="F153" s="72" t="n">
        <v>92</v>
      </c>
      <c r="G153" s="72" t="s">
        <v>860</v>
      </c>
      <c r="H153" s="72" t="s">
        <v>861</v>
      </c>
    </row>
    <row r="154" customFormat="false" ht="15" hidden="false" customHeight="true" outlineLevel="0" collapsed="false">
      <c r="A154" s="75" t="n">
        <v>1893620</v>
      </c>
      <c r="B154" s="75" t="s">
        <v>862</v>
      </c>
      <c r="C154" s="75" t="n">
        <v>2022</v>
      </c>
      <c r="D154" s="76" t="n">
        <v>5.99</v>
      </c>
      <c r="E154" s="77" t="n">
        <v>27748</v>
      </c>
      <c r="F154" s="75" t="n">
        <v>95</v>
      </c>
      <c r="G154" s="75" t="s">
        <v>863</v>
      </c>
      <c r="H154" s="75" t="s">
        <v>864</v>
      </c>
    </row>
    <row r="155" customFormat="false" ht="15" hidden="false" customHeight="true" outlineLevel="0" collapsed="false">
      <c r="A155" s="72" t="n">
        <v>3856460</v>
      </c>
      <c r="B155" s="72" t="s">
        <v>436</v>
      </c>
      <c r="C155" s="72" t="n">
        <v>2026</v>
      </c>
      <c r="D155" s="73" t="n">
        <v>14.99</v>
      </c>
      <c r="E155" s="74" t="n">
        <v>27301</v>
      </c>
      <c r="F155" s="72" t="n">
        <v>96</v>
      </c>
      <c r="G155" s="72" t="s">
        <v>865</v>
      </c>
      <c r="H155" s="72" t="s">
        <v>866</v>
      </c>
    </row>
    <row r="156" customFormat="false" ht="15" hidden="false" customHeight="true" outlineLevel="0" collapsed="false">
      <c r="A156" s="75" t="n">
        <v>3500680</v>
      </c>
      <c r="B156" s="75" t="s">
        <v>867</v>
      </c>
      <c r="C156" s="75" t="n">
        <v>2026</v>
      </c>
      <c r="D156" s="76" t="n">
        <v>12.99</v>
      </c>
      <c r="E156" s="77" t="n">
        <v>27126</v>
      </c>
      <c r="F156" s="75" t="n">
        <v>92</v>
      </c>
      <c r="G156" s="75" t="s">
        <v>868</v>
      </c>
      <c r="H156" s="75" t="s">
        <v>869</v>
      </c>
    </row>
    <row r="157" customFormat="false" ht="15" hidden="false" customHeight="true" outlineLevel="0" collapsed="false">
      <c r="A157" s="72" t="n">
        <v>3435260</v>
      </c>
      <c r="B157" s="72" t="s">
        <v>870</v>
      </c>
      <c r="C157" s="72" t="n">
        <v>2026</v>
      </c>
      <c r="D157" s="73" t="n">
        <v>13.99</v>
      </c>
      <c r="E157" s="74" t="n">
        <v>26623</v>
      </c>
      <c r="F157" s="72" t="n">
        <v>92</v>
      </c>
      <c r="G157" s="72" t="s">
        <v>871</v>
      </c>
      <c r="H157" s="72" t="s">
        <v>872</v>
      </c>
    </row>
    <row r="158" customFormat="false" ht="15" hidden="false" customHeight="true" outlineLevel="0" collapsed="false">
      <c r="A158" s="75" t="n">
        <v>1073320</v>
      </c>
      <c r="B158" s="75" t="s">
        <v>873</v>
      </c>
      <c r="C158" s="75" t="n">
        <v>2020</v>
      </c>
      <c r="D158" s="76" t="n">
        <v>14.99</v>
      </c>
      <c r="E158" s="77" t="n">
        <v>26136</v>
      </c>
      <c r="F158" s="75" t="n">
        <v>90</v>
      </c>
      <c r="G158" s="75" t="s">
        <v>874</v>
      </c>
      <c r="H158" s="75" t="s">
        <v>875</v>
      </c>
    </row>
    <row r="159" customFormat="false" ht="15" hidden="false" customHeight="true" outlineLevel="0" collapsed="false">
      <c r="A159" s="72" t="n">
        <v>1098610</v>
      </c>
      <c r="B159" s="72" t="s">
        <v>876</v>
      </c>
      <c r="C159" s="72" t="n">
        <v>2025</v>
      </c>
      <c r="D159" s="73" t="n">
        <v>14.99</v>
      </c>
      <c r="E159" s="74" t="n">
        <v>25911</v>
      </c>
      <c r="F159" s="72" t="n">
        <v>90</v>
      </c>
      <c r="G159" s="72" t="s">
        <v>877</v>
      </c>
      <c r="H159" s="72" t="s">
        <v>878</v>
      </c>
    </row>
    <row r="160" customFormat="false" ht="15" hidden="false" customHeight="true" outlineLevel="0" collapsed="false">
      <c r="A160" s="75" t="n">
        <v>920680</v>
      </c>
      <c r="B160" s="75" t="s">
        <v>879</v>
      </c>
      <c r="C160" s="75" t="n">
        <v>2019</v>
      </c>
      <c r="D160" s="76" t="n">
        <v>14.99</v>
      </c>
      <c r="E160" s="77" t="n">
        <v>25856</v>
      </c>
      <c r="F160" s="75" t="n">
        <v>79</v>
      </c>
      <c r="G160" s="75" t="s">
        <v>880</v>
      </c>
      <c r="H160" s="75" t="s">
        <v>881</v>
      </c>
    </row>
    <row r="161" customFormat="false" ht="15" hidden="false" customHeight="true" outlineLevel="0" collapsed="false">
      <c r="A161" s="72" t="n">
        <v>1054550</v>
      </c>
      <c r="B161" s="72" t="s">
        <v>882</v>
      </c>
      <c r="C161" s="72" t="n">
        <v>2019</v>
      </c>
      <c r="D161" s="73" t="n">
        <v>14.99</v>
      </c>
      <c r="E161" s="74" t="n">
        <v>25752</v>
      </c>
      <c r="F161" s="72" t="n">
        <v>79</v>
      </c>
      <c r="G161" s="72" t="s">
        <v>883</v>
      </c>
      <c r="H161" s="72" t="s">
        <v>884</v>
      </c>
    </row>
    <row r="162" customFormat="false" ht="15" hidden="false" customHeight="true" outlineLevel="0" collapsed="false">
      <c r="A162" s="75" t="n">
        <v>4358310</v>
      </c>
      <c r="B162" s="75" t="s">
        <v>885</v>
      </c>
      <c r="C162" s="75" t="n">
        <v>2026</v>
      </c>
      <c r="D162" s="76" t="n">
        <v>9.99</v>
      </c>
      <c r="E162" s="77" t="n">
        <v>25287</v>
      </c>
      <c r="F162" s="75" t="n">
        <v>87</v>
      </c>
      <c r="G162" s="75" t="s">
        <v>886</v>
      </c>
      <c r="H162" s="75" t="s">
        <v>887</v>
      </c>
    </row>
    <row r="163" customFormat="false" ht="15" hidden="false" customHeight="true" outlineLevel="0" collapsed="false">
      <c r="A163" s="72" t="n">
        <v>2082410</v>
      </c>
      <c r="B163" s="72" t="s">
        <v>888</v>
      </c>
      <c r="C163" s="72" t="n">
        <v>2024</v>
      </c>
      <c r="D163" s="73" t="n">
        <v>19.99</v>
      </c>
      <c r="E163" s="74" t="n">
        <v>25123</v>
      </c>
      <c r="F163" s="72" t="n">
        <v>86</v>
      </c>
      <c r="G163" s="72" t="s">
        <v>889</v>
      </c>
      <c r="H163" s="72" t="s">
        <v>890</v>
      </c>
    </row>
    <row r="164" customFormat="false" ht="15" hidden="false" customHeight="true" outlineLevel="0" collapsed="false">
      <c r="A164" s="75" t="n">
        <v>3057670</v>
      </c>
      <c r="B164" s="75" t="s">
        <v>891</v>
      </c>
      <c r="C164" s="75" t="n">
        <v>2026</v>
      </c>
      <c r="D164" s="76" t="n">
        <v>17.99</v>
      </c>
      <c r="E164" s="77" t="n">
        <v>25119</v>
      </c>
      <c r="F164" s="75" t="n">
        <v>93</v>
      </c>
      <c r="G164" s="75" t="s">
        <v>892</v>
      </c>
      <c r="H164" s="75" t="s">
        <v>893</v>
      </c>
    </row>
    <row r="165" customFormat="false" ht="15" hidden="false" customHeight="true" outlineLevel="0" collapsed="false">
      <c r="A165" s="72" t="n">
        <v>2332410</v>
      </c>
      <c r="B165" s="72" t="s">
        <v>894</v>
      </c>
      <c r="C165" s="72" t="n">
        <v>2023</v>
      </c>
      <c r="D165" s="73" t="n">
        <v>2.99</v>
      </c>
      <c r="E165" s="74" t="n">
        <v>25050</v>
      </c>
      <c r="F165" s="72" t="n">
        <v>80</v>
      </c>
      <c r="G165" s="72" t="s">
        <v>895</v>
      </c>
      <c r="H165" s="72" t="s">
        <v>896</v>
      </c>
    </row>
    <row r="166" customFormat="false" ht="15" hidden="false" customHeight="true" outlineLevel="0" collapsed="false">
      <c r="A166" s="75" t="n">
        <v>4914600</v>
      </c>
      <c r="B166" s="75" t="s">
        <v>897</v>
      </c>
      <c r="C166" s="75" t="n">
        <v>2026</v>
      </c>
      <c r="D166" s="76" t="n">
        <v>0</v>
      </c>
      <c r="E166" s="77" t="n">
        <v>24899</v>
      </c>
      <c r="F166" s="75" t="n">
        <v>97</v>
      </c>
      <c r="G166" s="75" t="s">
        <v>898</v>
      </c>
      <c r="H166" s="75" t="s">
        <v>899</v>
      </c>
    </row>
    <row r="167" customFormat="false" ht="15" hidden="false" customHeight="true" outlineLevel="0" collapsed="false">
      <c r="A167" s="72" t="n">
        <v>2019680</v>
      </c>
      <c r="B167" s="72" t="s">
        <v>900</v>
      </c>
      <c r="C167" s="72" t="n">
        <v>2023</v>
      </c>
      <c r="D167" s="73" t="n">
        <v>9.99</v>
      </c>
      <c r="E167" s="74" t="n">
        <v>24861</v>
      </c>
      <c r="F167" s="72" t="n">
        <v>92</v>
      </c>
      <c r="G167" s="72" t="s">
        <v>901</v>
      </c>
      <c r="H167" s="72" t="s">
        <v>902</v>
      </c>
    </row>
    <row r="168" customFormat="false" ht="15" hidden="false" customHeight="true" outlineLevel="0" collapsed="false">
      <c r="A168" s="75" t="n">
        <v>463980</v>
      </c>
      <c r="B168" s="75" t="s">
        <v>903</v>
      </c>
      <c r="C168" s="75" t="n">
        <v>2016</v>
      </c>
      <c r="D168" s="76" t="n">
        <v>9.99</v>
      </c>
      <c r="E168" s="77" t="n">
        <v>24722</v>
      </c>
      <c r="F168" s="75" t="n">
        <v>76</v>
      </c>
      <c r="G168" s="75" t="s">
        <v>904</v>
      </c>
      <c r="H168" s="75" t="s">
        <v>905</v>
      </c>
    </row>
    <row r="169" customFormat="false" ht="15" hidden="false" customHeight="true" outlineLevel="0" collapsed="false">
      <c r="A169" s="72" t="n">
        <v>2090810</v>
      </c>
      <c r="B169" s="72" t="s">
        <v>906</v>
      </c>
      <c r="C169" s="72" t="n">
        <v>2024</v>
      </c>
      <c r="D169" s="73" t="n">
        <v>10.99</v>
      </c>
      <c r="E169" s="74" t="n">
        <v>24111</v>
      </c>
      <c r="F169" s="72" t="n">
        <v>89</v>
      </c>
      <c r="G169" s="72" t="s">
        <v>907</v>
      </c>
      <c r="H169" s="72" t="s">
        <v>908</v>
      </c>
    </row>
    <row r="170" customFormat="false" ht="15" hidden="false" customHeight="true" outlineLevel="0" collapsed="false">
      <c r="A170" s="75" t="n">
        <v>2459750</v>
      </c>
      <c r="B170" s="75" t="s">
        <v>909</v>
      </c>
      <c r="C170" s="75" t="n">
        <v>2024</v>
      </c>
      <c r="D170" s="76" t="n">
        <v>29.99</v>
      </c>
      <c r="E170" s="77" t="n">
        <v>23917</v>
      </c>
      <c r="F170" s="75" t="n">
        <v>91</v>
      </c>
      <c r="G170" s="75" t="s">
        <v>910</v>
      </c>
      <c r="H170" s="75" t="s">
        <v>911</v>
      </c>
    </row>
    <row r="171" customFormat="false" ht="15" hidden="false" customHeight="true" outlineLevel="0" collapsed="false">
      <c r="A171" s="72" t="n">
        <v>3073990</v>
      </c>
      <c r="B171" s="72" t="s">
        <v>912</v>
      </c>
      <c r="C171" s="72" t="n">
        <v>2026</v>
      </c>
      <c r="D171" s="73" t="n">
        <v>13.99</v>
      </c>
      <c r="E171" s="74" t="n">
        <v>23821</v>
      </c>
      <c r="F171" s="72" t="n">
        <v>81</v>
      </c>
      <c r="G171" s="72" t="s">
        <v>913</v>
      </c>
      <c r="H171" s="72" t="s">
        <v>914</v>
      </c>
    </row>
    <row r="172" customFormat="false" ht="15" hidden="false" customHeight="true" outlineLevel="0" collapsed="false">
      <c r="A172" s="75" t="n">
        <v>2726870</v>
      </c>
      <c r="B172" s="75" t="s">
        <v>459</v>
      </c>
      <c r="C172" s="75" t="n">
        <v>2024</v>
      </c>
      <c r="D172" s="76" t="n">
        <v>6.99</v>
      </c>
      <c r="E172" s="77" t="n">
        <v>23661</v>
      </c>
      <c r="F172" s="75" t="n">
        <v>83</v>
      </c>
      <c r="G172" s="75" t="s">
        <v>915</v>
      </c>
      <c r="H172" s="75" t="s">
        <v>916</v>
      </c>
    </row>
    <row r="173" customFormat="false" ht="15" hidden="false" customHeight="true" outlineLevel="0" collapsed="false">
      <c r="A173" s="72" t="n">
        <v>1535210</v>
      </c>
      <c r="B173" s="72" t="s">
        <v>917</v>
      </c>
      <c r="C173" s="72" t="n">
        <v>2022</v>
      </c>
      <c r="D173" s="73" t="n">
        <v>0</v>
      </c>
      <c r="E173" s="74" t="n">
        <v>23404</v>
      </c>
      <c r="F173" s="72" t="n">
        <v>81</v>
      </c>
      <c r="G173" s="72" t="s">
        <v>918</v>
      </c>
      <c r="H173" s="72" t="s">
        <v>919</v>
      </c>
    </row>
    <row r="174" customFormat="false" ht="15" hidden="false" customHeight="true" outlineLevel="0" collapsed="false">
      <c r="A174" s="75" t="n">
        <v>3966510</v>
      </c>
      <c r="B174" s="75" t="s">
        <v>400</v>
      </c>
      <c r="C174" s="75" t="n">
        <v>2026</v>
      </c>
      <c r="D174" s="76" t="n">
        <v>14.99</v>
      </c>
      <c r="E174" s="77" t="n">
        <v>23229</v>
      </c>
      <c r="F174" s="75" t="n">
        <v>90</v>
      </c>
      <c r="G174" s="75" t="s">
        <v>920</v>
      </c>
      <c r="H174" s="75" t="s">
        <v>921</v>
      </c>
    </row>
    <row r="175" customFormat="false" ht="15" hidden="false" customHeight="true" outlineLevel="0" collapsed="false">
      <c r="A175" s="72" t="n">
        <v>2468100</v>
      </c>
      <c r="B175" s="72" t="s">
        <v>922</v>
      </c>
      <c r="C175" s="72" t="n">
        <v>2024</v>
      </c>
      <c r="D175" s="73" t="n">
        <v>14.99</v>
      </c>
      <c r="E175" s="74" t="n">
        <v>22911</v>
      </c>
      <c r="F175" s="72" t="n">
        <v>92</v>
      </c>
      <c r="G175" s="72" t="s">
        <v>807</v>
      </c>
      <c r="H175" s="72" t="s">
        <v>923</v>
      </c>
    </row>
    <row r="176" customFormat="false" ht="15" hidden="false" customHeight="true" outlineLevel="0" collapsed="false">
      <c r="A176" s="75" t="n">
        <v>3546440</v>
      </c>
      <c r="B176" s="75" t="s">
        <v>413</v>
      </c>
      <c r="C176" s="75" t="n">
        <v>2025</v>
      </c>
      <c r="D176" s="76" t="n">
        <v>4.99</v>
      </c>
      <c r="E176" s="77" t="n">
        <v>22865</v>
      </c>
      <c r="F176" s="75" t="n">
        <v>72</v>
      </c>
      <c r="G176" s="75" t="s">
        <v>924</v>
      </c>
      <c r="H176" s="75" t="s">
        <v>925</v>
      </c>
    </row>
    <row r="177" customFormat="false" ht="15" hidden="false" customHeight="true" outlineLevel="0" collapsed="false">
      <c r="A177" s="72" t="n">
        <v>1494560</v>
      </c>
      <c r="B177" s="72" t="s">
        <v>926</v>
      </c>
      <c r="C177" s="72" t="n">
        <v>2026</v>
      </c>
      <c r="D177" s="73" t="n">
        <v>15.99</v>
      </c>
      <c r="E177" s="74" t="n">
        <v>22604</v>
      </c>
      <c r="F177" s="72" t="n">
        <v>93</v>
      </c>
      <c r="G177" s="72" t="s">
        <v>927</v>
      </c>
      <c r="H177" s="72" t="s">
        <v>928</v>
      </c>
    </row>
    <row r="178" customFormat="false" ht="15" hidden="false" customHeight="true" outlineLevel="0" collapsed="false">
      <c r="A178" s="75" t="n">
        <v>1146230</v>
      </c>
      <c r="B178" s="75" t="s">
        <v>929</v>
      </c>
      <c r="C178" s="75" t="n">
        <v>2020</v>
      </c>
      <c r="D178" s="76" t="n">
        <v>15.99</v>
      </c>
      <c r="E178" s="77" t="n">
        <v>22019</v>
      </c>
      <c r="F178" s="75" t="n">
        <v>81</v>
      </c>
      <c r="G178" s="75" t="s">
        <v>930</v>
      </c>
      <c r="H178" s="75" t="s">
        <v>931</v>
      </c>
    </row>
    <row r="179" customFormat="false" ht="15" hidden="false" customHeight="true" outlineLevel="0" collapsed="false">
      <c r="A179" s="72" t="n">
        <v>3948580</v>
      </c>
      <c r="B179" s="72" t="s">
        <v>932</v>
      </c>
      <c r="C179" s="72" t="n">
        <v>2026</v>
      </c>
      <c r="D179" s="73" t="n">
        <v>6.99</v>
      </c>
      <c r="E179" s="74" t="n">
        <v>21957</v>
      </c>
      <c r="F179" s="72" t="n">
        <v>69</v>
      </c>
      <c r="G179" s="72" t="s">
        <v>933</v>
      </c>
      <c r="H179" s="72" t="s">
        <v>934</v>
      </c>
    </row>
    <row r="180" customFormat="false" ht="15" hidden="false" customHeight="true" outlineLevel="0" collapsed="false">
      <c r="A180" s="75" t="n">
        <v>3144340</v>
      </c>
      <c r="B180" s="75" t="s">
        <v>935</v>
      </c>
      <c r="C180" s="75" t="n">
        <v>2026</v>
      </c>
      <c r="D180" s="76" t="n">
        <v>14.99</v>
      </c>
      <c r="E180" s="77" t="n">
        <v>21205</v>
      </c>
      <c r="F180" s="75" t="n">
        <v>79</v>
      </c>
      <c r="G180" s="75" t="s">
        <v>936</v>
      </c>
      <c r="H180" s="75" t="s">
        <v>937</v>
      </c>
    </row>
    <row r="181" customFormat="false" ht="15" hidden="false" customHeight="true" outlineLevel="0" collapsed="false">
      <c r="A181" s="72" t="n">
        <v>3802470</v>
      </c>
      <c r="B181" s="72" t="s">
        <v>938</v>
      </c>
      <c r="C181" s="72" t="n">
        <v>2026</v>
      </c>
      <c r="D181" s="73" t="n">
        <v>14.99</v>
      </c>
      <c r="E181" s="74" t="n">
        <v>20215</v>
      </c>
      <c r="F181" s="72" t="n">
        <v>78</v>
      </c>
      <c r="G181" s="72" t="s">
        <v>939</v>
      </c>
      <c r="H181" s="72" t="s">
        <v>940</v>
      </c>
    </row>
    <row r="182" customFormat="false" ht="15" hidden="false" customHeight="true" outlineLevel="0" collapsed="false">
      <c r="A182" s="75" t="n">
        <v>1201830</v>
      </c>
      <c r="B182" s="75" t="s">
        <v>941</v>
      </c>
      <c r="C182" s="75" t="n">
        <v>2022</v>
      </c>
      <c r="D182" s="76" t="n">
        <v>14.99</v>
      </c>
      <c r="E182" s="77" t="n">
        <v>20209</v>
      </c>
      <c r="F182" s="75" t="n">
        <v>72</v>
      </c>
      <c r="G182" s="75" t="s">
        <v>942</v>
      </c>
      <c r="H182" s="75" t="s">
        <v>943</v>
      </c>
    </row>
    <row r="183" customFormat="false" ht="15" hidden="false" customHeight="true" outlineLevel="0" collapsed="false">
      <c r="A183" s="72" t="n">
        <v>2727210</v>
      </c>
      <c r="B183" s="72" t="s">
        <v>944</v>
      </c>
      <c r="C183" s="72" t="n">
        <v>2024</v>
      </c>
      <c r="D183" s="73" t="n">
        <v>24.99</v>
      </c>
      <c r="E183" s="74" t="n">
        <v>20121</v>
      </c>
      <c r="F183" s="72" t="n">
        <v>88</v>
      </c>
      <c r="G183" s="72" t="s">
        <v>945</v>
      </c>
      <c r="H183" s="72" t="s">
        <v>946</v>
      </c>
    </row>
    <row r="184" customFormat="false" ht="15" hidden="false" customHeight="true" outlineLevel="0" collapsed="false">
      <c r="A184" s="75" t="n">
        <v>2881800</v>
      </c>
      <c r="B184" s="75" t="s">
        <v>947</v>
      </c>
      <c r="C184" s="75" t="n">
        <v>2025</v>
      </c>
      <c r="D184" s="76" t="n">
        <v>9.99</v>
      </c>
      <c r="E184" s="77" t="n">
        <v>19915</v>
      </c>
      <c r="F184" s="75" t="n">
        <v>88</v>
      </c>
      <c r="G184" s="75" t="s">
        <v>948</v>
      </c>
      <c r="H184" s="75" t="s">
        <v>949</v>
      </c>
    </row>
    <row r="185" customFormat="false" ht="15" hidden="false" customHeight="true" outlineLevel="0" collapsed="false">
      <c r="A185" s="72" t="n">
        <v>3690490</v>
      </c>
      <c r="B185" s="72" t="s">
        <v>950</v>
      </c>
      <c r="C185" s="72" t="n">
        <v>2026</v>
      </c>
      <c r="D185" s="73" t="n">
        <v>10.99</v>
      </c>
      <c r="E185" s="74" t="n">
        <v>19552</v>
      </c>
      <c r="F185" s="72" t="n">
        <v>89</v>
      </c>
      <c r="G185" s="72" t="s">
        <v>951</v>
      </c>
      <c r="H185" s="72" t="s">
        <v>952</v>
      </c>
    </row>
    <row r="186" customFormat="false" ht="15" hidden="false" customHeight="true" outlineLevel="0" collapsed="false">
      <c r="A186" s="75" t="n">
        <v>2071430</v>
      </c>
      <c r="B186" s="75" t="s">
        <v>450</v>
      </c>
      <c r="C186" s="75" t="n">
        <v>2024</v>
      </c>
      <c r="D186" s="76" t="n">
        <v>19.99</v>
      </c>
      <c r="E186" s="77" t="n">
        <v>19447</v>
      </c>
      <c r="F186" s="75" t="n">
        <v>86</v>
      </c>
      <c r="G186" s="75" t="s">
        <v>953</v>
      </c>
      <c r="H186" s="75" t="s">
        <v>954</v>
      </c>
    </row>
    <row r="187" customFormat="false" ht="15" hidden="false" customHeight="true" outlineLevel="0" collapsed="false">
      <c r="A187" s="72" t="n">
        <v>3160090</v>
      </c>
      <c r="B187" s="72" t="s">
        <v>418</v>
      </c>
      <c r="C187" s="72" t="n">
        <v>2026</v>
      </c>
      <c r="D187" s="73" t="n">
        <v>8.99</v>
      </c>
      <c r="E187" s="74" t="n">
        <v>18401</v>
      </c>
      <c r="F187" s="72" t="n">
        <v>83</v>
      </c>
      <c r="G187" s="72" t="s">
        <v>955</v>
      </c>
      <c r="H187" s="72" t="s">
        <v>956</v>
      </c>
    </row>
    <row r="188" customFormat="false" ht="15" hidden="false" customHeight="true" outlineLevel="0" collapsed="false">
      <c r="A188" s="75" t="n">
        <v>1535100</v>
      </c>
      <c r="B188" s="75" t="s">
        <v>957</v>
      </c>
      <c r="C188" s="75" t="n">
        <v>2023</v>
      </c>
      <c r="D188" s="76" t="n">
        <v>19.99</v>
      </c>
      <c r="E188" s="77" t="n">
        <v>18192</v>
      </c>
      <c r="F188" s="75" t="n">
        <v>62</v>
      </c>
      <c r="G188" s="75" t="s">
        <v>958</v>
      </c>
      <c r="H188" s="75" t="s">
        <v>959</v>
      </c>
    </row>
    <row r="189" customFormat="false" ht="15" hidden="false" customHeight="true" outlineLevel="0" collapsed="false">
      <c r="A189" s="72" t="n">
        <v>3384440</v>
      </c>
      <c r="B189" s="72" t="s">
        <v>960</v>
      </c>
      <c r="C189" s="72" t="n">
        <v>2025</v>
      </c>
      <c r="D189" s="73" t="n">
        <v>0</v>
      </c>
      <c r="E189" s="74" t="n">
        <v>18186</v>
      </c>
      <c r="F189" s="72" t="n">
        <v>78</v>
      </c>
      <c r="G189" s="72" t="s">
        <v>960</v>
      </c>
      <c r="H189" s="72" t="s">
        <v>961</v>
      </c>
    </row>
    <row r="190" customFormat="false" ht="15" hidden="false" customHeight="true" outlineLevel="0" collapsed="false">
      <c r="A190" s="75" t="n">
        <v>1964200</v>
      </c>
      <c r="B190" s="75" t="s">
        <v>962</v>
      </c>
      <c r="C190" s="75" t="n">
        <v>2023</v>
      </c>
      <c r="D190" s="76" t="n">
        <v>19.99</v>
      </c>
      <c r="E190" s="77" t="n">
        <v>17879</v>
      </c>
      <c r="F190" s="75" t="n">
        <v>92</v>
      </c>
      <c r="G190" s="75" t="s">
        <v>883</v>
      </c>
      <c r="H190" s="75" t="s">
        <v>963</v>
      </c>
    </row>
    <row r="191" customFormat="false" ht="15" hidden="false" customHeight="true" outlineLevel="0" collapsed="false">
      <c r="A191" s="72" t="n">
        <v>2960560</v>
      </c>
      <c r="B191" s="72" t="s">
        <v>964</v>
      </c>
      <c r="C191" s="72" t="n">
        <v>2024</v>
      </c>
      <c r="D191" s="73" t="n">
        <v>0</v>
      </c>
      <c r="E191" s="74" t="n">
        <v>17658</v>
      </c>
      <c r="F191" s="72" t="n">
        <v>82</v>
      </c>
      <c r="G191" s="72" t="s">
        <v>965</v>
      </c>
      <c r="H191" s="72" t="s">
        <v>966</v>
      </c>
    </row>
    <row r="192" customFormat="false" ht="15" hidden="false" customHeight="true" outlineLevel="0" collapsed="false">
      <c r="A192" s="75" t="n">
        <v>1958340</v>
      </c>
      <c r="B192" s="75" t="s">
        <v>967</v>
      </c>
      <c r="C192" s="75" t="n">
        <v>2025</v>
      </c>
      <c r="D192" s="76" t="n">
        <v>11.99</v>
      </c>
      <c r="E192" s="77" t="n">
        <v>17594</v>
      </c>
      <c r="F192" s="75" t="n">
        <v>96</v>
      </c>
      <c r="G192" s="75" t="s">
        <v>968</v>
      </c>
      <c r="H192" s="75" t="s">
        <v>969</v>
      </c>
    </row>
    <row r="193" customFormat="false" ht="15" hidden="false" customHeight="true" outlineLevel="0" collapsed="false">
      <c r="A193" s="72" t="n">
        <v>4559800</v>
      </c>
      <c r="B193" s="72" t="s">
        <v>970</v>
      </c>
      <c r="C193" s="72" t="n">
        <v>2026</v>
      </c>
      <c r="D193" s="73" t="n">
        <v>0</v>
      </c>
      <c r="E193" s="74" t="n">
        <v>17540</v>
      </c>
      <c r="F193" s="72" t="n">
        <v>82</v>
      </c>
      <c r="G193" s="72" t="s">
        <v>696</v>
      </c>
      <c r="H193" s="72" t="s">
        <v>971</v>
      </c>
    </row>
    <row r="194" customFormat="false" ht="15" hidden="false" customHeight="true" outlineLevel="0" collapsed="false">
      <c r="A194" s="75" t="n">
        <v>2095290</v>
      </c>
      <c r="B194" s="75" t="s">
        <v>449</v>
      </c>
      <c r="C194" s="75" t="n">
        <v>2023</v>
      </c>
      <c r="D194" s="76" t="n">
        <v>9.99</v>
      </c>
      <c r="E194" s="77" t="n">
        <v>17333</v>
      </c>
      <c r="F194" s="75" t="n">
        <v>70</v>
      </c>
      <c r="G194" s="75"/>
      <c r="H194" s="75" t="s">
        <v>972</v>
      </c>
    </row>
    <row r="195" customFormat="false" ht="15" hidden="false" customHeight="true" outlineLevel="0" collapsed="false">
      <c r="A195" s="72" t="n">
        <v>2380320</v>
      </c>
      <c r="B195" s="72" t="s">
        <v>973</v>
      </c>
      <c r="C195" s="72" t="n">
        <v>2024</v>
      </c>
      <c r="D195" s="73" t="n">
        <v>6.99</v>
      </c>
      <c r="E195" s="74" t="n">
        <v>16797</v>
      </c>
      <c r="F195" s="72" t="n">
        <v>93</v>
      </c>
      <c r="G195" s="72" t="s">
        <v>656</v>
      </c>
      <c r="H195" s="72" t="s">
        <v>974</v>
      </c>
    </row>
    <row r="196" customFormat="false" ht="15" hidden="false" customHeight="true" outlineLevel="0" collapsed="false">
      <c r="A196" s="75" t="n">
        <v>2536960</v>
      </c>
      <c r="B196" s="75" t="s">
        <v>975</v>
      </c>
      <c r="C196" s="75" t="n">
        <v>2025</v>
      </c>
      <c r="D196" s="76" t="n">
        <v>24.99</v>
      </c>
      <c r="E196" s="77" t="n">
        <v>16356</v>
      </c>
      <c r="F196" s="75" t="n">
        <v>75</v>
      </c>
      <c r="G196" s="75" t="s">
        <v>976</v>
      </c>
      <c r="H196" s="75" t="s">
        <v>977</v>
      </c>
    </row>
    <row r="197" customFormat="false" ht="15" hidden="false" customHeight="true" outlineLevel="0" collapsed="false">
      <c r="A197" s="72" t="n">
        <v>1840710</v>
      </c>
      <c r="B197" s="72" t="s">
        <v>978</v>
      </c>
      <c r="C197" s="72" t="n">
        <v>2024</v>
      </c>
      <c r="D197" s="73" t="n">
        <v>14.99</v>
      </c>
      <c r="E197" s="74" t="n">
        <v>16319</v>
      </c>
      <c r="F197" s="72" t="n">
        <v>70</v>
      </c>
      <c r="G197" s="72" t="s">
        <v>979</v>
      </c>
      <c r="H197" s="72" t="s">
        <v>980</v>
      </c>
    </row>
    <row r="198" customFormat="false" ht="15" hidden="false" customHeight="true" outlineLevel="0" collapsed="false">
      <c r="A198" s="75" t="n">
        <v>2626860</v>
      </c>
      <c r="B198" s="75" t="s">
        <v>981</v>
      </c>
      <c r="C198" s="75" t="n">
        <v>2024</v>
      </c>
      <c r="D198" s="76" t="n">
        <v>12.99</v>
      </c>
      <c r="E198" s="77" t="n">
        <v>16131</v>
      </c>
      <c r="F198" s="75" t="n">
        <v>65</v>
      </c>
      <c r="G198" s="75" t="s">
        <v>982</v>
      </c>
      <c r="H198" s="75" t="s">
        <v>983</v>
      </c>
    </row>
    <row r="199" customFormat="false" ht="15" hidden="false" customHeight="true" outlineLevel="0" collapsed="false">
      <c r="A199" s="72" t="n">
        <v>2336590</v>
      </c>
      <c r="B199" s="72" t="s">
        <v>984</v>
      </c>
      <c r="C199" s="72" t="n">
        <v>2023</v>
      </c>
      <c r="D199" s="73" t="n">
        <v>0.99</v>
      </c>
      <c r="E199" s="74" t="n">
        <v>16121</v>
      </c>
      <c r="F199" s="72" t="n">
        <v>89</v>
      </c>
      <c r="G199" s="72" t="s">
        <v>741</v>
      </c>
      <c r="H199" s="72" t="s">
        <v>985</v>
      </c>
    </row>
    <row r="200" customFormat="false" ht="15" hidden="false" customHeight="true" outlineLevel="0" collapsed="false">
      <c r="A200" s="75" t="n">
        <v>493080</v>
      </c>
      <c r="B200" s="75" t="s">
        <v>986</v>
      </c>
      <c r="C200" s="75" t="n">
        <v>2017</v>
      </c>
      <c r="D200" s="76" t="n">
        <v>9.99</v>
      </c>
      <c r="E200" s="77" t="n">
        <v>15821</v>
      </c>
      <c r="F200" s="75" t="n">
        <v>86</v>
      </c>
      <c r="G200" s="75" t="s">
        <v>987</v>
      </c>
      <c r="H200" s="75" t="s">
        <v>988</v>
      </c>
    </row>
    <row r="201" customFormat="false" ht="15" hidden="false" customHeight="true" outlineLevel="0" collapsed="false">
      <c r="A201" s="72" t="n">
        <v>1253860</v>
      </c>
      <c r="B201" s="72" t="s">
        <v>989</v>
      </c>
      <c r="C201" s="72" t="n">
        <v>2021</v>
      </c>
      <c r="D201" s="73" t="n">
        <v>13.99</v>
      </c>
      <c r="E201" s="74" t="n">
        <v>15671</v>
      </c>
      <c r="F201" s="72" t="n">
        <v>60</v>
      </c>
      <c r="G201" s="72" t="s">
        <v>990</v>
      </c>
      <c r="H201" s="72" t="s">
        <v>991</v>
      </c>
    </row>
    <row r="202" customFormat="false" ht="15" hidden="false" customHeight="true" outlineLevel="0" collapsed="false">
      <c r="A202" s="75" t="n">
        <v>1156060</v>
      </c>
      <c r="B202" s="75" t="s">
        <v>992</v>
      </c>
      <c r="C202" s="75" t="n">
        <v>2025</v>
      </c>
      <c r="D202" s="76" t="n">
        <v>19.99</v>
      </c>
      <c r="E202" s="77" t="n">
        <v>15580</v>
      </c>
      <c r="F202" s="75" t="n">
        <v>76</v>
      </c>
      <c r="G202" s="75" t="s">
        <v>993</v>
      </c>
      <c r="H202" s="75" t="s">
        <v>994</v>
      </c>
    </row>
    <row r="203" customFormat="false" ht="15" hidden="false" customHeight="true" outlineLevel="0" collapsed="false">
      <c r="A203" s="72" t="n">
        <v>1866630</v>
      </c>
      <c r="B203" s="72" t="s">
        <v>995</v>
      </c>
      <c r="C203" s="72" t="n">
        <v>2025</v>
      </c>
      <c r="D203" s="73" t="n">
        <v>16.99</v>
      </c>
      <c r="E203" s="74" t="n">
        <v>15512</v>
      </c>
      <c r="F203" s="72" t="n">
        <v>86</v>
      </c>
      <c r="G203" s="72" t="s">
        <v>996</v>
      </c>
      <c r="H203" s="72" t="s">
        <v>997</v>
      </c>
    </row>
    <row r="204" customFormat="false" ht="15" hidden="false" customHeight="true" outlineLevel="0" collapsed="false">
      <c r="A204" s="75" t="n">
        <v>1913420</v>
      </c>
      <c r="B204" s="75" t="s">
        <v>422</v>
      </c>
      <c r="C204" s="75" t="n">
        <v>2023</v>
      </c>
      <c r="D204" s="76" t="n">
        <v>8.99</v>
      </c>
      <c r="E204" s="77" t="n">
        <v>15420</v>
      </c>
      <c r="F204" s="75" t="n">
        <v>82</v>
      </c>
      <c r="G204" s="75" t="s">
        <v>998</v>
      </c>
      <c r="H204" s="75" t="s">
        <v>999</v>
      </c>
    </row>
    <row r="205" customFormat="false" ht="15" hidden="false" customHeight="true" outlineLevel="0" collapsed="false">
      <c r="A205" s="72" t="n">
        <v>1394130</v>
      </c>
      <c r="B205" s="72" t="s">
        <v>1000</v>
      </c>
      <c r="C205" s="72" t="n">
        <v>2023</v>
      </c>
      <c r="D205" s="73" t="n">
        <v>14.99</v>
      </c>
      <c r="E205" s="74" t="n">
        <v>15356</v>
      </c>
      <c r="F205" s="72" t="n">
        <v>88</v>
      </c>
      <c r="G205" s="72" t="s">
        <v>1001</v>
      </c>
      <c r="H205" s="72" t="s">
        <v>1002</v>
      </c>
    </row>
    <row r="206" customFormat="false" ht="15" hidden="false" customHeight="true" outlineLevel="0" collapsed="false">
      <c r="A206" s="75" t="n">
        <v>1124080</v>
      </c>
      <c r="B206" s="75" t="s">
        <v>1003</v>
      </c>
      <c r="C206" s="75" t="n">
        <v>2023</v>
      </c>
      <c r="D206" s="76" t="n">
        <v>17.99</v>
      </c>
      <c r="E206" s="77" t="n">
        <v>15287</v>
      </c>
      <c r="F206" s="75" t="n">
        <v>82</v>
      </c>
      <c r="G206" s="75" t="s">
        <v>1004</v>
      </c>
      <c r="H206" s="75" t="s">
        <v>1005</v>
      </c>
    </row>
    <row r="207" customFormat="false" ht="15" hidden="false" customHeight="true" outlineLevel="0" collapsed="false">
      <c r="A207" s="72" t="n">
        <v>1163740</v>
      </c>
      <c r="B207" s="72" t="s">
        <v>1006</v>
      </c>
      <c r="C207" s="72" t="n">
        <v>2023</v>
      </c>
      <c r="D207" s="73" t="n">
        <v>5.99</v>
      </c>
      <c r="E207" s="74" t="n">
        <v>14985</v>
      </c>
      <c r="F207" s="72" t="n">
        <v>94</v>
      </c>
      <c r="G207" s="72" t="s">
        <v>1007</v>
      </c>
      <c r="H207" s="72" t="s">
        <v>1008</v>
      </c>
    </row>
    <row r="208" customFormat="false" ht="15" hidden="false" customHeight="true" outlineLevel="0" collapsed="false">
      <c r="A208" s="75" t="n">
        <v>2453610</v>
      </c>
      <c r="B208" s="75" t="s">
        <v>1009</v>
      </c>
      <c r="C208" s="75" t="n">
        <v>2024</v>
      </c>
      <c r="D208" s="76" t="n">
        <v>9.99</v>
      </c>
      <c r="E208" s="77" t="n">
        <v>14905</v>
      </c>
      <c r="F208" s="75" t="n">
        <v>73</v>
      </c>
      <c r="G208" s="75" t="s">
        <v>1010</v>
      </c>
      <c r="H208" s="75" t="s">
        <v>1011</v>
      </c>
    </row>
    <row r="209" customFormat="false" ht="15" hidden="false" customHeight="true" outlineLevel="0" collapsed="false">
      <c r="A209" s="72" t="n">
        <v>2400960</v>
      </c>
      <c r="B209" s="72" t="s">
        <v>1012</v>
      </c>
      <c r="C209" s="72" t="n">
        <v>2024</v>
      </c>
      <c r="D209" s="73" t="n">
        <v>0</v>
      </c>
      <c r="E209" s="74" t="n">
        <v>14877</v>
      </c>
      <c r="F209" s="72" t="n">
        <v>74</v>
      </c>
      <c r="G209" s="72" t="s">
        <v>1013</v>
      </c>
      <c r="H209" s="72" t="s">
        <v>1014</v>
      </c>
    </row>
    <row r="210" customFormat="false" ht="15" hidden="false" customHeight="true" outlineLevel="0" collapsed="false">
      <c r="A210" s="75" t="n">
        <v>1608040</v>
      </c>
      <c r="B210" s="75" t="s">
        <v>1015</v>
      </c>
      <c r="C210" s="75" t="n">
        <v>2022</v>
      </c>
      <c r="D210" s="76" t="n">
        <v>14.99</v>
      </c>
      <c r="E210" s="77" t="n">
        <v>14534</v>
      </c>
      <c r="F210" s="75" t="n">
        <v>67</v>
      </c>
      <c r="G210" s="75" t="s">
        <v>1016</v>
      </c>
      <c r="H210" s="75" t="s">
        <v>1017</v>
      </c>
    </row>
    <row r="211" customFormat="false" ht="15" hidden="false" customHeight="true" outlineLevel="0" collapsed="false">
      <c r="A211" s="72" t="n">
        <v>4843210</v>
      </c>
      <c r="B211" s="72" t="s">
        <v>1018</v>
      </c>
      <c r="C211" s="72" t="n">
        <v>2026</v>
      </c>
      <c r="D211" s="73" t="n">
        <v>1</v>
      </c>
      <c r="E211" s="74" t="n">
        <v>14482</v>
      </c>
      <c r="F211" s="72" t="n">
        <v>88</v>
      </c>
      <c r="G211" s="72" t="s">
        <v>1019</v>
      </c>
      <c r="H211" s="72" t="s">
        <v>1020</v>
      </c>
    </row>
    <row r="212" customFormat="false" ht="15" hidden="false" customHeight="true" outlineLevel="0" collapsed="false">
      <c r="A212" s="75" t="n">
        <v>1055990</v>
      </c>
      <c r="B212" s="75" t="s">
        <v>1021</v>
      </c>
      <c r="C212" s="75" t="n">
        <v>2019</v>
      </c>
      <c r="D212" s="76" t="n">
        <v>17.99</v>
      </c>
      <c r="E212" s="77" t="n">
        <v>14353</v>
      </c>
      <c r="F212" s="75" t="n">
        <v>84</v>
      </c>
      <c r="G212" s="75" t="s">
        <v>1022</v>
      </c>
      <c r="H212" s="75" t="s">
        <v>1023</v>
      </c>
    </row>
    <row r="213" customFormat="false" ht="15" hidden="false" customHeight="true" outlineLevel="0" collapsed="false">
      <c r="A213" s="72" t="n">
        <v>2114350</v>
      </c>
      <c r="B213" s="72" t="s">
        <v>1024</v>
      </c>
      <c r="C213" s="72" t="n">
        <v>2023</v>
      </c>
      <c r="D213" s="73" t="n">
        <v>17.99</v>
      </c>
      <c r="E213" s="74" t="n">
        <v>14223</v>
      </c>
      <c r="F213" s="72" t="n">
        <v>82</v>
      </c>
      <c r="G213" s="72" t="s">
        <v>1025</v>
      </c>
      <c r="H213" s="72" t="s">
        <v>1026</v>
      </c>
    </row>
    <row r="214" customFormat="false" ht="15" hidden="false" customHeight="true" outlineLevel="0" collapsed="false">
      <c r="A214" s="75" t="n">
        <v>2638050</v>
      </c>
      <c r="B214" s="75" t="s">
        <v>1027</v>
      </c>
      <c r="C214" s="75" t="n">
        <v>2025</v>
      </c>
      <c r="D214" s="76" t="n">
        <v>9.99</v>
      </c>
      <c r="E214" s="77" t="n">
        <v>14218</v>
      </c>
      <c r="F214" s="75" t="n">
        <v>90</v>
      </c>
      <c r="G214" s="75" t="s">
        <v>1028</v>
      </c>
      <c r="H214" s="75" t="s">
        <v>1029</v>
      </c>
    </row>
    <row r="215" customFormat="false" ht="15" hidden="false" customHeight="true" outlineLevel="0" collapsed="false">
      <c r="A215" s="72" t="n">
        <v>3548520</v>
      </c>
      <c r="B215" s="72" t="s">
        <v>1030</v>
      </c>
      <c r="C215" s="72" t="n">
        <v>2025</v>
      </c>
      <c r="D215" s="73" t="n">
        <v>9.99</v>
      </c>
      <c r="E215" s="74" t="n">
        <v>13907</v>
      </c>
      <c r="F215" s="72" t="n">
        <v>91</v>
      </c>
      <c r="G215" s="72" t="s">
        <v>1031</v>
      </c>
      <c r="H215" s="72" t="s">
        <v>1032</v>
      </c>
    </row>
    <row r="216" customFormat="false" ht="15" hidden="false" customHeight="true" outlineLevel="0" collapsed="false">
      <c r="A216" s="75" t="n">
        <v>557410</v>
      </c>
      <c r="B216" s="75" t="s">
        <v>1033</v>
      </c>
      <c r="C216" s="75" t="n">
        <v>2016</v>
      </c>
      <c r="D216" s="76" t="n">
        <v>9.99</v>
      </c>
      <c r="E216" s="77" t="n">
        <v>13900</v>
      </c>
      <c r="F216" s="75" t="n">
        <v>90</v>
      </c>
      <c r="G216" s="75" t="s">
        <v>1034</v>
      </c>
      <c r="H216" s="75" t="s">
        <v>1035</v>
      </c>
    </row>
    <row r="217" customFormat="false" ht="15" hidden="false" customHeight="true" outlineLevel="0" collapsed="false">
      <c r="A217" s="72" t="n">
        <v>3167970</v>
      </c>
      <c r="B217" s="72" t="s">
        <v>1036</v>
      </c>
      <c r="C217" s="72" t="n">
        <v>2025</v>
      </c>
      <c r="D217" s="73" t="n">
        <v>19.99</v>
      </c>
      <c r="E217" s="74" t="n">
        <v>13765</v>
      </c>
      <c r="F217" s="72" t="n">
        <v>86</v>
      </c>
      <c r="G217" s="72" t="s">
        <v>1037</v>
      </c>
      <c r="H217" s="72" t="s">
        <v>1038</v>
      </c>
    </row>
    <row r="218" customFormat="false" ht="15" hidden="false" customHeight="true" outlineLevel="0" collapsed="false">
      <c r="A218" s="75" t="n">
        <v>3585160</v>
      </c>
      <c r="B218" s="75" t="s">
        <v>1039</v>
      </c>
      <c r="C218" s="75" t="n">
        <v>2025</v>
      </c>
      <c r="D218" s="76" t="n">
        <v>3.99</v>
      </c>
      <c r="E218" s="77" t="n">
        <v>13610</v>
      </c>
      <c r="F218" s="75" t="n">
        <v>84</v>
      </c>
      <c r="G218" s="75" t="s">
        <v>1040</v>
      </c>
      <c r="H218" s="75" t="s">
        <v>1041</v>
      </c>
    </row>
    <row r="219" customFormat="false" ht="15" hidden="false" customHeight="true" outlineLevel="0" collapsed="false">
      <c r="A219" s="72" t="n">
        <v>5005680</v>
      </c>
      <c r="B219" s="72" t="s">
        <v>1042</v>
      </c>
      <c r="C219" s="72" t="n">
        <v>2026</v>
      </c>
      <c r="D219" s="73" t="n">
        <v>0</v>
      </c>
      <c r="E219" s="74" t="n">
        <v>13508</v>
      </c>
      <c r="F219" s="72" t="n">
        <v>97</v>
      </c>
      <c r="G219" s="72" t="s">
        <v>1043</v>
      </c>
      <c r="H219" s="72" t="s">
        <v>1044</v>
      </c>
    </row>
    <row r="220" customFormat="false" ht="15" hidden="false" customHeight="true" outlineLevel="0" collapsed="false">
      <c r="A220" s="75" t="n">
        <v>3349800</v>
      </c>
      <c r="B220" s="75" t="s">
        <v>1045</v>
      </c>
      <c r="C220" s="75" t="n">
        <v>2024</v>
      </c>
      <c r="D220" s="76" t="n">
        <v>0</v>
      </c>
      <c r="E220" s="77" t="n">
        <v>12744</v>
      </c>
      <c r="F220" s="75" t="n">
        <v>98</v>
      </c>
      <c r="G220" s="75" t="s">
        <v>1046</v>
      </c>
      <c r="H220" s="75" t="s">
        <v>1047</v>
      </c>
    </row>
    <row r="221" customFormat="false" ht="15" hidden="false" customHeight="true" outlineLevel="0" collapsed="false">
      <c r="A221" s="72" t="n">
        <v>1861090</v>
      </c>
      <c r="B221" s="72" t="s">
        <v>1048</v>
      </c>
      <c r="C221" s="72" t="n">
        <v>2023</v>
      </c>
      <c r="D221" s="73" t="n">
        <v>0</v>
      </c>
      <c r="E221" s="74" t="n">
        <v>12524</v>
      </c>
      <c r="F221" s="72" t="n">
        <v>64</v>
      </c>
      <c r="G221" s="72" t="s">
        <v>1049</v>
      </c>
      <c r="H221" s="72" t="s">
        <v>1050</v>
      </c>
    </row>
    <row r="222" customFormat="false" ht="15" hidden="false" customHeight="true" outlineLevel="0" collapsed="false">
      <c r="A222" s="75" t="n">
        <v>3408020</v>
      </c>
      <c r="B222" s="75" t="s">
        <v>455</v>
      </c>
      <c r="C222" s="75" t="n">
        <v>2025</v>
      </c>
      <c r="D222" s="76" t="n">
        <v>12.99</v>
      </c>
      <c r="E222" s="77" t="n">
        <v>12508</v>
      </c>
      <c r="F222" s="75" t="n">
        <v>76</v>
      </c>
      <c r="G222" s="75" t="s">
        <v>1051</v>
      </c>
      <c r="H222" s="75" t="s">
        <v>1052</v>
      </c>
    </row>
    <row r="223" customFormat="false" ht="15" hidden="false" customHeight="true" outlineLevel="0" collapsed="false">
      <c r="A223" s="72" t="n">
        <v>2427450</v>
      </c>
      <c r="B223" s="72" t="s">
        <v>1053</v>
      </c>
      <c r="C223" s="72" t="n">
        <v>2025</v>
      </c>
      <c r="D223" s="73" t="n">
        <v>14.99</v>
      </c>
      <c r="E223" s="74" t="n">
        <v>12256</v>
      </c>
      <c r="F223" s="72" t="n">
        <v>88</v>
      </c>
      <c r="G223" s="72" t="s">
        <v>1054</v>
      </c>
      <c r="H223" s="72" t="s">
        <v>1055</v>
      </c>
    </row>
    <row r="224" customFormat="false" ht="15" hidden="false" customHeight="true" outlineLevel="0" collapsed="false">
      <c r="A224" s="75" t="n">
        <v>905490</v>
      </c>
      <c r="B224" s="75" t="s">
        <v>1056</v>
      </c>
      <c r="C224" s="75" t="n">
        <v>2019</v>
      </c>
      <c r="D224" s="76" t="n">
        <v>2.99</v>
      </c>
      <c r="E224" s="77" t="n">
        <v>12084</v>
      </c>
      <c r="F224" s="75" t="n">
        <v>68</v>
      </c>
      <c r="G224" s="75" t="s">
        <v>1057</v>
      </c>
      <c r="H224" s="75" t="s">
        <v>1058</v>
      </c>
    </row>
    <row r="225" customFormat="false" ht="15" hidden="false" customHeight="true" outlineLevel="0" collapsed="false">
      <c r="A225" s="72" t="n">
        <v>2902440</v>
      </c>
      <c r="B225" s="72" t="s">
        <v>1059</v>
      </c>
      <c r="C225" s="72" t="n">
        <v>2025</v>
      </c>
      <c r="D225" s="73" t="n">
        <v>7.99</v>
      </c>
      <c r="E225" s="74" t="n">
        <v>11916</v>
      </c>
      <c r="F225" s="72" t="n">
        <v>87</v>
      </c>
      <c r="G225" s="72" t="s">
        <v>1060</v>
      </c>
      <c r="H225" s="72" t="s">
        <v>1061</v>
      </c>
    </row>
    <row r="226" customFormat="false" ht="15" hidden="false" customHeight="true" outlineLevel="0" collapsed="false">
      <c r="A226" s="75" t="n">
        <v>2516820</v>
      </c>
      <c r="B226" s="75" t="s">
        <v>1062</v>
      </c>
      <c r="C226" s="75" t="n">
        <v>2023</v>
      </c>
      <c r="D226" s="76" t="n">
        <v>8.99</v>
      </c>
      <c r="E226" s="77" t="n">
        <v>11840</v>
      </c>
      <c r="F226" s="75" t="n">
        <v>95</v>
      </c>
      <c r="G226" s="75" t="s">
        <v>1063</v>
      </c>
      <c r="H226" s="75" t="s">
        <v>1064</v>
      </c>
    </row>
    <row r="227" customFormat="false" ht="15" hidden="false" customHeight="true" outlineLevel="0" collapsed="false">
      <c r="A227" s="72" t="n">
        <v>1314770</v>
      </c>
      <c r="B227" s="72" t="s">
        <v>460</v>
      </c>
      <c r="C227" s="72" t="n">
        <v>2023</v>
      </c>
      <c r="D227" s="73" t="n">
        <v>12.99</v>
      </c>
      <c r="E227" s="74" t="n">
        <v>11823</v>
      </c>
      <c r="F227" s="72" t="n">
        <v>82</v>
      </c>
      <c r="G227" s="72" t="s">
        <v>1065</v>
      </c>
      <c r="H227" s="72" t="s">
        <v>1066</v>
      </c>
    </row>
    <row r="228" customFormat="false" ht="15" hidden="false" customHeight="true" outlineLevel="0" collapsed="false">
      <c r="A228" s="75" t="n">
        <v>3284290</v>
      </c>
      <c r="B228" s="75" t="s">
        <v>1067</v>
      </c>
      <c r="C228" s="75" t="n">
        <v>2026</v>
      </c>
      <c r="D228" s="76" t="n">
        <v>19.99</v>
      </c>
      <c r="E228" s="77" t="n">
        <v>11792</v>
      </c>
      <c r="F228" s="75" t="n">
        <v>84</v>
      </c>
      <c r="G228" s="75" t="s">
        <v>1068</v>
      </c>
      <c r="H228" s="75" t="s">
        <v>1069</v>
      </c>
    </row>
    <row r="229" customFormat="false" ht="15" hidden="false" customHeight="true" outlineLevel="0" collapsed="false">
      <c r="A229" s="72" t="n">
        <v>2372240</v>
      </c>
      <c r="B229" s="72" t="s">
        <v>434</v>
      </c>
      <c r="C229" s="72" t="n">
        <v>2026</v>
      </c>
      <c r="D229" s="73" t="n">
        <v>13.99</v>
      </c>
      <c r="E229" s="74" t="n">
        <v>11711</v>
      </c>
      <c r="F229" s="72" t="n">
        <v>90</v>
      </c>
      <c r="G229" s="72" t="s">
        <v>1070</v>
      </c>
      <c r="H229" s="72" t="s">
        <v>1071</v>
      </c>
    </row>
    <row r="230" customFormat="false" ht="15" hidden="false" customHeight="true" outlineLevel="0" collapsed="false">
      <c r="A230" s="75" t="n">
        <v>1660290</v>
      </c>
      <c r="B230" s="75" t="s">
        <v>408</v>
      </c>
      <c r="C230" s="75" t="n">
        <v>2021</v>
      </c>
      <c r="D230" s="76" t="n">
        <v>4.99</v>
      </c>
      <c r="E230" s="77" t="n">
        <v>11627</v>
      </c>
      <c r="F230" s="75" t="n">
        <v>94</v>
      </c>
      <c r="G230" s="75" t="s">
        <v>1072</v>
      </c>
      <c r="H230" s="75" t="s">
        <v>1073</v>
      </c>
    </row>
    <row r="231" customFormat="false" ht="15" hidden="false" customHeight="true" outlineLevel="0" collapsed="false">
      <c r="A231" s="72" t="n">
        <v>1380650</v>
      </c>
      <c r="B231" s="72" t="s">
        <v>1074</v>
      </c>
      <c r="C231" s="72" t="n">
        <v>2023</v>
      </c>
      <c r="D231" s="73" t="n">
        <v>14.99</v>
      </c>
      <c r="E231" s="74" t="n">
        <v>11363</v>
      </c>
      <c r="F231" s="72" t="n">
        <v>93</v>
      </c>
      <c r="G231" s="72" t="s">
        <v>1075</v>
      </c>
      <c r="H231" s="72" t="s">
        <v>1076</v>
      </c>
    </row>
    <row r="232" customFormat="false" ht="15" hidden="false" customHeight="true" outlineLevel="0" collapsed="false">
      <c r="A232" s="75" t="n">
        <v>2870430</v>
      </c>
      <c r="B232" s="75" t="s">
        <v>1077</v>
      </c>
      <c r="C232" s="75" t="n">
        <v>2025</v>
      </c>
      <c r="D232" s="76" t="n">
        <v>14.99</v>
      </c>
      <c r="E232" s="77" t="n">
        <v>11182</v>
      </c>
      <c r="F232" s="75" t="n">
        <v>76</v>
      </c>
      <c r="G232" s="75" t="s">
        <v>1078</v>
      </c>
      <c r="H232" s="75" t="s">
        <v>1079</v>
      </c>
    </row>
    <row r="233" customFormat="false" ht="15" hidden="false" customHeight="true" outlineLevel="0" collapsed="false">
      <c r="A233" s="72" t="n">
        <v>1727520</v>
      </c>
      <c r="B233" s="72" t="s">
        <v>1080</v>
      </c>
      <c r="C233" s="72" t="n">
        <v>2021</v>
      </c>
      <c r="D233" s="73" t="n">
        <v>12.99</v>
      </c>
      <c r="E233" s="74" t="n">
        <v>11047</v>
      </c>
      <c r="F233" s="72" t="n">
        <v>97</v>
      </c>
      <c r="G233" s="72" t="s">
        <v>1081</v>
      </c>
      <c r="H233" s="72" t="s">
        <v>1082</v>
      </c>
    </row>
    <row r="234" customFormat="false" ht="15" hidden="false" customHeight="true" outlineLevel="0" collapsed="false">
      <c r="A234" s="75" t="n">
        <v>3966890</v>
      </c>
      <c r="B234" s="75" t="s">
        <v>384</v>
      </c>
      <c r="C234" s="75" t="n">
        <v>2026</v>
      </c>
      <c r="D234" s="76" t="n">
        <v>19.99</v>
      </c>
      <c r="E234" s="77" t="n">
        <v>10982</v>
      </c>
      <c r="F234" s="75" t="n">
        <v>83</v>
      </c>
      <c r="G234" s="75" t="s">
        <v>1083</v>
      </c>
      <c r="H234" s="75" t="s">
        <v>1084</v>
      </c>
    </row>
    <row r="235" customFormat="false" ht="15" hidden="false" customHeight="true" outlineLevel="0" collapsed="false">
      <c r="A235" s="72" t="n">
        <v>3415570</v>
      </c>
      <c r="B235" s="72" t="s">
        <v>1085</v>
      </c>
      <c r="C235" s="72" t="n">
        <v>2025</v>
      </c>
      <c r="D235" s="73" t="n">
        <v>11.99</v>
      </c>
      <c r="E235" s="74" t="n">
        <v>10849</v>
      </c>
      <c r="F235" s="72" t="n">
        <v>78</v>
      </c>
      <c r="G235" s="72" t="s">
        <v>1086</v>
      </c>
      <c r="H235" s="72" t="s">
        <v>1087</v>
      </c>
    </row>
    <row r="236" customFormat="false" ht="15" hidden="false" customHeight="true" outlineLevel="0" collapsed="false">
      <c r="A236" s="75" t="n">
        <v>2008050</v>
      </c>
      <c r="B236" s="75" t="s">
        <v>1088</v>
      </c>
      <c r="C236" s="75" t="n">
        <v>2022</v>
      </c>
      <c r="D236" s="76" t="n">
        <v>9.99</v>
      </c>
      <c r="E236" s="77" t="n">
        <v>10764</v>
      </c>
      <c r="F236" s="75" t="n">
        <v>79</v>
      </c>
      <c r="G236" s="75" t="s">
        <v>1089</v>
      </c>
      <c r="H236" s="75" t="s">
        <v>1090</v>
      </c>
    </row>
    <row r="237" customFormat="false" ht="15" hidden="false" customHeight="true" outlineLevel="0" collapsed="false">
      <c r="A237" s="72" t="n">
        <v>2097030</v>
      </c>
      <c r="B237" s="72" t="s">
        <v>1091</v>
      </c>
      <c r="C237" s="72" t="n">
        <v>2025</v>
      </c>
      <c r="D237" s="73" t="n">
        <v>14.99</v>
      </c>
      <c r="E237" s="74" t="n">
        <v>10694</v>
      </c>
      <c r="F237" s="72" t="n">
        <v>81</v>
      </c>
      <c r="G237" s="72" t="s">
        <v>965</v>
      </c>
      <c r="H237" s="72" t="s">
        <v>966</v>
      </c>
    </row>
    <row r="238" customFormat="false" ht="15" hidden="false" customHeight="true" outlineLevel="0" collapsed="false">
      <c r="A238" s="75" t="n">
        <v>2356470</v>
      </c>
      <c r="B238" s="75" t="s">
        <v>1092</v>
      </c>
      <c r="C238" s="75" t="n">
        <v>2023</v>
      </c>
      <c r="D238" s="76" t="n">
        <v>14.99</v>
      </c>
      <c r="E238" s="77" t="n">
        <v>10585</v>
      </c>
      <c r="F238" s="75" t="n">
        <v>86</v>
      </c>
      <c r="G238" s="75" t="s">
        <v>1093</v>
      </c>
      <c r="H238" s="75" t="s">
        <v>1094</v>
      </c>
    </row>
    <row r="239" customFormat="false" ht="15" hidden="false" customHeight="true" outlineLevel="0" collapsed="false">
      <c r="A239" s="72" t="n">
        <v>1724390</v>
      </c>
      <c r="B239" s="72" t="s">
        <v>1095</v>
      </c>
      <c r="C239" s="72" t="n">
        <v>2023</v>
      </c>
      <c r="D239" s="73" t="n">
        <v>19.99</v>
      </c>
      <c r="E239" s="74" t="n">
        <v>10576</v>
      </c>
      <c r="F239" s="72" t="n">
        <v>71</v>
      </c>
      <c r="G239" s="72" t="s">
        <v>1096</v>
      </c>
      <c r="H239" s="72" t="s">
        <v>1097</v>
      </c>
    </row>
    <row r="240" customFormat="false" ht="15" hidden="false" customHeight="true" outlineLevel="0" collapsed="false">
      <c r="A240" s="75" t="n">
        <v>3493400</v>
      </c>
      <c r="B240" s="75" t="s">
        <v>1098</v>
      </c>
      <c r="C240" s="75" t="n">
        <v>2026</v>
      </c>
      <c r="D240" s="76" t="n">
        <v>15.49</v>
      </c>
      <c r="E240" s="77" t="n">
        <v>10554</v>
      </c>
      <c r="F240" s="75" t="n">
        <v>80</v>
      </c>
      <c r="G240" s="75" t="s">
        <v>1099</v>
      </c>
      <c r="H240" s="75" t="s">
        <v>1100</v>
      </c>
    </row>
    <row r="241" customFormat="false" ht="15" hidden="false" customHeight="true" outlineLevel="0" collapsed="false">
      <c r="A241" s="72" t="n">
        <v>1716940</v>
      </c>
      <c r="B241" s="72" t="s">
        <v>461</v>
      </c>
      <c r="C241" s="72" t="n">
        <v>2022</v>
      </c>
      <c r="D241" s="73" t="n">
        <v>19.99</v>
      </c>
      <c r="E241" s="74" t="n">
        <v>10467</v>
      </c>
      <c r="F241" s="72" t="n">
        <v>63</v>
      </c>
      <c r="G241" s="72" t="s">
        <v>1101</v>
      </c>
      <c r="H241" s="72" t="s">
        <v>1102</v>
      </c>
    </row>
    <row r="242" customFormat="false" ht="15" hidden="false" customHeight="true" outlineLevel="0" collapsed="false">
      <c r="A242" s="75" t="n">
        <v>3930510</v>
      </c>
      <c r="B242" s="75" t="s">
        <v>1103</v>
      </c>
      <c r="C242" s="75" t="n">
        <v>2026</v>
      </c>
      <c r="D242" s="76" t="n">
        <v>7.99</v>
      </c>
      <c r="E242" s="77" t="n">
        <v>10374</v>
      </c>
      <c r="F242" s="75" t="n">
        <v>96</v>
      </c>
      <c r="G242" s="75" t="s">
        <v>1104</v>
      </c>
      <c r="H242" s="75" t="s">
        <v>1105</v>
      </c>
    </row>
    <row r="243" customFormat="false" ht="15" hidden="false" customHeight="true" outlineLevel="0" collapsed="false">
      <c r="A243" s="72" t="n">
        <v>2769070</v>
      </c>
      <c r="B243" s="72" t="s">
        <v>1106</v>
      </c>
      <c r="C243" s="72" t="n">
        <v>2025</v>
      </c>
      <c r="D243" s="73" t="n">
        <v>9.99</v>
      </c>
      <c r="E243" s="74" t="n">
        <v>10370</v>
      </c>
      <c r="F243" s="72" t="n">
        <v>70</v>
      </c>
      <c r="G243" s="72" t="s">
        <v>1107</v>
      </c>
      <c r="H243" s="72" t="s">
        <v>1108</v>
      </c>
    </row>
    <row r="244" customFormat="false" ht="15" hidden="false" customHeight="true" outlineLevel="0" collapsed="false">
      <c r="A244" s="75" t="n">
        <v>4252700</v>
      </c>
      <c r="B244" s="75" t="s">
        <v>1109</v>
      </c>
      <c r="C244" s="75" t="n">
        <v>2026</v>
      </c>
      <c r="D244" s="76" t="n">
        <v>13.99</v>
      </c>
      <c r="E244" s="77" t="n">
        <v>10332</v>
      </c>
      <c r="F244" s="75" t="n">
        <v>89</v>
      </c>
      <c r="G244" s="75" t="s">
        <v>1110</v>
      </c>
      <c r="H244" s="75" t="s">
        <v>1111</v>
      </c>
    </row>
    <row r="245" customFormat="false" ht="15" hidden="false" customHeight="true" outlineLevel="0" collapsed="false">
      <c r="A245" s="72" t="n">
        <v>3001330</v>
      </c>
      <c r="B245" s="72" t="s">
        <v>361</v>
      </c>
      <c r="C245" s="72" t="n">
        <v>2025</v>
      </c>
      <c r="D245" s="73" t="n">
        <v>9.99</v>
      </c>
      <c r="E245" s="74" t="n">
        <v>10332</v>
      </c>
      <c r="F245" s="72" t="n">
        <v>84</v>
      </c>
      <c r="G245" s="72" t="s">
        <v>1112</v>
      </c>
      <c r="H245" s="72" t="s">
        <v>1113</v>
      </c>
    </row>
    <row r="246" customFormat="false" ht="15" hidden="false" customHeight="true" outlineLevel="0" collapsed="false">
      <c r="A246" s="75" t="n">
        <v>4189910</v>
      </c>
      <c r="B246" s="75" t="s">
        <v>1114</v>
      </c>
      <c r="C246" s="75" t="n">
        <v>2025</v>
      </c>
      <c r="D246" s="76" t="n">
        <v>0</v>
      </c>
      <c r="E246" s="77" t="n">
        <v>10303</v>
      </c>
      <c r="F246" s="75" t="n">
        <v>95</v>
      </c>
      <c r="G246" s="75" t="s">
        <v>1115</v>
      </c>
      <c r="H246" s="75" t="s">
        <v>1116</v>
      </c>
    </row>
    <row r="247" customFormat="false" ht="15" hidden="false" customHeight="true" outlineLevel="0" collapsed="false">
      <c r="A247" s="72" t="n">
        <v>1081470</v>
      </c>
      <c r="B247" s="72" t="s">
        <v>1117</v>
      </c>
      <c r="C247" s="72" t="n">
        <v>2019</v>
      </c>
      <c r="D247" s="73" t="n">
        <v>0</v>
      </c>
      <c r="E247" s="74" t="n">
        <v>10112</v>
      </c>
      <c r="F247" s="72" t="n">
        <v>61</v>
      </c>
      <c r="G247" s="72" t="s">
        <v>1118</v>
      </c>
      <c r="H247" s="72" t="s">
        <v>1119</v>
      </c>
    </row>
    <row r="248" customFormat="false" ht="15" hidden="false" customHeight="true" outlineLevel="0" collapsed="false">
      <c r="A248" s="75" t="n">
        <v>3446840</v>
      </c>
      <c r="B248" s="75" t="s">
        <v>1120</v>
      </c>
      <c r="C248" s="75" t="n">
        <v>2026</v>
      </c>
      <c r="D248" s="76" t="n">
        <v>11.99</v>
      </c>
      <c r="E248" s="77" t="n">
        <v>10000</v>
      </c>
      <c r="F248" s="75" t="n">
        <v>69</v>
      </c>
      <c r="G248" s="75" t="s">
        <v>1121</v>
      </c>
      <c r="H248" s="75" t="s">
        <v>1122</v>
      </c>
    </row>
    <row r="249" customFormat="false" ht="15" hidden="false" customHeight="true" outlineLevel="0" collapsed="false">
      <c r="A249" s="72" t="n">
        <v>3159120</v>
      </c>
      <c r="B249" s="72" t="s">
        <v>1123</v>
      </c>
      <c r="C249" s="72" t="n">
        <v>2025</v>
      </c>
      <c r="D249" s="73" t="n">
        <v>6.99</v>
      </c>
      <c r="E249" s="74" t="n">
        <v>9585</v>
      </c>
      <c r="F249" s="72" t="n">
        <v>94</v>
      </c>
      <c r="G249" s="72" t="s">
        <v>1124</v>
      </c>
      <c r="H249" s="72" t="s">
        <v>1125</v>
      </c>
    </row>
    <row r="250" customFormat="false" ht="15" hidden="false" customHeight="true" outlineLevel="0" collapsed="false">
      <c r="A250" s="75" t="n">
        <v>2087460</v>
      </c>
      <c r="B250" s="75" t="s">
        <v>1126</v>
      </c>
      <c r="C250" s="75" t="n">
        <v>2024</v>
      </c>
      <c r="D250" s="76" t="n">
        <v>19.99</v>
      </c>
      <c r="E250" s="77" t="n">
        <v>9345</v>
      </c>
      <c r="F250" s="75" t="n">
        <v>89</v>
      </c>
      <c r="G250" s="75" t="s">
        <v>1127</v>
      </c>
      <c r="H250" s="75" t="s">
        <v>1128</v>
      </c>
    </row>
    <row r="251" customFormat="false" ht="15" hidden="false" customHeight="true" outlineLevel="0" collapsed="false">
      <c r="A251" s="72" t="n">
        <v>2797650</v>
      </c>
      <c r="B251" s="72" t="s">
        <v>1129</v>
      </c>
      <c r="C251" s="72" t="n">
        <v>2025</v>
      </c>
      <c r="D251" s="73" t="n">
        <v>10.99</v>
      </c>
      <c r="E251" s="74" t="n">
        <v>9155</v>
      </c>
      <c r="F251" s="72" t="n">
        <v>83</v>
      </c>
      <c r="G251" s="72" t="s">
        <v>1130</v>
      </c>
      <c r="H251" s="72" t="s">
        <v>1131</v>
      </c>
    </row>
    <row r="252" customFormat="false" ht="15" hidden="false" customHeight="true" outlineLevel="0" collapsed="false">
      <c r="A252" s="75" t="n">
        <v>3009310</v>
      </c>
      <c r="B252" s="75" t="s">
        <v>1132</v>
      </c>
      <c r="C252" s="75" t="n">
        <v>2026</v>
      </c>
      <c r="D252" s="76" t="n">
        <v>14.99</v>
      </c>
      <c r="E252" s="77" t="n">
        <v>9051</v>
      </c>
      <c r="F252" s="75" t="n">
        <v>89</v>
      </c>
      <c r="G252" s="75" t="s">
        <v>1133</v>
      </c>
      <c r="H252" s="75" t="s">
        <v>1134</v>
      </c>
    </row>
    <row r="253" customFormat="false" ht="15" hidden="false" customHeight="true" outlineLevel="0" collapsed="false">
      <c r="A253" s="72" t="n">
        <v>490950</v>
      </c>
      <c r="B253" s="72" t="s">
        <v>1135</v>
      </c>
      <c r="C253" s="72" t="n">
        <v>2016</v>
      </c>
      <c r="D253" s="73" t="n">
        <v>6.99</v>
      </c>
      <c r="E253" s="74" t="n">
        <v>8958</v>
      </c>
      <c r="F253" s="72" t="n">
        <v>87</v>
      </c>
      <c r="G253" s="72" t="s">
        <v>1136</v>
      </c>
      <c r="H253" s="72" t="s">
        <v>1137</v>
      </c>
    </row>
    <row r="254" customFormat="false" ht="15" hidden="false" customHeight="true" outlineLevel="0" collapsed="false">
      <c r="A254" s="75" t="n">
        <v>2144220</v>
      </c>
      <c r="B254" s="75" t="s">
        <v>1138</v>
      </c>
      <c r="C254" s="75" t="n">
        <v>2024</v>
      </c>
      <c r="D254" s="76" t="n">
        <v>9.99</v>
      </c>
      <c r="E254" s="77" t="n">
        <v>8948</v>
      </c>
      <c r="F254" s="75" t="n">
        <v>96</v>
      </c>
      <c r="G254" s="75" t="s">
        <v>1139</v>
      </c>
      <c r="H254" s="75" t="s">
        <v>1140</v>
      </c>
    </row>
    <row r="255" customFormat="false" ht="15" hidden="false" customHeight="true" outlineLevel="0" collapsed="false">
      <c r="A255" s="72" t="n">
        <v>2666230</v>
      </c>
      <c r="B255" s="72" t="s">
        <v>446</v>
      </c>
      <c r="C255" s="72" t="n">
        <v>2024</v>
      </c>
      <c r="D255" s="73" t="n">
        <v>7.99</v>
      </c>
      <c r="E255" s="74" t="n">
        <v>8942</v>
      </c>
      <c r="F255" s="72" t="n">
        <v>78</v>
      </c>
      <c r="G255" s="72" t="s">
        <v>1141</v>
      </c>
      <c r="H255" s="72" t="s">
        <v>1142</v>
      </c>
    </row>
    <row r="256" customFormat="false" ht="15" hidden="false" customHeight="true" outlineLevel="0" collapsed="false">
      <c r="A256" s="75" t="n">
        <v>2181950</v>
      </c>
      <c r="B256" s="75" t="s">
        <v>1143</v>
      </c>
      <c r="C256" s="75" t="n">
        <v>2024</v>
      </c>
      <c r="D256" s="76" t="n">
        <v>12.99</v>
      </c>
      <c r="E256" s="77" t="n">
        <v>8715</v>
      </c>
      <c r="F256" s="75" t="n">
        <v>87</v>
      </c>
      <c r="G256" s="75" t="s">
        <v>1144</v>
      </c>
      <c r="H256" s="75" t="s">
        <v>1145</v>
      </c>
    </row>
    <row r="257" customFormat="false" ht="15" hidden="false" customHeight="true" outlineLevel="0" collapsed="false">
      <c r="A257" s="72" t="n">
        <v>919220</v>
      </c>
      <c r="B257" s="72" t="s">
        <v>1146</v>
      </c>
      <c r="C257" s="72" t="n">
        <v>2019</v>
      </c>
      <c r="D257" s="73" t="n">
        <v>4.99</v>
      </c>
      <c r="E257" s="74" t="n">
        <v>8608</v>
      </c>
      <c r="F257" s="72" t="n">
        <v>55</v>
      </c>
      <c r="G257" s="72" t="s">
        <v>1147</v>
      </c>
      <c r="H257" s="72" t="s">
        <v>1148</v>
      </c>
    </row>
    <row r="258" customFormat="false" ht="15" hidden="false" customHeight="true" outlineLevel="0" collapsed="false">
      <c r="A258" s="75" t="n">
        <v>1322100</v>
      </c>
      <c r="B258" s="75" t="s">
        <v>1149</v>
      </c>
      <c r="C258" s="75" t="n">
        <v>2023</v>
      </c>
      <c r="D258" s="76" t="n">
        <v>14.99</v>
      </c>
      <c r="E258" s="77" t="n">
        <v>8606</v>
      </c>
      <c r="F258" s="75" t="n">
        <v>91</v>
      </c>
      <c r="G258" s="75" t="s">
        <v>1150</v>
      </c>
      <c r="H258" s="75" t="s">
        <v>1151</v>
      </c>
    </row>
    <row r="259" customFormat="false" ht="15" hidden="false" customHeight="true" outlineLevel="0" collapsed="false">
      <c r="A259" s="72" t="n">
        <v>2995450</v>
      </c>
      <c r="B259" s="72" t="s">
        <v>1152</v>
      </c>
      <c r="C259" s="72" t="n">
        <v>2025</v>
      </c>
      <c r="D259" s="73" t="n">
        <v>19.99</v>
      </c>
      <c r="E259" s="74" t="n">
        <v>8598</v>
      </c>
      <c r="F259" s="72" t="n">
        <v>79</v>
      </c>
      <c r="G259" s="72" t="s">
        <v>1153</v>
      </c>
      <c r="H259" s="72" t="s">
        <v>1154</v>
      </c>
    </row>
    <row r="260" customFormat="false" ht="15" hidden="false" customHeight="true" outlineLevel="0" collapsed="false">
      <c r="A260" s="75" t="n">
        <v>3877790</v>
      </c>
      <c r="B260" s="75" t="s">
        <v>1155</v>
      </c>
      <c r="C260" s="75" t="n">
        <v>2025</v>
      </c>
      <c r="D260" s="76" t="n">
        <v>19.99</v>
      </c>
      <c r="E260" s="77" t="n">
        <v>8549</v>
      </c>
      <c r="F260" s="75" t="n">
        <v>84</v>
      </c>
      <c r="G260" s="75" t="s">
        <v>1156</v>
      </c>
      <c r="H260" s="75" t="s">
        <v>1157</v>
      </c>
    </row>
    <row r="261" customFormat="false" ht="15" hidden="false" customHeight="true" outlineLevel="0" collapsed="false">
      <c r="A261" s="72" t="n">
        <v>2888980</v>
      </c>
      <c r="B261" s="72" t="s">
        <v>1158</v>
      </c>
      <c r="C261" s="72" t="n">
        <v>2024</v>
      </c>
      <c r="D261" s="73" t="n">
        <v>0</v>
      </c>
      <c r="E261" s="74" t="n">
        <v>8505</v>
      </c>
      <c r="F261" s="72" t="n">
        <v>57</v>
      </c>
      <c r="G261" s="72" t="s">
        <v>1159</v>
      </c>
      <c r="H261" s="72" t="s">
        <v>1160</v>
      </c>
    </row>
    <row r="262" customFormat="false" ht="15" hidden="false" customHeight="true" outlineLevel="0" collapsed="false">
      <c r="A262" s="75" t="n">
        <v>3760160</v>
      </c>
      <c r="B262" s="75" t="s">
        <v>1161</v>
      </c>
      <c r="C262" s="75" t="n">
        <v>2025</v>
      </c>
      <c r="D262" s="76" t="n">
        <v>0</v>
      </c>
      <c r="E262" s="77" t="n">
        <v>8505</v>
      </c>
      <c r="F262" s="75" t="n">
        <v>92</v>
      </c>
      <c r="G262" s="75" t="s">
        <v>1162</v>
      </c>
      <c r="H262" s="75" t="s">
        <v>1163</v>
      </c>
    </row>
    <row r="263" customFormat="false" ht="15" hidden="false" customHeight="true" outlineLevel="0" collapsed="false">
      <c r="A263" s="72" t="n">
        <v>3123120</v>
      </c>
      <c r="B263" s="72" t="s">
        <v>1164</v>
      </c>
      <c r="C263" s="72" t="n">
        <v>2025</v>
      </c>
      <c r="D263" s="73" t="n">
        <v>4.99</v>
      </c>
      <c r="E263" s="74" t="n">
        <v>8383</v>
      </c>
      <c r="F263" s="72" t="n">
        <v>78</v>
      </c>
      <c r="G263" s="72" t="s">
        <v>1165</v>
      </c>
      <c r="H263" s="72" t="s">
        <v>1166</v>
      </c>
    </row>
    <row r="264" customFormat="false" ht="15" hidden="false" customHeight="true" outlineLevel="0" collapsed="false">
      <c r="A264" s="75" t="n">
        <v>1588340</v>
      </c>
      <c r="B264" s="75" t="s">
        <v>1167</v>
      </c>
      <c r="C264" s="75" t="n">
        <v>2022</v>
      </c>
      <c r="D264" s="76" t="n">
        <v>19.99</v>
      </c>
      <c r="E264" s="77" t="n">
        <v>8231</v>
      </c>
      <c r="F264" s="75" t="n">
        <v>83</v>
      </c>
      <c r="G264" s="75" t="s">
        <v>1168</v>
      </c>
      <c r="H264" s="75" t="s">
        <v>1169</v>
      </c>
    </row>
    <row r="265" customFormat="false" ht="15" hidden="false" customHeight="true" outlineLevel="0" collapsed="false">
      <c r="A265" s="72" t="n">
        <v>4446010</v>
      </c>
      <c r="B265" s="72" t="s">
        <v>1170</v>
      </c>
      <c r="C265" s="72" t="n">
        <v>2026</v>
      </c>
      <c r="D265" s="73" t="n">
        <v>6.99</v>
      </c>
      <c r="E265" s="74" t="n">
        <v>8148</v>
      </c>
      <c r="F265" s="72" t="n">
        <v>76</v>
      </c>
      <c r="G265" s="72" t="s">
        <v>1171</v>
      </c>
      <c r="H265" s="72" t="s">
        <v>1172</v>
      </c>
    </row>
    <row r="266" customFormat="false" ht="15" hidden="false" customHeight="true" outlineLevel="0" collapsed="false">
      <c r="A266" s="75" t="n">
        <v>1162480</v>
      </c>
      <c r="B266" s="75" t="s">
        <v>1173</v>
      </c>
      <c r="C266" s="75" t="n">
        <v>2020</v>
      </c>
      <c r="D266" s="76" t="n">
        <v>17.99</v>
      </c>
      <c r="E266" s="77" t="n">
        <v>8108</v>
      </c>
      <c r="F266" s="75" t="n">
        <v>68</v>
      </c>
      <c r="G266" s="75" t="s">
        <v>1174</v>
      </c>
      <c r="H266" s="75" t="s">
        <v>1175</v>
      </c>
    </row>
    <row r="267" customFormat="false" ht="15" hidden="false" customHeight="true" outlineLevel="0" collapsed="false">
      <c r="A267" s="72" t="n">
        <v>4271680</v>
      </c>
      <c r="B267" s="72" t="s">
        <v>1176</v>
      </c>
      <c r="C267" s="72" t="n">
        <v>2026</v>
      </c>
      <c r="D267" s="73" t="n">
        <v>3.99</v>
      </c>
      <c r="E267" s="74" t="n">
        <v>8096</v>
      </c>
      <c r="F267" s="72" t="n">
        <v>76</v>
      </c>
      <c r="G267" s="72" t="s">
        <v>1177</v>
      </c>
      <c r="H267" s="72" t="s">
        <v>1178</v>
      </c>
    </row>
    <row r="268" customFormat="false" ht="15" hidden="false" customHeight="true" outlineLevel="0" collapsed="false">
      <c r="A268" s="75" t="n">
        <v>3035330</v>
      </c>
      <c r="B268" s="75" t="s">
        <v>1179</v>
      </c>
      <c r="C268" s="75" t="n">
        <v>2025</v>
      </c>
      <c r="D268" s="76" t="n">
        <v>14.99</v>
      </c>
      <c r="E268" s="77" t="n">
        <v>8060</v>
      </c>
      <c r="F268" s="75" t="n">
        <v>79</v>
      </c>
      <c r="G268" s="75" t="s">
        <v>1180</v>
      </c>
      <c r="H268" s="75" t="s">
        <v>1181</v>
      </c>
    </row>
    <row r="269" customFormat="false" ht="15" hidden="false" customHeight="true" outlineLevel="0" collapsed="false">
      <c r="A269" s="72" t="n">
        <v>2940990</v>
      </c>
      <c r="B269" s="72" t="s">
        <v>1182</v>
      </c>
      <c r="C269" s="72" t="n">
        <v>2024</v>
      </c>
      <c r="D269" s="73" t="n">
        <v>8.99</v>
      </c>
      <c r="E269" s="74" t="n">
        <v>8054</v>
      </c>
      <c r="F269" s="72" t="n">
        <v>48</v>
      </c>
      <c r="G269" s="72" t="s">
        <v>1183</v>
      </c>
      <c r="H269" s="72" t="s">
        <v>1184</v>
      </c>
    </row>
    <row r="270" customFormat="false" ht="15" hidden="false" customHeight="true" outlineLevel="0" collapsed="false">
      <c r="A270" s="75" t="n">
        <v>4147140</v>
      </c>
      <c r="B270" s="75" t="s">
        <v>456</v>
      </c>
      <c r="C270" s="75" t="n">
        <v>2025</v>
      </c>
      <c r="D270" s="76" t="n">
        <v>9.99</v>
      </c>
      <c r="E270" s="77" t="n">
        <v>8051</v>
      </c>
      <c r="F270" s="75" t="n">
        <v>77</v>
      </c>
      <c r="G270" s="75" t="s">
        <v>1185</v>
      </c>
      <c r="H270" s="75" t="s">
        <v>1186</v>
      </c>
    </row>
    <row r="271" customFormat="false" ht="15" hidden="false" customHeight="true" outlineLevel="0" collapsed="false">
      <c r="A271" s="72" t="n">
        <v>2717450</v>
      </c>
      <c r="B271" s="72" t="s">
        <v>1187</v>
      </c>
      <c r="C271" s="72" t="n">
        <v>2024</v>
      </c>
      <c r="D271" s="73" t="n">
        <v>0</v>
      </c>
      <c r="E271" s="74" t="n">
        <v>7923</v>
      </c>
      <c r="F271" s="72" t="n">
        <v>82</v>
      </c>
      <c r="G271" s="72" t="s">
        <v>1188</v>
      </c>
      <c r="H271" s="72" t="s">
        <v>1189</v>
      </c>
    </row>
    <row r="272" customFormat="false" ht="15" hidden="false" customHeight="true" outlineLevel="0" collapsed="false">
      <c r="A272" s="75" t="n">
        <v>3825660</v>
      </c>
      <c r="B272" s="75" t="s">
        <v>1190</v>
      </c>
      <c r="C272" s="75" t="n">
        <v>2026</v>
      </c>
      <c r="D272" s="76" t="n">
        <v>10.99</v>
      </c>
      <c r="E272" s="77" t="n">
        <v>7866</v>
      </c>
      <c r="F272" s="75" t="n">
        <v>88</v>
      </c>
      <c r="G272" s="75" t="s">
        <v>1191</v>
      </c>
      <c r="H272" s="75" t="s">
        <v>1192</v>
      </c>
    </row>
    <row r="273" customFormat="false" ht="15" hidden="false" customHeight="true" outlineLevel="0" collapsed="false">
      <c r="A273" s="72" t="n">
        <v>3112170</v>
      </c>
      <c r="B273" s="72" t="s">
        <v>405</v>
      </c>
      <c r="C273" s="72" t="n">
        <v>2025</v>
      </c>
      <c r="D273" s="73" t="n">
        <v>19.99</v>
      </c>
      <c r="E273" s="74" t="n">
        <v>7544</v>
      </c>
      <c r="F273" s="72" t="n">
        <v>78</v>
      </c>
      <c r="G273" s="72" t="s">
        <v>1193</v>
      </c>
      <c r="H273" s="72" t="s">
        <v>1194</v>
      </c>
    </row>
    <row r="274" customFormat="false" ht="15" hidden="false" customHeight="true" outlineLevel="0" collapsed="false">
      <c r="A274" s="75" t="n">
        <v>2877770</v>
      </c>
      <c r="B274" s="75" t="s">
        <v>352</v>
      </c>
      <c r="C274" s="75" t="n">
        <v>2025</v>
      </c>
      <c r="D274" s="76" t="n">
        <v>14.99</v>
      </c>
      <c r="E274" s="77" t="n">
        <v>7522</v>
      </c>
      <c r="F274" s="75" t="n">
        <v>86</v>
      </c>
      <c r="G274" s="75" t="s">
        <v>1195</v>
      </c>
      <c r="H274" s="75" t="s">
        <v>1196</v>
      </c>
    </row>
    <row r="275" customFormat="false" ht="15" hidden="false" customHeight="true" outlineLevel="0" collapsed="false">
      <c r="A275" s="72" t="n">
        <v>3179860</v>
      </c>
      <c r="B275" s="72" t="s">
        <v>1197</v>
      </c>
      <c r="C275" s="72" t="n">
        <v>2025</v>
      </c>
      <c r="D275" s="73" t="n">
        <v>9.99</v>
      </c>
      <c r="E275" s="74" t="n">
        <v>7265</v>
      </c>
      <c r="F275" s="72" t="n">
        <v>75</v>
      </c>
      <c r="G275" s="72" t="s">
        <v>1198</v>
      </c>
      <c r="H275" s="72" t="s">
        <v>1199</v>
      </c>
    </row>
    <row r="276" customFormat="false" ht="15" hidden="false" customHeight="true" outlineLevel="0" collapsed="false">
      <c r="A276" s="75" t="n">
        <v>2954010</v>
      </c>
      <c r="B276" s="75" t="s">
        <v>441</v>
      </c>
      <c r="C276" s="75" t="n">
        <v>2026</v>
      </c>
      <c r="D276" s="76" t="n">
        <v>14.99</v>
      </c>
      <c r="E276" s="77" t="n">
        <v>7249</v>
      </c>
      <c r="F276" s="75" t="n">
        <v>92</v>
      </c>
      <c r="G276" s="75" t="s">
        <v>1200</v>
      </c>
      <c r="H276" s="75" t="s">
        <v>1201</v>
      </c>
    </row>
    <row r="277" customFormat="false" ht="15" hidden="false" customHeight="true" outlineLevel="0" collapsed="false">
      <c r="A277" s="72" t="n">
        <v>856990</v>
      </c>
      <c r="B277" s="72" t="s">
        <v>1202</v>
      </c>
      <c r="C277" s="72" t="n">
        <v>2020</v>
      </c>
      <c r="D277" s="73" t="n">
        <v>17.99</v>
      </c>
      <c r="E277" s="74" t="n">
        <v>7243</v>
      </c>
      <c r="F277" s="72" t="n">
        <v>66</v>
      </c>
      <c r="G277" s="72" t="s">
        <v>1203</v>
      </c>
      <c r="H277" s="72" t="s">
        <v>1204</v>
      </c>
    </row>
    <row r="278" customFormat="false" ht="15" hidden="false" customHeight="true" outlineLevel="0" collapsed="false">
      <c r="A278" s="75" t="n">
        <v>1101420</v>
      </c>
      <c r="B278" s="75" t="s">
        <v>1205</v>
      </c>
      <c r="C278" s="75" t="n">
        <v>2021</v>
      </c>
      <c r="D278" s="76" t="n">
        <v>0</v>
      </c>
      <c r="E278" s="77" t="n">
        <v>7097</v>
      </c>
      <c r="F278" s="75" t="n">
        <v>69</v>
      </c>
      <c r="G278" s="75" t="s">
        <v>1206</v>
      </c>
      <c r="H278" s="75" t="s">
        <v>1207</v>
      </c>
    </row>
    <row r="279" customFormat="false" ht="15" hidden="false" customHeight="true" outlineLevel="0" collapsed="false">
      <c r="A279" s="72" t="n">
        <v>2275940</v>
      </c>
      <c r="B279" s="72" t="s">
        <v>1208</v>
      </c>
      <c r="C279" s="72" t="n">
        <v>2025</v>
      </c>
      <c r="D279" s="73" t="n">
        <v>19.99</v>
      </c>
      <c r="E279" s="74" t="n">
        <v>6939</v>
      </c>
      <c r="F279" s="72" t="n">
        <v>87</v>
      </c>
      <c r="G279" s="72" t="s">
        <v>1209</v>
      </c>
      <c r="H279" s="72" t="s">
        <v>1210</v>
      </c>
    </row>
    <row r="280" customFormat="false" ht="15" hidden="false" customHeight="true" outlineLevel="0" collapsed="false">
      <c r="A280" s="75" t="n">
        <v>4092940</v>
      </c>
      <c r="B280" s="75" t="s">
        <v>1211</v>
      </c>
      <c r="C280" s="75" t="n">
        <v>2026</v>
      </c>
      <c r="D280" s="76" t="n">
        <v>12.99</v>
      </c>
      <c r="E280" s="77" t="n">
        <v>6849</v>
      </c>
      <c r="F280" s="75" t="n">
        <v>98</v>
      </c>
      <c r="G280" s="75" t="s">
        <v>1212</v>
      </c>
      <c r="H280" s="75" t="s">
        <v>1213</v>
      </c>
    </row>
    <row r="281" customFormat="false" ht="15" hidden="false" customHeight="true" outlineLevel="0" collapsed="false">
      <c r="A281" s="72" t="n">
        <v>2812610</v>
      </c>
      <c r="B281" s="72" t="s">
        <v>1214</v>
      </c>
      <c r="C281" s="72" t="n">
        <v>2024</v>
      </c>
      <c r="D281" s="73" t="n">
        <v>6.99</v>
      </c>
      <c r="E281" s="74" t="n">
        <v>6848</v>
      </c>
      <c r="F281" s="72" t="n">
        <v>88</v>
      </c>
      <c r="G281" s="72" t="s">
        <v>1215</v>
      </c>
      <c r="H281" s="72" t="s">
        <v>1216</v>
      </c>
    </row>
    <row r="282" customFormat="false" ht="15" hidden="false" customHeight="true" outlineLevel="0" collapsed="false">
      <c r="A282" s="75" t="n">
        <v>2688900</v>
      </c>
      <c r="B282" s="75" t="s">
        <v>1217</v>
      </c>
      <c r="C282" s="75" t="n">
        <v>2024</v>
      </c>
      <c r="D282" s="76" t="n">
        <v>5.99</v>
      </c>
      <c r="E282" s="77" t="n">
        <v>6684</v>
      </c>
      <c r="F282" s="75" t="n">
        <v>92</v>
      </c>
      <c r="G282" s="75" t="s">
        <v>1218</v>
      </c>
      <c r="H282" s="75" t="s">
        <v>1219</v>
      </c>
    </row>
    <row r="283" customFormat="false" ht="15" hidden="false" customHeight="true" outlineLevel="0" collapsed="false">
      <c r="A283" s="72" t="n">
        <v>2202010</v>
      </c>
      <c r="B283" s="72" t="s">
        <v>1220</v>
      </c>
      <c r="C283" s="72" t="n">
        <v>2025</v>
      </c>
      <c r="D283" s="73" t="n">
        <v>3.99</v>
      </c>
      <c r="E283" s="74" t="n">
        <v>6637</v>
      </c>
      <c r="F283" s="72" t="n">
        <v>82</v>
      </c>
      <c r="G283" s="72" t="s">
        <v>1221</v>
      </c>
      <c r="H283" s="72" t="s">
        <v>1222</v>
      </c>
    </row>
    <row r="284" customFormat="false" ht="15" hidden="false" customHeight="true" outlineLevel="0" collapsed="false">
      <c r="A284" s="75" t="n">
        <v>2100140</v>
      </c>
      <c r="B284" s="75" t="s">
        <v>1223</v>
      </c>
      <c r="C284" s="75" t="n">
        <v>2024</v>
      </c>
      <c r="D284" s="76" t="n">
        <v>0</v>
      </c>
      <c r="E284" s="77" t="n">
        <v>6570</v>
      </c>
      <c r="F284" s="75" t="n">
        <v>39</v>
      </c>
      <c r="G284" s="75" t="s">
        <v>1223</v>
      </c>
      <c r="H284" s="75" t="s">
        <v>1224</v>
      </c>
    </row>
    <row r="285" customFormat="false" ht="15" hidden="false" customHeight="true" outlineLevel="0" collapsed="false">
      <c r="A285" s="72" t="n">
        <v>2438260</v>
      </c>
      <c r="B285" s="72" t="s">
        <v>1225</v>
      </c>
      <c r="C285" s="72" t="n">
        <v>2025</v>
      </c>
      <c r="D285" s="73" t="n">
        <v>10.99</v>
      </c>
      <c r="E285" s="74" t="n">
        <v>6551</v>
      </c>
      <c r="F285" s="72" t="n">
        <v>79</v>
      </c>
      <c r="G285" s="72" t="s">
        <v>1226</v>
      </c>
      <c r="H285" s="72" t="s">
        <v>1227</v>
      </c>
    </row>
    <row r="286" customFormat="false" ht="15" hidden="false" customHeight="true" outlineLevel="0" collapsed="false">
      <c r="A286" s="75" t="n">
        <v>3332060</v>
      </c>
      <c r="B286" s="75" t="s">
        <v>1228</v>
      </c>
      <c r="C286" s="75" t="n">
        <v>2026</v>
      </c>
      <c r="D286" s="76" t="n">
        <v>4.99</v>
      </c>
      <c r="E286" s="77" t="n">
        <v>6540</v>
      </c>
      <c r="F286" s="75" t="n">
        <v>96</v>
      </c>
      <c r="G286" s="75" t="s">
        <v>1229</v>
      </c>
      <c r="H286" s="75" t="s">
        <v>1230</v>
      </c>
    </row>
    <row r="287" customFormat="false" ht="15" hidden="false" customHeight="true" outlineLevel="0" collapsed="false">
      <c r="A287" s="72" t="n">
        <v>2190400</v>
      </c>
      <c r="B287" s="72" t="s">
        <v>397</v>
      </c>
      <c r="C287" s="72" t="n">
        <v>2024</v>
      </c>
      <c r="D287" s="73" t="n">
        <v>9.99</v>
      </c>
      <c r="E287" s="74" t="n">
        <v>6458</v>
      </c>
      <c r="F287" s="72" t="n">
        <v>73</v>
      </c>
      <c r="G287" s="72" t="s">
        <v>1231</v>
      </c>
      <c r="H287" s="72" t="s">
        <v>1232</v>
      </c>
    </row>
    <row r="288" customFormat="false" ht="15" hidden="false" customHeight="true" outlineLevel="0" collapsed="false">
      <c r="A288" s="75" t="n">
        <v>1575810</v>
      </c>
      <c r="B288" s="75" t="s">
        <v>1233</v>
      </c>
      <c r="C288" s="75" t="n">
        <v>2025</v>
      </c>
      <c r="D288" s="76" t="n">
        <v>24.99</v>
      </c>
      <c r="E288" s="77" t="n">
        <v>6428</v>
      </c>
      <c r="F288" s="75" t="n">
        <v>92</v>
      </c>
      <c r="G288" s="75" t="s">
        <v>1234</v>
      </c>
      <c r="H288" s="75" t="s">
        <v>1235</v>
      </c>
    </row>
    <row r="289" customFormat="false" ht="15" hidden="false" customHeight="true" outlineLevel="0" collapsed="false">
      <c r="A289" s="72" t="n">
        <v>1093320</v>
      </c>
      <c r="B289" s="72" t="s">
        <v>1236</v>
      </c>
      <c r="C289" s="72" t="n">
        <v>2022</v>
      </c>
      <c r="D289" s="73" t="n">
        <v>14.99</v>
      </c>
      <c r="E289" s="74" t="n">
        <v>6342</v>
      </c>
      <c r="F289" s="72" t="n">
        <v>67</v>
      </c>
      <c r="G289" s="72" t="s">
        <v>1237</v>
      </c>
      <c r="H289" s="72" t="s">
        <v>1238</v>
      </c>
    </row>
    <row r="290" customFormat="false" ht="15" hidden="false" customHeight="true" outlineLevel="0" collapsed="false">
      <c r="A290" s="75" t="n">
        <v>2358770</v>
      </c>
      <c r="B290" s="75" t="s">
        <v>1239</v>
      </c>
      <c r="C290" s="75" t="n">
        <v>2024</v>
      </c>
      <c r="D290" s="76" t="n">
        <v>9.99</v>
      </c>
      <c r="E290" s="77" t="n">
        <v>6316</v>
      </c>
      <c r="F290" s="75" t="n">
        <v>83</v>
      </c>
      <c r="G290" s="75" t="s">
        <v>1240</v>
      </c>
      <c r="H290" s="75" t="s">
        <v>1241</v>
      </c>
    </row>
    <row r="291" customFormat="false" ht="15" hidden="false" customHeight="true" outlineLevel="0" collapsed="false">
      <c r="A291" s="72" t="n">
        <v>1073490</v>
      </c>
      <c r="B291" s="72" t="s">
        <v>1242</v>
      </c>
      <c r="C291" s="72" t="n">
        <v>2019</v>
      </c>
      <c r="D291" s="73" t="n">
        <v>2.99</v>
      </c>
      <c r="E291" s="74" t="n">
        <v>6270</v>
      </c>
      <c r="F291" s="72" t="n">
        <v>82</v>
      </c>
      <c r="G291" s="72" t="s">
        <v>1243</v>
      </c>
      <c r="H291" s="72" t="s">
        <v>1244</v>
      </c>
    </row>
    <row r="292" customFormat="false" ht="15" hidden="false" customHeight="true" outlineLevel="0" collapsed="false">
      <c r="A292" s="75" t="n">
        <v>3860590</v>
      </c>
      <c r="B292" s="75" t="s">
        <v>1245</v>
      </c>
      <c r="C292" s="75" t="n">
        <v>2025</v>
      </c>
      <c r="D292" s="76" t="n">
        <v>4.99</v>
      </c>
      <c r="E292" s="77" t="n">
        <v>6183</v>
      </c>
      <c r="F292" s="75" t="n">
        <v>96</v>
      </c>
      <c r="G292" s="75" t="s">
        <v>1245</v>
      </c>
      <c r="H292" s="75" t="s">
        <v>1246</v>
      </c>
    </row>
    <row r="293" customFormat="false" ht="15" hidden="false" customHeight="true" outlineLevel="0" collapsed="false">
      <c r="A293" s="72" t="n">
        <v>3349860</v>
      </c>
      <c r="B293" s="72" t="s">
        <v>1247</v>
      </c>
      <c r="C293" s="72" t="n">
        <v>2024</v>
      </c>
      <c r="D293" s="73" t="n">
        <v>0</v>
      </c>
      <c r="E293" s="74" t="n">
        <v>6118</v>
      </c>
      <c r="F293" s="72" t="n">
        <v>83</v>
      </c>
      <c r="G293" s="72" t="s">
        <v>1248</v>
      </c>
      <c r="H293" s="72" t="s">
        <v>1249</v>
      </c>
    </row>
    <row r="294" customFormat="false" ht="15" hidden="false" customHeight="true" outlineLevel="0" collapsed="false">
      <c r="A294" s="75" t="n">
        <v>2671010</v>
      </c>
      <c r="B294" s="75" t="s">
        <v>1250</v>
      </c>
      <c r="C294" s="75" t="n">
        <v>2025</v>
      </c>
      <c r="D294" s="76" t="n">
        <v>4.99</v>
      </c>
      <c r="E294" s="77" t="n">
        <v>6064</v>
      </c>
      <c r="F294" s="75" t="n">
        <v>78</v>
      </c>
      <c r="G294" s="75" t="s">
        <v>1251</v>
      </c>
      <c r="H294" s="75" t="s">
        <v>1252</v>
      </c>
    </row>
    <row r="295" customFormat="false" ht="15" hidden="false" customHeight="true" outlineLevel="0" collapsed="false">
      <c r="A295" s="72" t="n">
        <v>2404510</v>
      </c>
      <c r="B295" s="72" t="s">
        <v>1253</v>
      </c>
      <c r="C295" s="72" t="n">
        <v>2023</v>
      </c>
      <c r="D295" s="73" t="n">
        <v>10.99</v>
      </c>
      <c r="E295" s="74" t="n">
        <v>6027</v>
      </c>
      <c r="F295" s="72" t="n">
        <v>84</v>
      </c>
      <c r="G295" s="72" t="s">
        <v>1254</v>
      </c>
      <c r="H295" s="72" t="s">
        <v>1255</v>
      </c>
    </row>
    <row r="296" customFormat="false" ht="15" hidden="false" customHeight="true" outlineLevel="0" collapsed="false">
      <c r="A296" s="75" t="n">
        <v>891370</v>
      </c>
      <c r="B296" s="75" t="s">
        <v>1256</v>
      </c>
      <c r="C296" s="75" t="n">
        <v>2021</v>
      </c>
      <c r="D296" s="76" t="n">
        <v>10.99</v>
      </c>
      <c r="E296" s="77" t="n">
        <v>6019</v>
      </c>
      <c r="F296" s="75" t="n">
        <v>80</v>
      </c>
      <c r="G296" s="75" t="s">
        <v>1257</v>
      </c>
      <c r="H296" s="75" t="s">
        <v>1258</v>
      </c>
    </row>
    <row r="297" customFormat="false" ht="15" hidden="false" customHeight="true" outlineLevel="0" collapsed="false">
      <c r="A297" s="72" t="n">
        <v>918430</v>
      </c>
      <c r="B297" s="72" t="s">
        <v>1259</v>
      </c>
      <c r="C297" s="72" t="n">
        <v>2019</v>
      </c>
      <c r="D297" s="73" t="n">
        <v>15.99</v>
      </c>
      <c r="E297" s="74" t="n">
        <v>5960</v>
      </c>
      <c r="F297" s="72" t="n">
        <v>71</v>
      </c>
      <c r="G297" s="72" t="s">
        <v>1260</v>
      </c>
      <c r="H297" s="72" t="s">
        <v>1261</v>
      </c>
    </row>
    <row r="298" customFormat="false" ht="15" hidden="false" customHeight="true" outlineLevel="0" collapsed="false">
      <c r="A298" s="75" t="n">
        <v>1373260</v>
      </c>
      <c r="B298" s="75" t="s">
        <v>1262</v>
      </c>
      <c r="C298" s="75" t="n">
        <v>2022</v>
      </c>
      <c r="D298" s="76" t="n">
        <v>14.99</v>
      </c>
      <c r="E298" s="77" t="n">
        <v>5917</v>
      </c>
      <c r="F298" s="75" t="n">
        <v>80</v>
      </c>
      <c r="G298" s="75" t="s">
        <v>1263</v>
      </c>
      <c r="H298" s="75" t="s">
        <v>1264</v>
      </c>
    </row>
    <row r="299" customFormat="false" ht="15" hidden="false" customHeight="true" outlineLevel="0" collapsed="false">
      <c r="A299" s="72" t="n">
        <v>2879000</v>
      </c>
      <c r="B299" s="72" t="s">
        <v>1265</v>
      </c>
      <c r="C299" s="72" t="n">
        <v>2024</v>
      </c>
      <c r="D299" s="73" t="n">
        <v>0</v>
      </c>
      <c r="E299" s="74" t="n">
        <v>5886</v>
      </c>
      <c r="F299" s="72" t="n">
        <v>50</v>
      </c>
      <c r="G299" s="72" t="s">
        <v>1266</v>
      </c>
      <c r="H299" s="72" t="s">
        <v>1267</v>
      </c>
    </row>
    <row r="300" customFormat="false" ht="15" hidden="false" customHeight="true" outlineLevel="0" collapsed="false">
      <c r="A300" s="75" t="n">
        <v>2576200</v>
      </c>
      <c r="B300" s="75" t="s">
        <v>1268</v>
      </c>
      <c r="C300" s="75" t="n">
        <v>2025</v>
      </c>
      <c r="D300" s="76" t="n">
        <v>14.99</v>
      </c>
      <c r="E300" s="77" t="n">
        <v>5801</v>
      </c>
      <c r="F300" s="75" t="n">
        <v>85</v>
      </c>
      <c r="G300" s="75" t="s">
        <v>1269</v>
      </c>
      <c r="H300" s="75" t="s">
        <v>1270</v>
      </c>
    </row>
    <row r="301" customFormat="false" ht="15" hidden="false" customHeight="true" outlineLevel="0" collapsed="false">
      <c r="A301" s="72" t="n">
        <v>2785570</v>
      </c>
      <c r="B301" s="72" t="s">
        <v>1271</v>
      </c>
      <c r="C301" s="72" t="n">
        <v>2025</v>
      </c>
      <c r="D301" s="73" t="n">
        <v>11.99</v>
      </c>
      <c r="E301" s="74" t="n">
        <v>5794</v>
      </c>
      <c r="F301" s="72" t="n">
        <v>75</v>
      </c>
      <c r="G301" s="72" t="s">
        <v>1272</v>
      </c>
      <c r="H301" s="72" t="s">
        <v>1273</v>
      </c>
    </row>
    <row r="302" customFormat="false" ht="15" hidden="false" customHeight="true" outlineLevel="0" collapsed="false">
      <c r="A302" s="75" t="n">
        <v>1932210</v>
      </c>
      <c r="B302" s="75" t="s">
        <v>1274</v>
      </c>
      <c r="C302" s="75" t="n">
        <v>2025</v>
      </c>
      <c r="D302" s="76" t="n">
        <v>14.99</v>
      </c>
      <c r="E302" s="77" t="n">
        <v>5778</v>
      </c>
      <c r="F302" s="75" t="n">
        <v>81</v>
      </c>
      <c r="G302" s="75" t="s">
        <v>1275</v>
      </c>
      <c r="H302" s="75" t="s">
        <v>1276</v>
      </c>
    </row>
    <row r="303" customFormat="false" ht="15" hidden="false" customHeight="true" outlineLevel="0" collapsed="false">
      <c r="A303" s="72" t="n">
        <v>3636060</v>
      </c>
      <c r="B303" s="72" t="s">
        <v>1277</v>
      </c>
      <c r="C303" s="72" t="n">
        <v>2026</v>
      </c>
      <c r="D303" s="73" t="n">
        <v>14.99</v>
      </c>
      <c r="E303" s="74" t="n">
        <v>5758</v>
      </c>
      <c r="F303" s="72" t="n">
        <v>86</v>
      </c>
      <c r="G303" s="72" t="s">
        <v>1278</v>
      </c>
      <c r="H303" s="72" t="s">
        <v>1279</v>
      </c>
    </row>
    <row r="304" customFormat="false" ht="15" hidden="false" customHeight="true" outlineLevel="0" collapsed="false">
      <c r="A304" s="75" t="n">
        <v>3349850</v>
      </c>
      <c r="B304" s="75" t="s">
        <v>1280</v>
      </c>
      <c r="C304" s="75" t="n">
        <v>2024</v>
      </c>
      <c r="D304" s="76" t="n">
        <v>0</v>
      </c>
      <c r="E304" s="77" t="n">
        <v>5713</v>
      </c>
      <c r="F304" s="75" t="n">
        <v>92</v>
      </c>
      <c r="G304" s="75" t="s">
        <v>1281</v>
      </c>
      <c r="H304" s="75" t="s">
        <v>1282</v>
      </c>
    </row>
    <row r="305" customFormat="false" ht="15" hidden="false" customHeight="true" outlineLevel="0" collapsed="false">
      <c r="A305" s="72" t="n">
        <v>4914570</v>
      </c>
      <c r="B305" s="72" t="s">
        <v>1283</v>
      </c>
      <c r="C305" s="72" t="n">
        <v>2026</v>
      </c>
      <c r="D305" s="73" t="n">
        <v>0</v>
      </c>
      <c r="E305" s="74" t="n">
        <v>5679</v>
      </c>
      <c r="F305" s="72" t="n">
        <v>99</v>
      </c>
      <c r="G305" s="72" t="s">
        <v>1284</v>
      </c>
      <c r="H305" s="72" t="s">
        <v>1285</v>
      </c>
    </row>
    <row r="306" customFormat="false" ht="15" hidden="false" customHeight="true" outlineLevel="0" collapsed="false">
      <c r="A306" s="75" t="n">
        <v>1830320</v>
      </c>
      <c r="B306" s="75" t="s">
        <v>1286</v>
      </c>
      <c r="C306" s="75" t="n">
        <v>2025</v>
      </c>
      <c r="D306" s="76" t="n">
        <v>9.99</v>
      </c>
      <c r="E306" s="77" t="n">
        <v>5654</v>
      </c>
      <c r="F306" s="75" t="n">
        <v>69</v>
      </c>
      <c r="G306" s="75" t="s">
        <v>1287</v>
      </c>
      <c r="H306" s="75" t="s">
        <v>1288</v>
      </c>
    </row>
    <row r="307" customFormat="false" ht="15" hidden="false" customHeight="true" outlineLevel="0" collapsed="false">
      <c r="A307" s="72" t="n">
        <v>2837790</v>
      </c>
      <c r="B307" s="72" t="s">
        <v>426</v>
      </c>
      <c r="C307" s="72" t="n">
        <v>2026</v>
      </c>
      <c r="D307" s="73" t="n">
        <v>9.99</v>
      </c>
      <c r="E307" s="74" t="n">
        <v>5653</v>
      </c>
      <c r="F307" s="72" t="n">
        <v>91</v>
      </c>
      <c r="G307" s="72" t="s">
        <v>1289</v>
      </c>
      <c r="H307" s="72" t="s">
        <v>1290</v>
      </c>
    </row>
    <row r="308" customFormat="false" ht="15" hidden="false" customHeight="true" outlineLevel="0" collapsed="false">
      <c r="A308" s="75" t="n">
        <v>3641420</v>
      </c>
      <c r="B308" s="75" t="s">
        <v>1291</v>
      </c>
      <c r="C308" s="75" t="n">
        <v>2025</v>
      </c>
      <c r="D308" s="76" t="n">
        <v>0</v>
      </c>
      <c r="E308" s="77" t="n">
        <v>5576</v>
      </c>
      <c r="F308" s="75" t="n">
        <v>98</v>
      </c>
      <c r="G308" s="75" t="s">
        <v>1292</v>
      </c>
      <c r="H308" s="75" t="s">
        <v>1293</v>
      </c>
    </row>
    <row r="309" customFormat="false" ht="15" hidden="false" customHeight="true" outlineLevel="0" collapsed="false">
      <c r="A309" s="72" t="n">
        <v>3496890</v>
      </c>
      <c r="B309" s="72" t="s">
        <v>451</v>
      </c>
      <c r="C309" s="72" t="n">
        <v>2026</v>
      </c>
      <c r="D309" s="73" t="n">
        <v>6.99</v>
      </c>
      <c r="E309" s="74" t="n">
        <v>5455</v>
      </c>
      <c r="F309" s="72" t="n">
        <v>90</v>
      </c>
      <c r="G309" s="72" t="s">
        <v>1294</v>
      </c>
      <c r="H309" s="72" t="s">
        <v>1295</v>
      </c>
    </row>
    <row r="310" customFormat="false" ht="15" hidden="false" customHeight="true" outlineLevel="0" collapsed="false">
      <c r="A310" s="75" t="n">
        <v>3048840</v>
      </c>
      <c r="B310" s="75" t="s">
        <v>1296</v>
      </c>
      <c r="C310" s="75" t="n">
        <v>2026</v>
      </c>
      <c r="D310" s="76" t="n">
        <v>14.99</v>
      </c>
      <c r="E310" s="77" t="n">
        <v>5412</v>
      </c>
      <c r="F310" s="75" t="n">
        <v>98</v>
      </c>
      <c r="G310" s="75" t="s">
        <v>1297</v>
      </c>
      <c r="H310" s="75" t="s">
        <v>1298</v>
      </c>
    </row>
    <row r="311" customFormat="false" ht="15" hidden="false" customHeight="true" outlineLevel="0" collapsed="false">
      <c r="A311" s="72" t="n">
        <v>3509430</v>
      </c>
      <c r="B311" s="72" t="s">
        <v>1299</v>
      </c>
      <c r="C311" s="72" t="n">
        <v>2025</v>
      </c>
      <c r="D311" s="73" t="n">
        <v>9.99</v>
      </c>
      <c r="E311" s="74" t="n">
        <v>5280</v>
      </c>
      <c r="F311" s="72" t="n">
        <v>99</v>
      </c>
      <c r="G311" s="72" t="s">
        <v>1300</v>
      </c>
      <c r="H311" s="72" t="s">
        <v>1301</v>
      </c>
    </row>
    <row r="312" customFormat="false" ht="15" hidden="false" customHeight="true" outlineLevel="0" collapsed="false">
      <c r="A312" s="75" t="n">
        <v>2088770</v>
      </c>
      <c r="B312" s="75" t="s">
        <v>1302</v>
      </c>
      <c r="C312" s="75" t="n">
        <v>2024</v>
      </c>
      <c r="D312" s="76" t="n">
        <v>11.99</v>
      </c>
      <c r="E312" s="77" t="n">
        <v>5261</v>
      </c>
      <c r="F312" s="75" t="n">
        <v>81</v>
      </c>
      <c r="G312" s="75" t="s">
        <v>1303</v>
      </c>
      <c r="H312" s="75" t="s">
        <v>1304</v>
      </c>
    </row>
    <row r="313" customFormat="false" ht="15" hidden="false" customHeight="true" outlineLevel="0" collapsed="false">
      <c r="A313" s="72" t="n">
        <v>3353800</v>
      </c>
      <c r="B313" s="72" t="s">
        <v>1305</v>
      </c>
      <c r="C313" s="72" t="n">
        <v>2026</v>
      </c>
      <c r="D313" s="73" t="n">
        <v>19.99</v>
      </c>
      <c r="E313" s="74" t="n">
        <v>5222</v>
      </c>
      <c r="F313" s="72" t="n">
        <v>90</v>
      </c>
      <c r="G313" s="72" t="s">
        <v>1306</v>
      </c>
      <c r="H313" s="72" t="s">
        <v>1307</v>
      </c>
    </row>
    <row r="314" customFormat="false" ht="15" hidden="false" customHeight="true" outlineLevel="0" collapsed="false">
      <c r="A314" s="75" t="n">
        <v>2916670</v>
      </c>
      <c r="B314" s="75" t="s">
        <v>1308</v>
      </c>
      <c r="C314" s="75" t="n">
        <v>2026</v>
      </c>
      <c r="D314" s="76" t="n">
        <v>9.99</v>
      </c>
      <c r="E314" s="77" t="n">
        <v>5158</v>
      </c>
      <c r="F314" s="75" t="n">
        <v>86</v>
      </c>
      <c r="G314" s="75" t="s">
        <v>1309</v>
      </c>
      <c r="H314" s="75" t="s">
        <v>1310</v>
      </c>
    </row>
    <row r="315" customFormat="false" ht="15" hidden="false" customHeight="true" outlineLevel="0" collapsed="false">
      <c r="A315" s="72" t="n">
        <v>2862890</v>
      </c>
      <c r="B315" s="72" t="s">
        <v>1311</v>
      </c>
      <c r="C315" s="72" t="n">
        <v>2025</v>
      </c>
      <c r="D315" s="73" t="n">
        <v>16.99</v>
      </c>
      <c r="E315" s="74" t="n">
        <v>5123</v>
      </c>
      <c r="F315" s="72" t="n">
        <v>81</v>
      </c>
      <c r="G315" s="72" t="s">
        <v>1312</v>
      </c>
      <c r="H315" s="72" t="s">
        <v>1313</v>
      </c>
    </row>
    <row r="316" customFormat="false" ht="15" hidden="false" customHeight="true" outlineLevel="0" collapsed="false">
      <c r="A316" s="75" t="n">
        <v>3296910</v>
      </c>
      <c r="B316" s="75" t="s">
        <v>1314</v>
      </c>
      <c r="C316" s="75" t="n">
        <v>2025</v>
      </c>
      <c r="D316" s="76" t="n">
        <v>9.99</v>
      </c>
      <c r="E316" s="77" t="n">
        <v>5072</v>
      </c>
      <c r="F316" s="75" t="n">
        <v>79</v>
      </c>
      <c r="G316" s="75" t="s">
        <v>1315</v>
      </c>
      <c r="H316" s="75" t="s">
        <v>1316</v>
      </c>
    </row>
    <row r="317" customFormat="false" ht="15" hidden="false" customHeight="true" outlineLevel="0" collapsed="false">
      <c r="A317" s="72" t="n">
        <v>1126890</v>
      </c>
      <c r="B317" s="72" t="s">
        <v>1317</v>
      </c>
      <c r="C317" s="72" t="n">
        <v>2021</v>
      </c>
      <c r="D317" s="73" t="n">
        <v>14.99</v>
      </c>
      <c r="E317" s="74" t="n">
        <v>4979</v>
      </c>
      <c r="F317" s="72" t="n">
        <v>79</v>
      </c>
      <c r="G317" s="72" t="s">
        <v>1318</v>
      </c>
      <c r="H317" s="72" t="s">
        <v>1319</v>
      </c>
    </row>
    <row r="318" customFormat="false" ht="15" hidden="false" customHeight="true" outlineLevel="0" collapsed="false">
      <c r="A318" s="75" t="n">
        <v>3449690</v>
      </c>
      <c r="B318" s="75" t="s">
        <v>454</v>
      </c>
      <c r="C318" s="75" t="n">
        <v>2025</v>
      </c>
      <c r="D318" s="76" t="n">
        <v>14.99</v>
      </c>
      <c r="E318" s="77" t="n">
        <v>4970</v>
      </c>
      <c r="F318" s="75" t="n">
        <v>78</v>
      </c>
      <c r="G318" s="75" t="s">
        <v>1320</v>
      </c>
      <c r="H318" s="75" t="s">
        <v>1321</v>
      </c>
    </row>
    <row r="319" customFormat="false" ht="15" hidden="false" customHeight="true" outlineLevel="0" collapsed="false">
      <c r="A319" s="72" t="n">
        <v>3101770</v>
      </c>
      <c r="B319" s="72" t="s">
        <v>1322</v>
      </c>
      <c r="C319" s="72" t="n">
        <v>2024</v>
      </c>
      <c r="D319" s="73" t="n">
        <v>11.99</v>
      </c>
      <c r="E319" s="74" t="n">
        <v>4941</v>
      </c>
      <c r="F319" s="72" t="n">
        <v>77</v>
      </c>
      <c r="G319" s="72" t="s">
        <v>1323</v>
      </c>
      <c r="H319" s="72" t="s">
        <v>1324</v>
      </c>
    </row>
    <row r="320" customFormat="false" ht="15" hidden="false" customHeight="true" outlineLevel="0" collapsed="false">
      <c r="A320" s="75" t="n">
        <v>979800</v>
      </c>
      <c r="B320" s="75" t="s">
        <v>1325</v>
      </c>
      <c r="C320" s="75" t="n">
        <v>2020</v>
      </c>
      <c r="D320" s="76" t="n">
        <v>0</v>
      </c>
      <c r="E320" s="77" t="n">
        <v>4928</v>
      </c>
      <c r="F320" s="75" t="n">
        <v>77</v>
      </c>
      <c r="G320" s="75" t="s">
        <v>1326</v>
      </c>
      <c r="H320" s="75" t="s">
        <v>1327</v>
      </c>
    </row>
    <row r="321" customFormat="false" ht="15" hidden="false" customHeight="true" outlineLevel="0" collapsed="false">
      <c r="A321" s="72" t="n">
        <v>2500460</v>
      </c>
      <c r="B321" s="72" t="s">
        <v>1328</v>
      </c>
      <c r="C321" s="72" t="n">
        <v>2025</v>
      </c>
      <c r="D321" s="73" t="n">
        <v>4.99</v>
      </c>
      <c r="E321" s="74" t="n">
        <v>4926</v>
      </c>
      <c r="F321" s="72" t="n">
        <v>100</v>
      </c>
      <c r="G321" s="72" t="s">
        <v>1329</v>
      </c>
      <c r="H321" s="72" t="s">
        <v>1330</v>
      </c>
    </row>
    <row r="322" customFormat="false" ht="15" hidden="false" customHeight="true" outlineLevel="0" collapsed="false">
      <c r="A322" s="75" t="n">
        <v>3141630</v>
      </c>
      <c r="B322" s="75" t="s">
        <v>1331</v>
      </c>
      <c r="C322" s="75" t="n">
        <v>2026</v>
      </c>
      <c r="D322" s="76" t="n">
        <v>19.99</v>
      </c>
      <c r="E322" s="77" t="n">
        <v>4879</v>
      </c>
      <c r="F322" s="75" t="n">
        <v>95</v>
      </c>
      <c r="G322" s="75" t="s">
        <v>1332</v>
      </c>
      <c r="H322" s="75" t="s">
        <v>1333</v>
      </c>
    </row>
    <row r="323" customFormat="false" ht="15" hidden="false" customHeight="true" outlineLevel="0" collapsed="false">
      <c r="A323" s="72" t="n">
        <v>826740</v>
      </c>
      <c r="B323" s="72" t="s">
        <v>1334</v>
      </c>
      <c r="C323" s="72" t="n">
        <v>2021</v>
      </c>
      <c r="D323" s="73" t="n">
        <v>14.99</v>
      </c>
      <c r="E323" s="74" t="n">
        <v>4810</v>
      </c>
      <c r="F323" s="72" t="n">
        <v>61</v>
      </c>
      <c r="G323" s="72" t="s">
        <v>1335</v>
      </c>
      <c r="H323" s="72" t="s">
        <v>1336</v>
      </c>
    </row>
    <row r="324" customFormat="false" ht="15" hidden="false" customHeight="true" outlineLevel="0" collapsed="false">
      <c r="A324" s="75" t="n">
        <v>2967670</v>
      </c>
      <c r="B324" s="75" t="s">
        <v>1337</v>
      </c>
      <c r="C324" s="75" t="n">
        <v>2026</v>
      </c>
      <c r="D324" s="76" t="n">
        <v>9.99</v>
      </c>
      <c r="E324" s="77" t="n">
        <v>4767</v>
      </c>
      <c r="F324" s="75" t="n">
        <v>90</v>
      </c>
      <c r="G324" s="75" t="s">
        <v>1338</v>
      </c>
      <c r="H324" s="75" t="s">
        <v>1339</v>
      </c>
    </row>
    <row r="325" customFormat="false" ht="15" hidden="false" customHeight="true" outlineLevel="0" collapsed="false">
      <c r="A325" s="72" t="n">
        <v>2449450</v>
      </c>
      <c r="B325" s="72" t="s">
        <v>1340</v>
      </c>
      <c r="C325" s="72" t="n">
        <v>2025</v>
      </c>
      <c r="D325" s="73" t="n">
        <v>14.99</v>
      </c>
      <c r="E325" s="74" t="n">
        <v>4734</v>
      </c>
      <c r="F325" s="72" t="n">
        <v>85</v>
      </c>
      <c r="G325" s="72" t="s">
        <v>1341</v>
      </c>
      <c r="H325" s="72" t="s">
        <v>1342</v>
      </c>
    </row>
    <row r="326" customFormat="false" ht="15" hidden="false" customHeight="true" outlineLevel="0" collapsed="false">
      <c r="A326" s="75" t="n">
        <v>2294160</v>
      </c>
      <c r="B326" s="75" t="s">
        <v>1343</v>
      </c>
      <c r="C326" s="75" t="n">
        <v>2024</v>
      </c>
      <c r="D326" s="76" t="n">
        <v>14.99</v>
      </c>
      <c r="E326" s="77" t="n">
        <v>4703</v>
      </c>
      <c r="F326" s="75" t="n">
        <v>91</v>
      </c>
      <c r="G326" s="75" t="s">
        <v>1344</v>
      </c>
      <c r="H326" s="75" t="s">
        <v>1345</v>
      </c>
    </row>
    <row r="327" customFormat="false" ht="15" hidden="false" customHeight="true" outlineLevel="0" collapsed="false">
      <c r="A327" s="72" t="n">
        <v>3822990</v>
      </c>
      <c r="B327" s="72" t="s">
        <v>1346</v>
      </c>
      <c r="C327" s="72" t="n">
        <v>2025</v>
      </c>
      <c r="D327" s="73" t="n">
        <v>0</v>
      </c>
      <c r="E327" s="74" t="n">
        <v>4681</v>
      </c>
      <c r="F327" s="72" t="n">
        <v>97</v>
      </c>
      <c r="G327" s="72" t="s">
        <v>1347</v>
      </c>
      <c r="H327" s="72" t="s">
        <v>1348</v>
      </c>
    </row>
    <row r="328" customFormat="false" ht="15" hidden="false" customHeight="true" outlineLevel="0" collapsed="false">
      <c r="A328" s="75" t="n">
        <v>2656490</v>
      </c>
      <c r="B328" s="75" t="s">
        <v>1349</v>
      </c>
      <c r="C328" s="75" t="n">
        <v>2026</v>
      </c>
      <c r="D328" s="76" t="n">
        <v>14.99</v>
      </c>
      <c r="E328" s="77" t="n">
        <v>4655</v>
      </c>
      <c r="F328" s="75" t="n">
        <v>89</v>
      </c>
      <c r="G328" s="75" t="s">
        <v>1350</v>
      </c>
      <c r="H328" s="75" t="s">
        <v>1351</v>
      </c>
    </row>
    <row r="329" customFormat="false" ht="15" hidden="false" customHeight="true" outlineLevel="0" collapsed="false">
      <c r="A329" s="72" t="n">
        <v>3183220</v>
      </c>
      <c r="B329" s="72" t="s">
        <v>388</v>
      </c>
      <c r="C329" s="72" t="n">
        <v>2025</v>
      </c>
      <c r="D329" s="73" t="n">
        <v>12.99</v>
      </c>
      <c r="E329" s="74" t="n">
        <v>4647</v>
      </c>
      <c r="F329" s="72" t="n">
        <v>61</v>
      </c>
      <c r="G329" s="72" t="s">
        <v>1352</v>
      </c>
      <c r="H329" s="72" t="s">
        <v>1353</v>
      </c>
    </row>
    <row r="330" customFormat="false" ht="15" hidden="false" customHeight="true" outlineLevel="0" collapsed="false">
      <c r="A330" s="75" t="n">
        <v>2996280</v>
      </c>
      <c r="B330" s="75" t="s">
        <v>1354</v>
      </c>
      <c r="C330" s="75" t="n">
        <v>2024</v>
      </c>
      <c r="D330" s="76" t="n">
        <v>3.99</v>
      </c>
      <c r="E330" s="77" t="n">
        <v>4634</v>
      </c>
      <c r="F330" s="75" t="n">
        <v>95</v>
      </c>
      <c r="G330" s="75" t="s">
        <v>1355</v>
      </c>
      <c r="H330" s="75" t="s">
        <v>1356</v>
      </c>
    </row>
    <row r="331" customFormat="false" ht="15" hidden="false" customHeight="true" outlineLevel="0" collapsed="false">
      <c r="A331" s="72" t="n">
        <v>2286790</v>
      </c>
      <c r="B331" s="72" t="s">
        <v>1357</v>
      </c>
      <c r="C331" s="72" t="n">
        <v>2023</v>
      </c>
      <c r="D331" s="73" t="n">
        <v>19.99</v>
      </c>
      <c r="E331" s="74" t="n">
        <v>4631</v>
      </c>
      <c r="F331" s="72" t="n">
        <v>78</v>
      </c>
      <c r="G331" s="72" t="s">
        <v>1358</v>
      </c>
      <c r="H331" s="72" t="s">
        <v>1359</v>
      </c>
    </row>
    <row r="332" customFormat="false" ht="15" hidden="false" customHeight="true" outlineLevel="0" collapsed="false">
      <c r="A332" s="75" t="n">
        <v>3885520</v>
      </c>
      <c r="B332" s="75" t="s">
        <v>428</v>
      </c>
      <c r="C332" s="75" t="n">
        <v>2025</v>
      </c>
      <c r="D332" s="76" t="n">
        <v>4.99</v>
      </c>
      <c r="E332" s="77" t="n">
        <v>4577</v>
      </c>
      <c r="F332" s="75" t="n">
        <v>91</v>
      </c>
      <c r="G332" s="75" t="s">
        <v>1360</v>
      </c>
      <c r="H332" s="75" t="s">
        <v>1361</v>
      </c>
    </row>
    <row r="333" customFormat="false" ht="15" hidden="false" customHeight="true" outlineLevel="0" collapsed="false">
      <c r="A333" s="72" t="n">
        <v>3025160</v>
      </c>
      <c r="B333" s="72" t="s">
        <v>1362</v>
      </c>
      <c r="C333" s="72" t="n">
        <v>2025</v>
      </c>
      <c r="D333" s="73" t="n">
        <v>14.99</v>
      </c>
      <c r="E333" s="74" t="n">
        <v>4558</v>
      </c>
      <c r="F333" s="72" t="n">
        <v>69</v>
      </c>
      <c r="G333" s="72" t="s">
        <v>829</v>
      </c>
      <c r="H333" s="72" t="s">
        <v>1363</v>
      </c>
    </row>
    <row r="334" customFormat="false" ht="15" hidden="false" customHeight="true" outlineLevel="0" collapsed="false">
      <c r="A334" s="75" t="n">
        <v>4093240</v>
      </c>
      <c r="B334" s="75" t="s">
        <v>1364</v>
      </c>
      <c r="C334" s="75" t="n">
        <v>2026</v>
      </c>
      <c r="D334" s="76" t="n">
        <v>22.99</v>
      </c>
      <c r="E334" s="77" t="n">
        <v>4540</v>
      </c>
      <c r="F334" s="75" t="n">
        <v>82</v>
      </c>
      <c r="G334" s="75" t="s">
        <v>1365</v>
      </c>
      <c r="H334" s="75" t="s">
        <v>1366</v>
      </c>
    </row>
    <row r="335" customFormat="false" ht="15" hidden="false" customHeight="true" outlineLevel="0" collapsed="false">
      <c r="A335" s="72" t="n">
        <v>432380</v>
      </c>
      <c r="B335" s="72" t="s">
        <v>1367</v>
      </c>
      <c r="C335" s="72" t="n">
        <v>2016</v>
      </c>
      <c r="D335" s="73" t="n">
        <v>5.99</v>
      </c>
      <c r="E335" s="74" t="n">
        <v>4475</v>
      </c>
      <c r="F335" s="72" t="n">
        <v>92</v>
      </c>
      <c r="G335" s="72" t="s">
        <v>1368</v>
      </c>
      <c r="H335" s="72" t="s">
        <v>1369</v>
      </c>
    </row>
    <row r="336" customFormat="false" ht="15" hidden="false" customHeight="true" outlineLevel="0" collapsed="false">
      <c r="A336" s="75" t="n">
        <v>2228010</v>
      </c>
      <c r="B336" s="75" t="s">
        <v>1370</v>
      </c>
      <c r="C336" s="75" t="n">
        <v>2024</v>
      </c>
      <c r="D336" s="76" t="n">
        <v>11.99</v>
      </c>
      <c r="E336" s="77" t="n">
        <v>4438</v>
      </c>
      <c r="F336" s="75" t="n">
        <v>83</v>
      </c>
      <c r="G336" s="75" t="s">
        <v>1089</v>
      </c>
      <c r="H336" s="75" t="s">
        <v>1371</v>
      </c>
    </row>
    <row r="337" customFormat="false" ht="15" hidden="false" customHeight="true" outlineLevel="0" collapsed="false">
      <c r="A337" s="72" t="n">
        <v>2605600</v>
      </c>
      <c r="B337" s="72" t="s">
        <v>1372</v>
      </c>
      <c r="C337" s="72" t="n">
        <v>2024</v>
      </c>
      <c r="D337" s="73" t="n">
        <v>6.99</v>
      </c>
      <c r="E337" s="74" t="n">
        <v>4369</v>
      </c>
      <c r="F337" s="72" t="n">
        <v>88</v>
      </c>
      <c r="G337" s="72" t="s">
        <v>1373</v>
      </c>
      <c r="H337" s="72" t="s">
        <v>1374</v>
      </c>
    </row>
    <row r="338" customFormat="false" ht="15" hidden="false" customHeight="true" outlineLevel="0" collapsed="false">
      <c r="A338" s="75" t="n">
        <v>3085620</v>
      </c>
      <c r="B338" s="75" t="s">
        <v>1375</v>
      </c>
      <c r="C338" s="75" t="n">
        <v>2024</v>
      </c>
      <c r="D338" s="76" t="n">
        <v>8.99</v>
      </c>
      <c r="E338" s="77" t="n">
        <v>4232</v>
      </c>
      <c r="F338" s="75" t="n">
        <v>69</v>
      </c>
      <c r="G338" s="75" t="s">
        <v>1376</v>
      </c>
      <c r="H338" s="75" t="s">
        <v>1377</v>
      </c>
    </row>
    <row r="339" customFormat="false" ht="15" hidden="false" customHeight="true" outlineLevel="0" collapsed="false">
      <c r="A339" s="72" t="n">
        <v>1775360</v>
      </c>
      <c r="B339" s="72" t="s">
        <v>1378</v>
      </c>
      <c r="C339" s="72" t="n">
        <v>2024</v>
      </c>
      <c r="D339" s="73" t="n">
        <v>14.99</v>
      </c>
      <c r="E339" s="74" t="n">
        <v>4216</v>
      </c>
      <c r="F339" s="72" t="n">
        <v>50</v>
      </c>
      <c r="G339" s="72" t="s">
        <v>1379</v>
      </c>
      <c r="H339" s="72" t="s">
        <v>1380</v>
      </c>
    </row>
    <row r="340" customFormat="false" ht="15" hidden="false" customHeight="true" outlineLevel="0" collapsed="false">
      <c r="A340" s="75" t="n">
        <v>3843360</v>
      </c>
      <c r="B340" s="75" t="s">
        <v>444</v>
      </c>
      <c r="C340" s="75" t="n">
        <v>2026</v>
      </c>
      <c r="D340" s="76" t="n">
        <v>12.99</v>
      </c>
      <c r="E340" s="77" t="n">
        <v>4206</v>
      </c>
      <c r="F340" s="75" t="n">
        <v>87</v>
      </c>
      <c r="G340" s="75" t="s">
        <v>1381</v>
      </c>
      <c r="H340" s="75" t="s">
        <v>1382</v>
      </c>
    </row>
    <row r="341" customFormat="false" ht="15" hidden="false" customHeight="true" outlineLevel="0" collapsed="false">
      <c r="A341" s="72" t="n">
        <v>3820810</v>
      </c>
      <c r="B341" s="72" t="s">
        <v>1383</v>
      </c>
      <c r="C341" s="72" t="n">
        <v>2025</v>
      </c>
      <c r="D341" s="73" t="n">
        <v>4.99</v>
      </c>
      <c r="E341" s="74" t="n">
        <v>4182</v>
      </c>
      <c r="F341" s="72" t="n">
        <v>89</v>
      </c>
      <c r="G341" s="72" t="s">
        <v>1384</v>
      </c>
      <c r="H341" s="72" t="s">
        <v>1385</v>
      </c>
    </row>
    <row r="342" customFormat="false" ht="15" hidden="false" customHeight="true" outlineLevel="0" collapsed="false">
      <c r="A342" s="75" t="n">
        <v>3828280</v>
      </c>
      <c r="B342" s="75" t="s">
        <v>1386</v>
      </c>
      <c r="C342" s="75" t="n">
        <v>2025</v>
      </c>
      <c r="D342" s="76" t="n">
        <v>0</v>
      </c>
      <c r="E342" s="77" t="n">
        <v>4158</v>
      </c>
      <c r="F342" s="75" t="n">
        <v>94</v>
      </c>
      <c r="G342" s="75" t="s">
        <v>1387</v>
      </c>
      <c r="H342" s="75" t="s">
        <v>1388</v>
      </c>
    </row>
    <row r="343" customFormat="false" ht="15" hidden="false" customHeight="true" outlineLevel="0" collapsed="false">
      <c r="A343" s="72" t="n">
        <v>3937040</v>
      </c>
      <c r="B343" s="72" t="s">
        <v>1389</v>
      </c>
      <c r="C343" s="72" t="n">
        <v>2025</v>
      </c>
      <c r="D343" s="73" t="n">
        <v>3.99</v>
      </c>
      <c r="E343" s="74" t="n">
        <v>4149</v>
      </c>
      <c r="F343" s="72" t="n">
        <v>90</v>
      </c>
      <c r="G343" s="72" t="s">
        <v>1390</v>
      </c>
      <c r="H343" s="72" t="s">
        <v>1391</v>
      </c>
    </row>
    <row r="344" customFormat="false" ht="15" hidden="false" customHeight="true" outlineLevel="0" collapsed="false">
      <c r="A344" s="75" t="n">
        <v>3668640</v>
      </c>
      <c r="B344" s="75" t="s">
        <v>395</v>
      </c>
      <c r="C344" s="75" t="n">
        <v>2026</v>
      </c>
      <c r="D344" s="76" t="n">
        <v>11.99</v>
      </c>
      <c r="E344" s="77" t="n">
        <v>4130</v>
      </c>
      <c r="F344" s="75" t="n">
        <v>71</v>
      </c>
      <c r="G344" s="75" t="s">
        <v>1392</v>
      </c>
      <c r="H344" s="75" t="s">
        <v>1393</v>
      </c>
    </row>
    <row r="345" customFormat="false" ht="15" hidden="false" customHeight="true" outlineLevel="0" collapsed="false">
      <c r="A345" s="72" t="n">
        <v>1571960</v>
      </c>
      <c r="B345" s="72" t="s">
        <v>1394</v>
      </c>
      <c r="C345" s="72" t="n">
        <v>2024</v>
      </c>
      <c r="D345" s="73" t="n">
        <v>19.99</v>
      </c>
      <c r="E345" s="74" t="n">
        <v>4104</v>
      </c>
      <c r="F345" s="72" t="n">
        <v>60</v>
      </c>
      <c r="G345" s="72" t="s">
        <v>1395</v>
      </c>
      <c r="H345" s="72" t="s">
        <v>1396</v>
      </c>
    </row>
    <row r="346" customFormat="false" ht="15" hidden="false" customHeight="true" outlineLevel="0" collapsed="false">
      <c r="A346" s="75" t="n">
        <v>1860600</v>
      </c>
      <c r="B346" s="75" t="s">
        <v>1397</v>
      </c>
      <c r="C346" s="75" t="n">
        <v>2022</v>
      </c>
      <c r="D346" s="76" t="n">
        <v>9.99</v>
      </c>
      <c r="E346" s="77" t="n">
        <v>4083</v>
      </c>
      <c r="F346" s="75" t="n">
        <v>72</v>
      </c>
      <c r="G346" s="75" t="s">
        <v>1398</v>
      </c>
      <c r="H346" s="75" t="s">
        <v>1399</v>
      </c>
    </row>
    <row r="347" customFormat="false" ht="15" hidden="false" customHeight="true" outlineLevel="0" collapsed="false">
      <c r="A347" s="72" t="n">
        <v>3799470</v>
      </c>
      <c r="B347" s="72" t="s">
        <v>1400</v>
      </c>
      <c r="C347" s="72" t="n">
        <v>2026</v>
      </c>
      <c r="D347" s="73" t="n">
        <v>0</v>
      </c>
      <c r="E347" s="74" t="n">
        <v>4055</v>
      </c>
      <c r="F347" s="72" t="n">
        <v>92</v>
      </c>
      <c r="G347" s="72" t="s">
        <v>1110</v>
      </c>
      <c r="H347" s="72" t="s">
        <v>1401</v>
      </c>
    </row>
    <row r="348" customFormat="false" ht="15" hidden="false" customHeight="true" outlineLevel="0" collapsed="false">
      <c r="A348" s="75" t="n">
        <v>3656680</v>
      </c>
      <c r="B348" s="75" t="s">
        <v>419</v>
      </c>
      <c r="C348" s="75" t="n">
        <v>2025</v>
      </c>
      <c r="D348" s="76" t="n">
        <v>5.99</v>
      </c>
      <c r="E348" s="77" t="n">
        <v>4028</v>
      </c>
      <c r="F348" s="75" t="n">
        <v>86</v>
      </c>
      <c r="G348" s="75" t="s">
        <v>1402</v>
      </c>
      <c r="H348" s="75" t="s">
        <v>1403</v>
      </c>
    </row>
    <row r="349" customFormat="false" ht="15" hidden="false" customHeight="true" outlineLevel="0" collapsed="false">
      <c r="A349" s="72" t="n">
        <v>3700250</v>
      </c>
      <c r="B349" s="72" t="s">
        <v>1404</v>
      </c>
      <c r="C349" s="72" t="n">
        <v>2025</v>
      </c>
      <c r="D349" s="73" t="n">
        <v>0</v>
      </c>
      <c r="E349" s="74" t="n">
        <v>4009</v>
      </c>
      <c r="F349" s="72" t="n">
        <v>94</v>
      </c>
      <c r="G349" s="72" t="s">
        <v>1405</v>
      </c>
      <c r="H349" s="72" t="s">
        <v>1406</v>
      </c>
    </row>
    <row r="350" customFormat="false" ht="15" hidden="false" customHeight="true" outlineLevel="0" collapsed="false">
      <c r="A350" s="75" t="n">
        <v>2886470</v>
      </c>
      <c r="B350" s="75" t="s">
        <v>379</v>
      </c>
      <c r="C350" s="75" t="n">
        <v>2024</v>
      </c>
      <c r="D350" s="76" t="n">
        <v>14.99</v>
      </c>
      <c r="E350" s="77" t="n">
        <v>3966</v>
      </c>
      <c r="F350" s="75" t="n">
        <v>68</v>
      </c>
      <c r="G350" s="75" t="s">
        <v>1407</v>
      </c>
      <c r="H350" s="75" t="s">
        <v>1408</v>
      </c>
    </row>
    <row r="351" customFormat="false" ht="15" hidden="false" customHeight="true" outlineLevel="0" collapsed="false">
      <c r="A351" s="72" t="n">
        <v>1069050</v>
      </c>
      <c r="B351" s="72" t="s">
        <v>1409</v>
      </c>
      <c r="C351" s="72" t="n">
        <v>2019</v>
      </c>
      <c r="D351" s="73" t="n">
        <v>7.99</v>
      </c>
      <c r="E351" s="74" t="n">
        <v>3958</v>
      </c>
      <c r="F351" s="72" t="n">
        <v>74</v>
      </c>
      <c r="G351" s="72" t="s">
        <v>1410</v>
      </c>
      <c r="H351" s="72" t="s">
        <v>1411</v>
      </c>
    </row>
    <row r="352" customFormat="false" ht="15" hidden="false" customHeight="true" outlineLevel="0" collapsed="false">
      <c r="A352" s="75" t="n">
        <v>3308960</v>
      </c>
      <c r="B352" s="75" t="s">
        <v>349</v>
      </c>
      <c r="C352" s="75" t="n">
        <v>2026</v>
      </c>
      <c r="D352" s="76" t="n">
        <v>14.99</v>
      </c>
      <c r="E352" s="77" t="n">
        <v>3925</v>
      </c>
      <c r="F352" s="75" t="n">
        <v>76</v>
      </c>
      <c r="G352" s="75" t="s">
        <v>1412</v>
      </c>
      <c r="H352" s="75" t="s">
        <v>1413</v>
      </c>
    </row>
    <row r="353" customFormat="false" ht="15" hidden="false" customHeight="true" outlineLevel="0" collapsed="false">
      <c r="A353" s="72" t="n">
        <v>3823370</v>
      </c>
      <c r="B353" s="72" t="s">
        <v>1414</v>
      </c>
      <c r="C353" s="72" t="n">
        <v>2026</v>
      </c>
      <c r="D353" s="73" t="n">
        <v>14.99</v>
      </c>
      <c r="E353" s="74" t="n">
        <v>3901</v>
      </c>
      <c r="F353" s="72" t="n">
        <v>85</v>
      </c>
      <c r="G353" s="72" t="s">
        <v>1415</v>
      </c>
      <c r="H353" s="72" t="s">
        <v>1416</v>
      </c>
    </row>
    <row r="354" customFormat="false" ht="15" hidden="false" customHeight="true" outlineLevel="0" collapsed="false">
      <c r="A354" s="75" t="n">
        <v>4311010</v>
      </c>
      <c r="B354" s="75" t="s">
        <v>1417</v>
      </c>
      <c r="C354" s="75" t="n">
        <v>2026</v>
      </c>
      <c r="D354" s="76" t="n">
        <v>0</v>
      </c>
      <c r="E354" s="77" t="n">
        <v>3882</v>
      </c>
      <c r="F354" s="75" t="n">
        <v>94</v>
      </c>
      <c r="G354" s="75" t="s">
        <v>1418</v>
      </c>
      <c r="H354" s="75" t="s">
        <v>1419</v>
      </c>
    </row>
    <row r="355" customFormat="false" ht="15" hidden="false" customHeight="true" outlineLevel="0" collapsed="false">
      <c r="A355" s="72" t="n">
        <v>1291220</v>
      </c>
      <c r="B355" s="72" t="s">
        <v>1420</v>
      </c>
      <c r="C355" s="72" t="n">
        <v>2021</v>
      </c>
      <c r="D355" s="73" t="n">
        <v>4.99</v>
      </c>
      <c r="E355" s="74" t="n">
        <v>3803</v>
      </c>
      <c r="F355" s="72" t="n">
        <v>70</v>
      </c>
      <c r="G355" s="72" t="s">
        <v>1421</v>
      </c>
      <c r="H355" s="72" t="s">
        <v>1422</v>
      </c>
    </row>
    <row r="356" customFormat="false" ht="15" hidden="false" customHeight="true" outlineLevel="0" collapsed="false">
      <c r="A356" s="75" t="n">
        <v>1231940</v>
      </c>
      <c r="B356" s="75" t="s">
        <v>317</v>
      </c>
      <c r="C356" s="75" t="n">
        <v>2021</v>
      </c>
      <c r="D356" s="76" t="n">
        <v>19.99</v>
      </c>
      <c r="E356" s="77" t="n">
        <v>3771</v>
      </c>
      <c r="F356" s="75" t="n">
        <v>78</v>
      </c>
      <c r="G356" s="75" t="s">
        <v>1423</v>
      </c>
      <c r="H356" s="75" t="s">
        <v>1424</v>
      </c>
    </row>
    <row r="357" customFormat="false" ht="15" hidden="false" customHeight="true" outlineLevel="0" collapsed="false">
      <c r="A357" s="72" t="n">
        <v>1708950</v>
      </c>
      <c r="B357" s="72" t="s">
        <v>389</v>
      </c>
      <c r="C357" s="72" t="n">
        <v>2025</v>
      </c>
      <c r="D357" s="73" t="n">
        <v>19.99</v>
      </c>
      <c r="E357" s="74" t="n">
        <v>3736</v>
      </c>
      <c r="F357" s="72" t="n">
        <v>87</v>
      </c>
      <c r="G357" s="72" t="s">
        <v>1425</v>
      </c>
      <c r="H357" s="72" t="s">
        <v>1426</v>
      </c>
    </row>
    <row r="358" customFormat="false" ht="15" hidden="false" customHeight="true" outlineLevel="0" collapsed="false">
      <c r="A358" s="75" t="n">
        <v>1070190</v>
      </c>
      <c r="B358" s="75" t="s">
        <v>1427</v>
      </c>
      <c r="C358" s="75" t="n">
        <v>2019</v>
      </c>
      <c r="D358" s="76" t="n">
        <v>9.99</v>
      </c>
      <c r="E358" s="77" t="n">
        <v>3729</v>
      </c>
      <c r="F358" s="75" t="n">
        <v>65</v>
      </c>
      <c r="G358" s="75" t="s">
        <v>930</v>
      </c>
      <c r="H358" s="75" t="s">
        <v>1428</v>
      </c>
    </row>
    <row r="359" customFormat="false" ht="15" hidden="false" customHeight="true" outlineLevel="0" collapsed="false">
      <c r="A359" s="72" t="n">
        <v>1772050</v>
      </c>
      <c r="B359" s="72" t="s">
        <v>453</v>
      </c>
      <c r="C359" s="72" t="n">
        <v>2023</v>
      </c>
      <c r="D359" s="73" t="n">
        <v>14.99</v>
      </c>
      <c r="E359" s="74" t="n">
        <v>3707</v>
      </c>
      <c r="F359" s="72" t="n">
        <v>84</v>
      </c>
      <c r="G359" s="72" t="s">
        <v>1429</v>
      </c>
      <c r="H359" s="72" t="s">
        <v>1430</v>
      </c>
    </row>
    <row r="360" customFormat="false" ht="15" hidden="false" customHeight="true" outlineLevel="0" collapsed="false">
      <c r="A360" s="75" t="n">
        <v>2632890</v>
      </c>
      <c r="B360" s="75" t="s">
        <v>1431</v>
      </c>
      <c r="C360" s="75" t="n">
        <v>2024</v>
      </c>
      <c r="D360" s="76" t="n">
        <v>0</v>
      </c>
      <c r="E360" s="77" t="n">
        <v>3705</v>
      </c>
      <c r="F360" s="75" t="n">
        <v>86</v>
      </c>
      <c r="G360" s="75" t="s">
        <v>1432</v>
      </c>
      <c r="H360" s="75" t="s">
        <v>1433</v>
      </c>
    </row>
    <row r="361" customFormat="false" ht="15" hidden="false" customHeight="true" outlineLevel="0" collapsed="false">
      <c r="A361" s="72" t="n">
        <v>3537690</v>
      </c>
      <c r="B361" s="72" t="s">
        <v>1434</v>
      </c>
      <c r="C361" s="72" t="n">
        <v>2026</v>
      </c>
      <c r="D361" s="73" t="n">
        <v>7.99</v>
      </c>
      <c r="E361" s="74" t="n">
        <v>3696</v>
      </c>
      <c r="F361" s="72" t="n">
        <v>92</v>
      </c>
      <c r="G361" s="72" t="s">
        <v>1435</v>
      </c>
      <c r="H361" s="72" t="s">
        <v>1436</v>
      </c>
    </row>
    <row r="362" customFormat="false" ht="15" hidden="false" customHeight="true" outlineLevel="0" collapsed="false">
      <c r="A362" s="75" t="n">
        <v>3929330</v>
      </c>
      <c r="B362" s="75" t="s">
        <v>1437</v>
      </c>
      <c r="C362" s="75" t="n">
        <v>2026</v>
      </c>
      <c r="D362" s="76" t="n">
        <v>9.99</v>
      </c>
      <c r="E362" s="77" t="n">
        <v>3563</v>
      </c>
      <c r="F362" s="75" t="n">
        <v>79</v>
      </c>
      <c r="G362" s="75" t="s">
        <v>1438</v>
      </c>
      <c r="H362" s="75" t="s">
        <v>1439</v>
      </c>
    </row>
    <row r="363" customFormat="false" ht="15" hidden="false" customHeight="true" outlineLevel="0" collapsed="false">
      <c r="A363" s="72" t="n">
        <v>1732090</v>
      </c>
      <c r="B363" s="72" t="s">
        <v>1440</v>
      </c>
      <c r="C363" s="72" t="n">
        <v>2022</v>
      </c>
      <c r="D363" s="73" t="n">
        <v>7.99</v>
      </c>
      <c r="E363" s="74" t="n">
        <v>3555</v>
      </c>
      <c r="F363" s="72" t="n">
        <v>72</v>
      </c>
      <c r="G363" s="72" t="s">
        <v>1289</v>
      </c>
      <c r="H363" s="72" t="s">
        <v>1441</v>
      </c>
    </row>
    <row r="364" customFormat="false" ht="15" hidden="false" customHeight="true" outlineLevel="0" collapsed="false">
      <c r="A364" s="75" t="n">
        <v>801210</v>
      </c>
      <c r="B364" s="75" t="s">
        <v>1442</v>
      </c>
      <c r="C364" s="75" t="n">
        <v>2019</v>
      </c>
      <c r="D364" s="76" t="n">
        <v>5.99</v>
      </c>
      <c r="E364" s="77" t="n">
        <v>3542</v>
      </c>
      <c r="F364" s="75" t="n">
        <v>63</v>
      </c>
      <c r="G364" s="75" t="s">
        <v>930</v>
      </c>
      <c r="H364" s="75" t="s">
        <v>1443</v>
      </c>
    </row>
    <row r="365" customFormat="false" ht="15" hidden="false" customHeight="true" outlineLevel="0" collapsed="false">
      <c r="A365" s="72" t="n">
        <v>1332090</v>
      </c>
      <c r="B365" s="72" t="s">
        <v>1444</v>
      </c>
      <c r="C365" s="72" t="n">
        <v>2021</v>
      </c>
      <c r="D365" s="73" t="n">
        <v>9.99</v>
      </c>
      <c r="E365" s="74" t="n">
        <v>3542</v>
      </c>
      <c r="F365" s="72" t="n">
        <v>70</v>
      </c>
      <c r="G365" s="72" t="s">
        <v>1445</v>
      </c>
      <c r="H365" s="72" t="s">
        <v>1446</v>
      </c>
    </row>
    <row r="366" customFormat="false" ht="15" hidden="false" customHeight="true" outlineLevel="0" collapsed="false">
      <c r="A366" s="75" t="n">
        <v>2054770</v>
      </c>
      <c r="B366" s="75" t="s">
        <v>1447</v>
      </c>
      <c r="C366" s="75" t="n">
        <v>2024</v>
      </c>
      <c r="D366" s="76" t="n">
        <v>5.99</v>
      </c>
      <c r="E366" s="77" t="n">
        <v>3510</v>
      </c>
      <c r="F366" s="75" t="n">
        <v>80</v>
      </c>
      <c r="G366" s="75" t="s">
        <v>1448</v>
      </c>
      <c r="H366" s="75" t="s">
        <v>1449</v>
      </c>
    </row>
    <row r="367" customFormat="false" ht="15" hidden="false" customHeight="true" outlineLevel="0" collapsed="false">
      <c r="A367" s="72" t="n">
        <v>4204940</v>
      </c>
      <c r="B367" s="72" t="s">
        <v>1450</v>
      </c>
      <c r="C367" s="72" t="n">
        <v>2026</v>
      </c>
      <c r="D367" s="73" t="n">
        <v>29.99</v>
      </c>
      <c r="E367" s="74" t="n">
        <v>3435</v>
      </c>
      <c r="F367" s="72" t="n">
        <v>96</v>
      </c>
      <c r="G367" s="72" t="s">
        <v>1451</v>
      </c>
      <c r="H367" s="72" t="s">
        <v>1452</v>
      </c>
    </row>
    <row r="368" customFormat="false" ht="15" hidden="false" customHeight="true" outlineLevel="0" collapsed="false">
      <c r="A368" s="75" t="n">
        <v>2006990</v>
      </c>
      <c r="B368" s="75" t="s">
        <v>1453</v>
      </c>
      <c r="C368" s="75" t="n">
        <v>2023</v>
      </c>
      <c r="D368" s="76" t="n">
        <v>0</v>
      </c>
      <c r="E368" s="77" t="n">
        <v>3405</v>
      </c>
      <c r="F368" s="75" t="n">
        <v>90</v>
      </c>
      <c r="G368" s="75" t="s">
        <v>993</v>
      </c>
      <c r="H368" s="75" t="s">
        <v>1454</v>
      </c>
    </row>
    <row r="369" customFormat="false" ht="15" hidden="false" customHeight="true" outlineLevel="0" collapsed="false">
      <c r="A369" s="72" t="n">
        <v>2180350</v>
      </c>
      <c r="B369" s="72" t="s">
        <v>1455</v>
      </c>
      <c r="C369" s="72" t="n">
        <v>2023</v>
      </c>
      <c r="D369" s="73" t="n">
        <v>3.99</v>
      </c>
      <c r="E369" s="74" t="n">
        <v>3301</v>
      </c>
      <c r="F369" s="72" t="n">
        <v>84</v>
      </c>
      <c r="G369" s="72" t="s">
        <v>1456</v>
      </c>
      <c r="H369" s="72" t="s">
        <v>1457</v>
      </c>
    </row>
    <row r="370" customFormat="false" ht="15" hidden="false" customHeight="true" outlineLevel="0" collapsed="false">
      <c r="A370" s="75" t="n">
        <v>1844130</v>
      </c>
      <c r="B370" s="75" t="s">
        <v>1458</v>
      </c>
      <c r="C370" s="75" t="n">
        <v>2024</v>
      </c>
      <c r="D370" s="76" t="n">
        <v>16.99</v>
      </c>
      <c r="E370" s="77" t="n">
        <v>3269</v>
      </c>
      <c r="F370" s="75" t="n">
        <v>70</v>
      </c>
      <c r="G370" s="75" t="s">
        <v>1459</v>
      </c>
      <c r="H370" s="75" t="s">
        <v>1460</v>
      </c>
    </row>
    <row r="371" customFormat="false" ht="15" hidden="false" customHeight="true" outlineLevel="0" collapsed="false">
      <c r="A371" s="72" t="n">
        <v>2878030</v>
      </c>
      <c r="B371" s="72" t="s">
        <v>1461</v>
      </c>
      <c r="C371" s="72" t="n">
        <v>2024</v>
      </c>
      <c r="D371" s="73" t="n">
        <v>9.99</v>
      </c>
      <c r="E371" s="74" t="n">
        <v>3245</v>
      </c>
      <c r="F371" s="72" t="n">
        <v>64</v>
      </c>
      <c r="G371" s="72" t="s">
        <v>219</v>
      </c>
      <c r="H371" s="72" t="s">
        <v>1462</v>
      </c>
    </row>
    <row r="372" customFormat="false" ht="15" hidden="false" customHeight="true" outlineLevel="0" collapsed="false">
      <c r="A372" s="75" t="n">
        <v>2340510</v>
      </c>
      <c r="B372" s="75" t="s">
        <v>1463</v>
      </c>
      <c r="C372" s="75" t="n">
        <v>2025</v>
      </c>
      <c r="D372" s="76" t="n">
        <v>11.99</v>
      </c>
      <c r="E372" s="77" t="n">
        <v>3207</v>
      </c>
      <c r="F372" s="75" t="n">
        <v>75</v>
      </c>
      <c r="G372" s="75" t="s">
        <v>1464</v>
      </c>
      <c r="H372" s="75" t="s">
        <v>1465</v>
      </c>
    </row>
    <row r="373" customFormat="false" ht="15" hidden="false" customHeight="true" outlineLevel="0" collapsed="false">
      <c r="A373" s="72" t="n">
        <v>1622400</v>
      </c>
      <c r="B373" s="72" t="s">
        <v>1466</v>
      </c>
      <c r="C373" s="72" t="n">
        <v>2026</v>
      </c>
      <c r="D373" s="73" t="n">
        <v>0</v>
      </c>
      <c r="E373" s="74" t="n">
        <v>3181</v>
      </c>
      <c r="F373" s="72" t="n">
        <v>92</v>
      </c>
      <c r="G373" s="72" t="s">
        <v>1467</v>
      </c>
      <c r="H373" s="72" t="s">
        <v>1468</v>
      </c>
    </row>
    <row r="374" customFormat="false" ht="15" hidden="false" customHeight="true" outlineLevel="0" collapsed="false">
      <c r="A374" s="75" t="n">
        <v>3442280</v>
      </c>
      <c r="B374" s="75" t="s">
        <v>339</v>
      </c>
      <c r="C374" s="75" t="n">
        <v>2025</v>
      </c>
      <c r="D374" s="76" t="n">
        <v>11.99</v>
      </c>
      <c r="E374" s="77" t="n">
        <v>3152</v>
      </c>
      <c r="F374" s="75" t="n">
        <v>92</v>
      </c>
      <c r="G374" s="75" t="s">
        <v>1469</v>
      </c>
      <c r="H374" s="75" t="s">
        <v>1470</v>
      </c>
    </row>
    <row r="375" customFormat="false" ht="15" hidden="false" customHeight="true" outlineLevel="0" collapsed="false">
      <c r="A375" s="72" t="n">
        <v>1419510</v>
      </c>
      <c r="B375" s="72" t="s">
        <v>1471</v>
      </c>
      <c r="C375" s="72" t="n">
        <v>2023</v>
      </c>
      <c r="D375" s="73" t="n">
        <v>0</v>
      </c>
      <c r="E375" s="74" t="n">
        <v>3150</v>
      </c>
      <c r="F375" s="72" t="n">
        <v>80</v>
      </c>
      <c r="G375" s="72" t="s">
        <v>1472</v>
      </c>
      <c r="H375" s="72" t="s">
        <v>1473</v>
      </c>
    </row>
    <row r="376" customFormat="false" ht="15" hidden="false" customHeight="true" outlineLevel="0" collapsed="false">
      <c r="A376" s="75" t="n">
        <v>1924010</v>
      </c>
      <c r="B376" s="75" t="s">
        <v>1474</v>
      </c>
      <c r="C376" s="75" t="n">
        <v>2023</v>
      </c>
      <c r="D376" s="76" t="n">
        <v>4.99</v>
      </c>
      <c r="E376" s="77" t="n">
        <v>3131</v>
      </c>
      <c r="F376" s="75" t="n">
        <v>80</v>
      </c>
      <c r="G376" s="75" t="s">
        <v>1475</v>
      </c>
      <c r="H376" s="75" t="s">
        <v>1476</v>
      </c>
    </row>
    <row r="377" customFormat="false" ht="15" hidden="false" customHeight="true" outlineLevel="0" collapsed="false">
      <c r="A377" s="72" t="n">
        <v>1566090</v>
      </c>
      <c r="B377" s="72" t="s">
        <v>374</v>
      </c>
      <c r="C377" s="72" t="n">
        <v>2021</v>
      </c>
      <c r="D377" s="73" t="n">
        <v>14.99</v>
      </c>
      <c r="E377" s="74" t="n">
        <v>3110</v>
      </c>
      <c r="F377" s="72" t="n">
        <v>77</v>
      </c>
      <c r="G377" s="72" t="s">
        <v>1477</v>
      </c>
      <c r="H377" s="72" t="s">
        <v>1478</v>
      </c>
    </row>
    <row r="378" customFormat="false" ht="15" hidden="false" customHeight="true" outlineLevel="0" collapsed="false">
      <c r="A378" s="75" t="n">
        <v>1274210</v>
      </c>
      <c r="B378" s="75" t="s">
        <v>1479</v>
      </c>
      <c r="C378" s="75" t="n">
        <v>2024</v>
      </c>
      <c r="D378" s="76" t="n">
        <v>14.99</v>
      </c>
      <c r="E378" s="77" t="n">
        <v>3100</v>
      </c>
      <c r="F378" s="75" t="n">
        <v>76</v>
      </c>
      <c r="G378" s="75" t="s">
        <v>1480</v>
      </c>
      <c r="H378" s="75" t="s">
        <v>1481</v>
      </c>
    </row>
    <row r="379" customFormat="false" ht="15" hidden="false" customHeight="true" outlineLevel="0" collapsed="false">
      <c r="A379" s="72" t="n">
        <v>2089500</v>
      </c>
      <c r="B379" s="72" t="s">
        <v>1482</v>
      </c>
      <c r="C379" s="72" t="n">
        <v>2023</v>
      </c>
      <c r="D379" s="73" t="n">
        <v>19.99</v>
      </c>
      <c r="E379" s="74" t="n">
        <v>3087</v>
      </c>
      <c r="F379" s="72" t="n">
        <v>75</v>
      </c>
      <c r="G379" s="72" t="s">
        <v>1483</v>
      </c>
      <c r="H379" s="72" t="s">
        <v>1484</v>
      </c>
    </row>
    <row r="380" customFormat="false" ht="15" hidden="false" customHeight="true" outlineLevel="0" collapsed="false">
      <c r="A380" s="75" t="n">
        <v>3490280</v>
      </c>
      <c r="B380" s="75" t="s">
        <v>1485</v>
      </c>
      <c r="C380" s="75" t="n">
        <v>2025</v>
      </c>
      <c r="D380" s="76" t="n">
        <v>9.99</v>
      </c>
      <c r="E380" s="77" t="n">
        <v>3046</v>
      </c>
      <c r="F380" s="75" t="n">
        <v>87</v>
      </c>
      <c r="G380" s="75" t="s">
        <v>1486</v>
      </c>
      <c r="H380" s="75" t="s">
        <v>1487</v>
      </c>
    </row>
    <row r="381" customFormat="false" ht="15" hidden="false" customHeight="true" outlineLevel="0" collapsed="false">
      <c r="A381" s="72" t="n">
        <v>1384550</v>
      </c>
      <c r="B381" s="72" t="s">
        <v>1488</v>
      </c>
      <c r="C381" s="72" t="n">
        <v>2020</v>
      </c>
      <c r="D381" s="73" t="n">
        <v>0</v>
      </c>
      <c r="E381" s="74" t="n">
        <v>3044</v>
      </c>
      <c r="F381" s="72" t="n">
        <v>90</v>
      </c>
      <c r="G381" s="72" t="s">
        <v>1489</v>
      </c>
      <c r="H381" s="72" t="s">
        <v>1490</v>
      </c>
    </row>
    <row r="382" customFormat="false" ht="15" hidden="false" customHeight="true" outlineLevel="0" collapsed="false">
      <c r="A382" s="75" t="n">
        <v>1727590</v>
      </c>
      <c r="B382" s="75" t="s">
        <v>1491</v>
      </c>
      <c r="C382" s="75" t="n">
        <v>2026</v>
      </c>
      <c r="D382" s="76" t="n">
        <v>19.99</v>
      </c>
      <c r="E382" s="77" t="n">
        <v>3027</v>
      </c>
      <c r="F382" s="75" t="n">
        <v>88</v>
      </c>
      <c r="G382" s="75" t="s">
        <v>1492</v>
      </c>
      <c r="H382" s="75" t="s">
        <v>1493</v>
      </c>
    </row>
    <row r="383" customFormat="false" ht="15" hidden="false" customHeight="true" outlineLevel="0" collapsed="false">
      <c r="A383" s="72" t="n">
        <v>2288880</v>
      </c>
      <c r="B383" s="72" t="s">
        <v>1494</v>
      </c>
      <c r="C383" s="72" t="n">
        <v>2024</v>
      </c>
      <c r="D383" s="73" t="n">
        <v>9.99</v>
      </c>
      <c r="E383" s="74" t="n">
        <v>3007</v>
      </c>
      <c r="F383" s="72" t="n">
        <v>74</v>
      </c>
      <c r="G383" s="72" t="s">
        <v>1495</v>
      </c>
      <c r="H383" s="72" t="s">
        <v>1496</v>
      </c>
    </row>
    <row r="384" customFormat="false" ht="15" hidden="false" customHeight="true" outlineLevel="0" collapsed="false">
      <c r="A384" s="75" t="n">
        <v>3749130</v>
      </c>
      <c r="B384" s="75" t="s">
        <v>1497</v>
      </c>
      <c r="C384" s="75" t="n">
        <v>2026</v>
      </c>
      <c r="D384" s="76" t="n">
        <v>14.99</v>
      </c>
      <c r="E384" s="77" t="n">
        <v>2983</v>
      </c>
      <c r="F384" s="75" t="n">
        <v>93</v>
      </c>
      <c r="G384" s="75" t="s">
        <v>653</v>
      </c>
      <c r="H384" s="75" t="s">
        <v>1498</v>
      </c>
    </row>
    <row r="385" customFormat="false" ht="15" hidden="false" customHeight="true" outlineLevel="0" collapsed="false">
      <c r="A385" s="72" t="n">
        <v>2223420</v>
      </c>
      <c r="B385" s="72" t="s">
        <v>1499</v>
      </c>
      <c r="C385" s="72" t="n">
        <v>2026</v>
      </c>
      <c r="D385" s="73" t="n">
        <v>11.99</v>
      </c>
      <c r="E385" s="74" t="n">
        <v>2963</v>
      </c>
      <c r="F385" s="72" t="n">
        <v>76</v>
      </c>
      <c r="G385" s="72" t="s">
        <v>1500</v>
      </c>
      <c r="H385" s="72" t="s">
        <v>1501</v>
      </c>
    </row>
    <row r="386" customFormat="false" ht="15" hidden="false" customHeight="true" outlineLevel="0" collapsed="false">
      <c r="A386" s="75" t="n">
        <v>2473260</v>
      </c>
      <c r="B386" s="75" t="s">
        <v>328</v>
      </c>
      <c r="C386" s="75" t="n">
        <v>2024</v>
      </c>
      <c r="D386" s="76" t="n">
        <v>9.99</v>
      </c>
      <c r="E386" s="77" t="n">
        <v>2904</v>
      </c>
      <c r="F386" s="75" t="n">
        <v>71</v>
      </c>
      <c r="G386" s="75" t="s">
        <v>1502</v>
      </c>
      <c r="H386" s="75" t="s">
        <v>1503</v>
      </c>
    </row>
    <row r="387" customFormat="false" ht="15" hidden="false" customHeight="true" outlineLevel="0" collapsed="false">
      <c r="A387" s="72" t="n">
        <v>3576520</v>
      </c>
      <c r="B387" s="72" t="s">
        <v>417</v>
      </c>
      <c r="C387" s="72" t="n">
        <v>2026</v>
      </c>
      <c r="D387" s="73" t="n">
        <v>6.99</v>
      </c>
      <c r="E387" s="74" t="n">
        <v>2901</v>
      </c>
      <c r="F387" s="72" t="n">
        <v>76</v>
      </c>
      <c r="G387" s="72" t="s">
        <v>1504</v>
      </c>
      <c r="H387" s="72" t="s">
        <v>1505</v>
      </c>
    </row>
    <row r="388" customFormat="false" ht="15" hidden="false" customHeight="true" outlineLevel="0" collapsed="false">
      <c r="A388" s="75" t="n">
        <v>1591220</v>
      </c>
      <c r="B388" s="75" t="s">
        <v>1506</v>
      </c>
      <c r="C388" s="75" t="n">
        <v>2024</v>
      </c>
      <c r="D388" s="76" t="n">
        <v>14.99</v>
      </c>
      <c r="E388" s="77" t="n">
        <v>2886</v>
      </c>
      <c r="F388" s="75" t="n">
        <v>73</v>
      </c>
      <c r="G388" s="75" t="s">
        <v>1507</v>
      </c>
      <c r="H388" s="75" t="s">
        <v>1508</v>
      </c>
    </row>
    <row r="389" customFormat="false" ht="15" hidden="false" customHeight="true" outlineLevel="0" collapsed="false">
      <c r="A389" s="72" t="n">
        <v>1632330</v>
      </c>
      <c r="B389" s="72" t="s">
        <v>1509</v>
      </c>
      <c r="C389" s="72" t="n">
        <v>2021</v>
      </c>
      <c r="D389" s="73" t="n">
        <v>7.99</v>
      </c>
      <c r="E389" s="74" t="n">
        <v>2877</v>
      </c>
      <c r="F389" s="72" t="n">
        <v>74</v>
      </c>
      <c r="G389" s="72" t="s">
        <v>1510</v>
      </c>
      <c r="H389" s="72" t="s">
        <v>1511</v>
      </c>
    </row>
    <row r="390" customFormat="false" ht="15" hidden="false" customHeight="true" outlineLevel="0" collapsed="false">
      <c r="A390" s="75" t="n">
        <v>1543960</v>
      </c>
      <c r="B390" s="75" t="s">
        <v>1512</v>
      </c>
      <c r="C390" s="75" t="n">
        <v>2025</v>
      </c>
      <c r="D390" s="76" t="n">
        <v>16.99</v>
      </c>
      <c r="E390" s="77" t="n">
        <v>2854</v>
      </c>
      <c r="F390" s="75" t="n">
        <v>94</v>
      </c>
      <c r="G390" s="75" t="s">
        <v>1513</v>
      </c>
      <c r="H390" s="75" t="s">
        <v>1514</v>
      </c>
    </row>
    <row r="391" customFormat="false" ht="15" hidden="false" customHeight="true" outlineLevel="0" collapsed="false">
      <c r="A391" s="72" t="n">
        <v>4437370</v>
      </c>
      <c r="B391" s="72" t="s">
        <v>1515</v>
      </c>
      <c r="C391" s="72" t="n">
        <v>2026</v>
      </c>
      <c r="D391" s="73" t="n">
        <v>12.99</v>
      </c>
      <c r="E391" s="74" t="n">
        <v>2845</v>
      </c>
      <c r="F391" s="72" t="n">
        <v>95</v>
      </c>
      <c r="G391" s="72" t="s">
        <v>1516</v>
      </c>
      <c r="H391" s="72" t="s">
        <v>1517</v>
      </c>
    </row>
    <row r="392" customFormat="false" ht="15" hidden="false" customHeight="true" outlineLevel="0" collapsed="false">
      <c r="A392" s="75" t="n">
        <v>3634010</v>
      </c>
      <c r="B392" s="75" t="s">
        <v>443</v>
      </c>
      <c r="C392" s="75" t="n">
        <v>2026</v>
      </c>
      <c r="D392" s="76" t="n">
        <v>14.99</v>
      </c>
      <c r="E392" s="77" t="n">
        <v>2832</v>
      </c>
      <c r="F392" s="75" t="n">
        <v>91</v>
      </c>
      <c r="G392" s="75" t="s">
        <v>1518</v>
      </c>
      <c r="H392" s="75" t="s">
        <v>1519</v>
      </c>
    </row>
    <row r="393" customFormat="false" ht="15" hidden="false" customHeight="true" outlineLevel="0" collapsed="false">
      <c r="A393" s="72" t="n">
        <v>2952070</v>
      </c>
      <c r="B393" s="72" t="s">
        <v>1520</v>
      </c>
      <c r="C393" s="72" t="n">
        <v>2025</v>
      </c>
      <c r="D393" s="73" t="n">
        <v>0</v>
      </c>
      <c r="E393" s="74" t="n">
        <v>2803</v>
      </c>
      <c r="F393" s="72" t="n">
        <v>92</v>
      </c>
      <c r="G393" s="72" t="s">
        <v>1521</v>
      </c>
      <c r="H393" s="72" t="s">
        <v>1522</v>
      </c>
    </row>
    <row r="394" customFormat="false" ht="15" hidden="false" customHeight="true" outlineLevel="0" collapsed="false">
      <c r="A394" s="75" t="n">
        <v>3649160</v>
      </c>
      <c r="B394" s="75" t="s">
        <v>1523</v>
      </c>
      <c r="C394" s="75" t="n">
        <v>2025</v>
      </c>
      <c r="D394" s="76" t="n">
        <v>0</v>
      </c>
      <c r="E394" s="77" t="n">
        <v>2779</v>
      </c>
      <c r="F394" s="75" t="n">
        <v>91</v>
      </c>
      <c r="G394" s="75" t="s">
        <v>1524</v>
      </c>
      <c r="H394" s="75" t="s">
        <v>1525</v>
      </c>
    </row>
    <row r="395" customFormat="false" ht="15" hidden="false" customHeight="true" outlineLevel="0" collapsed="false">
      <c r="A395" s="72" t="n">
        <v>3531630</v>
      </c>
      <c r="B395" s="72" t="s">
        <v>1526</v>
      </c>
      <c r="C395" s="72" t="n">
        <v>2026</v>
      </c>
      <c r="D395" s="73" t="n">
        <v>7.99</v>
      </c>
      <c r="E395" s="74" t="n">
        <v>2774</v>
      </c>
      <c r="F395" s="72" t="n">
        <v>89</v>
      </c>
      <c r="G395" s="72" t="s">
        <v>1527</v>
      </c>
      <c r="H395" s="72" t="s">
        <v>1528</v>
      </c>
    </row>
    <row r="396" customFormat="false" ht="15" hidden="false" customHeight="true" outlineLevel="0" collapsed="false">
      <c r="A396" s="75" t="n">
        <v>1291540</v>
      </c>
      <c r="B396" s="75" t="s">
        <v>1529</v>
      </c>
      <c r="C396" s="75" t="n">
        <v>2022</v>
      </c>
      <c r="D396" s="76" t="n">
        <v>11.99</v>
      </c>
      <c r="E396" s="77" t="n">
        <v>2753</v>
      </c>
      <c r="F396" s="75" t="n">
        <v>92</v>
      </c>
      <c r="G396" s="75" t="s">
        <v>1530</v>
      </c>
      <c r="H396" s="75" t="s">
        <v>1531</v>
      </c>
    </row>
    <row r="397" customFormat="false" ht="15" hidden="false" customHeight="true" outlineLevel="0" collapsed="false">
      <c r="A397" s="72" t="n">
        <v>2452820</v>
      </c>
      <c r="B397" s="72" t="s">
        <v>399</v>
      </c>
      <c r="C397" s="72" t="n">
        <v>2025</v>
      </c>
      <c r="D397" s="73" t="n">
        <v>19.99</v>
      </c>
      <c r="E397" s="74" t="n">
        <v>2745</v>
      </c>
      <c r="F397" s="72" t="n">
        <v>99</v>
      </c>
      <c r="G397" s="72" t="s">
        <v>1532</v>
      </c>
      <c r="H397" s="72" t="s">
        <v>1533</v>
      </c>
    </row>
    <row r="398" customFormat="false" ht="15" hidden="false" customHeight="true" outlineLevel="0" collapsed="false">
      <c r="A398" s="75" t="n">
        <v>1582900</v>
      </c>
      <c r="B398" s="75" t="s">
        <v>1534</v>
      </c>
      <c r="C398" s="75" t="n">
        <v>2021</v>
      </c>
      <c r="D398" s="76" t="n">
        <v>0</v>
      </c>
      <c r="E398" s="77" t="n">
        <v>2651</v>
      </c>
      <c r="F398" s="75" t="n">
        <v>81</v>
      </c>
      <c r="G398" s="75" t="s">
        <v>1335</v>
      </c>
      <c r="H398" s="75" t="s">
        <v>1535</v>
      </c>
    </row>
    <row r="399" customFormat="false" ht="15" hidden="false" customHeight="true" outlineLevel="0" collapsed="false">
      <c r="A399" s="72" t="n">
        <v>3211750</v>
      </c>
      <c r="B399" s="72" t="s">
        <v>1536</v>
      </c>
      <c r="C399" s="72" t="n">
        <v>2025</v>
      </c>
      <c r="D399" s="73" t="n">
        <v>9.99</v>
      </c>
      <c r="E399" s="74" t="n">
        <v>2643</v>
      </c>
      <c r="F399" s="72" t="n">
        <v>87</v>
      </c>
      <c r="G399" s="72" t="s">
        <v>1537</v>
      </c>
      <c r="H399" s="72" t="s">
        <v>1538</v>
      </c>
    </row>
    <row r="400" customFormat="false" ht="15" hidden="false" customHeight="true" outlineLevel="0" collapsed="false">
      <c r="A400" s="75" t="n">
        <v>1915780</v>
      </c>
      <c r="B400" s="75" t="s">
        <v>348</v>
      </c>
      <c r="C400" s="75" t="n">
        <v>2024</v>
      </c>
      <c r="D400" s="76" t="n">
        <v>12.99</v>
      </c>
      <c r="E400" s="77" t="n">
        <v>2616</v>
      </c>
      <c r="F400" s="75" t="n">
        <v>74</v>
      </c>
      <c r="G400" s="75" t="s">
        <v>1539</v>
      </c>
      <c r="H400" s="75" t="s">
        <v>1540</v>
      </c>
    </row>
    <row r="401" customFormat="false" ht="15" hidden="false" customHeight="true" outlineLevel="0" collapsed="false">
      <c r="A401" s="72" t="n">
        <v>3833300</v>
      </c>
      <c r="B401" s="72" t="s">
        <v>1541</v>
      </c>
      <c r="C401" s="72" t="n">
        <v>2026</v>
      </c>
      <c r="D401" s="73" t="n">
        <v>15.99</v>
      </c>
      <c r="E401" s="74" t="n">
        <v>2589</v>
      </c>
      <c r="F401" s="72" t="n">
        <v>94</v>
      </c>
      <c r="G401" s="72" t="s">
        <v>1542</v>
      </c>
      <c r="H401" s="72" t="s">
        <v>1543</v>
      </c>
    </row>
    <row r="402" customFormat="false" ht="15" hidden="false" customHeight="true" outlineLevel="0" collapsed="false">
      <c r="A402" s="75" t="n">
        <v>3538860</v>
      </c>
      <c r="B402" s="75" t="s">
        <v>1544</v>
      </c>
      <c r="C402" s="75" t="n">
        <v>2026</v>
      </c>
      <c r="D402" s="76" t="n">
        <v>9.99</v>
      </c>
      <c r="E402" s="77" t="n">
        <v>2561</v>
      </c>
      <c r="F402" s="75" t="n">
        <v>91</v>
      </c>
      <c r="G402" s="75" t="s">
        <v>1545</v>
      </c>
      <c r="H402" s="75" t="s">
        <v>1546</v>
      </c>
    </row>
    <row r="403" customFormat="false" ht="15" hidden="false" customHeight="true" outlineLevel="0" collapsed="false">
      <c r="A403" s="72" t="n">
        <v>3264170</v>
      </c>
      <c r="B403" s="72" t="s">
        <v>452</v>
      </c>
      <c r="C403" s="72" t="n">
        <v>2025</v>
      </c>
      <c r="D403" s="73" t="n">
        <v>9.99</v>
      </c>
      <c r="E403" s="74" t="n">
        <v>2535</v>
      </c>
      <c r="F403" s="72" t="n">
        <v>85</v>
      </c>
      <c r="G403" s="72" t="s">
        <v>1547</v>
      </c>
      <c r="H403" s="72" t="s">
        <v>1548</v>
      </c>
    </row>
    <row r="404" customFormat="false" ht="15" hidden="false" customHeight="true" outlineLevel="0" collapsed="false">
      <c r="A404" s="75" t="n">
        <v>3929350</v>
      </c>
      <c r="B404" s="75" t="s">
        <v>1549</v>
      </c>
      <c r="C404" s="75" t="n">
        <v>2026</v>
      </c>
      <c r="D404" s="76" t="n">
        <v>12.99</v>
      </c>
      <c r="E404" s="77" t="n">
        <v>2504</v>
      </c>
      <c r="F404" s="75" t="n">
        <v>96</v>
      </c>
      <c r="G404" s="75" t="s">
        <v>1550</v>
      </c>
      <c r="H404" s="75" t="s">
        <v>1551</v>
      </c>
    </row>
    <row r="405" customFormat="false" ht="15" hidden="false" customHeight="true" outlineLevel="0" collapsed="false">
      <c r="A405" s="72" t="n">
        <v>1431950</v>
      </c>
      <c r="B405" s="72" t="s">
        <v>1552</v>
      </c>
      <c r="C405" s="72" t="n">
        <v>2021</v>
      </c>
      <c r="D405" s="73" t="n">
        <v>12.99</v>
      </c>
      <c r="E405" s="74" t="n">
        <v>2498</v>
      </c>
      <c r="F405" s="72" t="n">
        <v>76</v>
      </c>
      <c r="G405" s="72" t="s">
        <v>1553</v>
      </c>
      <c r="H405" s="72" t="s">
        <v>1554</v>
      </c>
    </row>
    <row r="406" customFormat="false" ht="15" hidden="false" customHeight="true" outlineLevel="0" collapsed="false">
      <c r="A406" s="75" t="n">
        <v>2423290</v>
      </c>
      <c r="B406" s="75" t="s">
        <v>360</v>
      </c>
      <c r="C406" s="75" t="n">
        <v>2026</v>
      </c>
      <c r="D406" s="76" t="n">
        <v>19.99</v>
      </c>
      <c r="E406" s="77" t="n">
        <v>2486</v>
      </c>
      <c r="F406" s="75" t="n">
        <v>90</v>
      </c>
      <c r="G406" s="75" t="s">
        <v>1555</v>
      </c>
      <c r="H406" s="75" t="s">
        <v>1556</v>
      </c>
    </row>
    <row r="407" customFormat="false" ht="15" hidden="false" customHeight="true" outlineLevel="0" collapsed="false">
      <c r="A407" s="72" t="n">
        <v>2281870</v>
      </c>
      <c r="B407" s="72" t="s">
        <v>1557</v>
      </c>
      <c r="C407" s="72" t="n">
        <v>2023</v>
      </c>
      <c r="D407" s="73" t="n">
        <v>19.99</v>
      </c>
      <c r="E407" s="74" t="n">
        <v>2420</v>
      </c>
      <c r="F407" s="72" t="n">
        <v>69</v>
      </c>
      <c r="G407" s="72" t="s">
        <v>1558</v>
      </c>
      <c r="H407" s="72" t="s">
        <v>1559</v>
      </c>
    </row>
    <row r="408" customFormat="false" ht="15" hidden="false" customHeight="true" outlineLevel="0" collapsed="false">
      <c r="A408" s="75" t="n">
        <v>924020</v>
      </c>
      <c r="B408" s="75" t="s">
        <v>1560</v>
      </c>
      <c r="C408" s="75" t="n">
        <v>2018</v>
      </c>
      <c r="D408" s="76" t="n">
        <v>9.99</v>
      </c>
      <c r="E408" s="77" t="n">
        <v>2417</v>
      </c>
      <c r="F408" s="75" t="n">
        <v>28</v>
      </c>
      <c r="G408" s="75" t="s">
        <v>1561</v>
      </c>
      <c r="H408" s="75" t="s">
        <v>1562</v>
      </c>
    </row>
    <row r="409" customFormat="false" ht="15" hidden="false" customHeight="true" outlineLevel="0" collapsed="false">
      <c r="A409" s="72" t="n">
        <v>2105840</v>
      </c>
      <c r="B409" s="72" t="s">
        <v>1563</v>
      </c>
      <c r="C409" s="72" t="n">
        <v>2026</v>
      </c>
      <c r="D409" s="73" t="n">
        <v>5.99</v>
      </c>
      <c r="E409" s="74" t="n">
        <v>2370</v>
      </c>
      <c r="F409" s="72" t="n">
        <v>90</v>
      </c>
      <c r="G409" s="72" t="s">
        <v>1564</v>
      </c>
      <c r="H409" s="72" t="s">
        <v>1565</v>
      </c>
    </row>
    <row r="410" customFormat="false" ht="15" hidden="false" customHeight="true" outlineLevel="0" collapsed="false">
      <c r="A410" s="75" t="n">
        <v>3449630</v>
      </c>
      <c r="B410" s="75" t="s">
        <v>335</v>
      </c>
      <c r="C410" s="75" t="n">
        <v>2026</v>
      </c>
      <c r="D410" s="76" t="n">
        <v>9.99</v>
      </c>
      <c r="E410" s="77" t="n">
        <v>2358</v>
      </c>
      <c r="F410" s="75" t="n">
        <v>93</v>
      </c>
      <c r="G410" s="75" t="s">
        <v>1566</v>
      </c>
      <c r="H410" s="75" t="s">
        <v>1567</v>
      </c>
    </row>
    <row r="411" customFormat="false" ht="15" hidden="false" customHeight="true" outlineLevel="0" collapsed="false">
      <c r="A411" s="72" t="n">
        <v>3165590</v>
      </c>
      <c r="B411" s="72" t="s">
        <v>457</v>
      </c>
      <c r="C411" s="72" t="n">
        <v>2026</v>
      </c>
      <c r="D411" s="73" t="n">
        <v>7.99</v>
      </c>
      <c r="E411" s="74" t="n">
        <v>2303</v>
      </c>
      <c r="F411" s="72" t="n">
        <v>94</v>
      </c>
      <c r="G411" s="72" t="s">
        <v>1568</v>
      </c>
      <c r="H411" s="72" t="s">
        <v>1569</v>
      </c>
    </row>
    <row r="412" customFormat="false" ht="15" hidden="false" customHeight="true" outlineLevel="0" collapsed="false">
      <c r="A412" s="75" t="n">
        <v>2416050</v>
      </c>
      <c r="B412" s="75" t="s">
        <v>1570</v>
      </c>
      <c r="C412" s="75" t="n">
        <v>2024</v>
      </c>
      <c r="D412" s="76" t="n">
        <v>9.99</v>
      </c>
      <c r="E412" s="77" t="n">
        <v>2289</v>
      </c>
      <c r="F412" s="75" t="n">
        <v>97</v>
      </c>
      <c r="G412" s="75" t="s">
        <v>1571</v>
      </c>
      <c r="H412" s="75" t="s">
        <v>1572</v>
      </c>
    </row>
    <row r="413" customFormat="false" ht="15" hidden="false" customHeight="true" outlineLevel="0" collapsed="false">
      <c r="A413" s="72" t="n">
        <v>1937110</v>
      </c>
      <c r="B413" s="72" t="s">
        <v>431</v>
      </c>
      <c r="C413" s="72" t="n">
        <v>2024</v>
      </c>
      <c r="D413" s="73" t="n">
        <v>14.99</v>
      </c>
      <c r="E413" s="74" t="n">
        <v>2258</v>
      </c>
      <c r="F413" s="72" t="n">
        <v>79</v>
      </c>
      <c r="G413" s="72" t="s">
        <v>1573</v>
      </c>
      <c r="H413" s="72" t="s">
        <v>1574</v>
      </c>
    </row>
    <row r="414" customFormat="false" ht="15" hidden="false" customHeight="true" outlineLevel="0" collapsed="false">
      <c r="A414" s="75" t="n">
        <v>3573920</v>
      </c>
      <c r="B414" s="75" t="s">
        <v>1575</v>
      </c>
      <c r="C414" s="75" t="n">
        <v>2025</v>
      </c>
      <c r="D414" s="76" t="n">
        <v>0</v>
      </c>
      <c r="E414" s="77" t="n">
        <v>2249</v>
      </c>
      <c r="F414" s="75" t="n">
        <v>69</v>
      </c>
      <c r="G414" s="75" t="s">
        <v>1153</v>
      </c>
      <c r="H414" s="75" t="s">
        <v>1576</v>
      </c>
    </row>
    <row r="415" customFormat="false" ht="15" hidden="false" customHeight="true" outlineLevel="0" collapsed="false">
      <c r="A415" s="72" t="n">
        <v>4403010</v>
      </c>
      <c r="B415" s="72" t="s">
        <v>1577</v>
      </c>
      <c r="C415" s="72" t="n">
        <v>2026</v>
      </c>
      <c r="D415" s="73" t="n">
        <v>5.99</v>
      </c>
      <c r="E415" s="74" t="n">
        <v>2178</v>
      </c>
      <c r="F415" s="72" t="n">
        <v>86</v>
      </c>
      <c r="G415" s="72" t="s">
        <v>1578</v>
      </c>
      <c r="H415" s="72" t="s">
        <v>1579</v>
      </c>
    </row>
    <row r="416" customFormat="false" ht="15" hidden="false" customHeight="true" outlineLevel="0" collapsed="false">
      <c r="A416" s="75" t="n">
        <v>2118580</v>
      </c>
      <c r="B416" s="75" t="s">
        <v>1580</v>
      </c>
      <c r="C416" s="75" t="n">
        <v>2022</v>
      </c>
      <c r="D416" s="76" t="n">
        <v>2.99</v>
      </c>
      <c r="E416" s="77" t="n">
        <v>2157</v>
      </c>
      <c r="F416" s="75" t="n">
        <v>57</v>
      </c>
      <c r="G416" s="75" t="s">
        <v>1581</v>
      </c>
      <c r="H416" s="75" t="s">
        <v>1582</v>
      </c>
    </row>
    <row r="417" customFormat="false" ht="15" hidden="false" customHeight="true" outlineLevel="0" collapsed="false">
      <c r="A417" s="72" t="n">
        <v>1476400</v>
      </c>
      <c r="B417" s="72" t="s">
        <v>1583</v>
      </c>
      <c r="C417" s="72" t="n">
        <v>2025</v>
      </c>
      <c r="D417" s="73" t="n">
        <v>19.99</v>
      </c>
      <c r="E417" s="74" t="n">
        <v>2122</v>
      </c>
      <c r="F417" s="72" t="n">
        <v>86</v>
      </c>
      <c r="G417" s="72" t="s">
        <v>1584</v>
      </c>
      <c r="H417" s="72" t="s">
        <v>1585</v>
      </c>
    </row>
    <row r="418" customFormat="false" ht="15" hidden="false" customHeight="true" outlineLevel="0" collapsed="false">
      <c r="A418" s="75" t="n">
        <v>2924580</v>
      </c>
      <c r="B418" s="75" t="s">
        <v>423</v>
      </c>
      <c r="C418" s="75" t="n">
        <v>2025</v>
      </c>
      <c r="D418" s="76" t="n">
        <v>19.99</v>
      </c>
      <c r="E418" s="77" t="n">
        <v>2112</v>
      </c>
      <c r="F418" s="75" t="n">
        <v>81</v>
      </c>
      <c r="G418" s="75" t="s">
        <v>1586</v>
      </c>
      <c r="H418" s="75" t="s">
        <v>1587</v>
      </c>
    </row>
    <row r="419" customFormat="false" ht="15" hidden="false" customHeight="true" outlineLevel="0" collapsed="false">
      <c r="A419" s="72" t="n">
        <v>1964330</v>
      </c>
      <c r="B419" s="72" t="s">
        <v>1588</v>
      </c>
      <c r="C419" s="72" t="n">
        <v>2022</v>
      </c>
      <c r="D419" s="73" t="n">
        <v>6.99</v>
      </c>
      <c r="E419" s="74" t="n">
        <v>2097</v>
      </c>
      <c r="F419" s="72" t="n">
        <v>95</v>
      </c>
      <c r="G419" s="72" t="s">
        <v>1589</v>
      </c>
      <c r="H419" s="72" t="s">
        <v>1590</v>
      </c>
    </row>
    <row r="420" customFormat="false" ht="15" hidden="false" customHeight="true" outlineLevel="0" collapsed="false">
      <c r="A420" s="75" t="n">
        <v>2436870</v>
      </c>
      <c r="B420" s="75" t="s">
        <v>1591</v>
      </c>
      <c r="C420" s="75" t="n">
        <v>2026</v>
      </c>
      <c r="D420" s="76" t="n">
        <v>11.99</v>
      </c>
      <c r="E420" s="77" t="n">
        <v>2085</v>
      </c>
      <c r="F420" s="75" t="n">
        <v>81</v>
      </c>
      <c r="G420" s="75" t="s">
        <v>1592</v>
      </c>
      <c r="H420" s="75" t="s">
        <v>1593</v>
      </c>
    </row>
    <row r="421" customFormat="false" ht="15" hidden="false" customHeight="true" outlineLevel="0" collapsed="false">
      <c r="A421" s="72" t="n">
        <v>3419450</v>
      </c>
      <c r="B421" s="72" t="s">
        <v>312</v>
      </c>
      <c r="C421" s="72" t="n">
        <v>2025</v>
      </c>
      <c r="D421" s="73" t="n">
        <v>8.99</v>
      </c>
      <c r="E421" s="74" t="n">
        <v>2064</v>
      </c>
      <c r="F421" s="72" t="n">
        <v>68</v>
      </c>
      <c r="G421" s="72" t="s">
        <v>1594</v>
      </c>
      <c r="H421" s="72" t="s">
        <v>1595</v>
      </c>
    </row>
    <row r="422" customFormat="false" ht="15" hidden="false" customHeight="true" outlineLevel="0" collapsed="false">
      <c r="A422" s="75" t="n">
        <v>1492150</v>
      </c>
      <c r="B422" s="75" t="s">
        <v>404</v>
      </c>
      <c r="C422" s="75" t="n">
        <v>2023</v>
      </c>
      <c r="D422" s="76" t="n">
        <v>4.99</v>
      </c>
      <c r="E422" s="77" t="n">
        <v>2058</v>
      </c>
      <c r="F422" s="75" t="n">
        <v>80</v>
      </c>
      <c r="G422" s="75" t="s">
        <v>1596</v>
      </c>
      <c r="H422" s="75" t="s">
        <v>1597</v>
      </c>
    </row>
    <row r="423" customFormat="false" ht="15" hidden="false" customHeight="true" outlineLevel="0" collapsed="false">
      <c r="A423" s="72" t="n">
        <v>4148600</v>
      </c>
      <c r="B423" s="72" t="s">
        <v>1598</v>
      </c>
      <c r="C423" s="72" t="n">
        <v>2026</v>
      </c>
      <c r="D423" s="73" t="n">
        <v>0</v>
      </c>
      <c r="E423" s="74" t="n">
        <v>1978</v>
      </c>
      <c r="F423" s="72" t="n">
        <v>96</v>
      </c>
      <c r="G423" s="72" t="s">
        <v>1599</v>
      </c>
      <c r="H423" s="72" t="s">
        <v>1600</v>
      </c>
    </row>
    <row r="424" customFormat="false" ht="15" hidden="false" customHeight="true" outlineLevel="0" collapsed="false">
      <c r="A424" s="75" t="n">
        <v>5041740</v>
      </c>
      <c r="B424" s="75" t="s">
        <v>1601</v>
      </c>
      <c r="C424" s="75" t="n">
        <v>2026</v>
      </c>
      <c r="D424" s="76" t="n">
        <v>4.99</v>
      </c>
      <c r="E424" s="77" t="n">
        <v>1926</v>
      </c>
      <c r="F424" s="75" t="n">
        <v>89</v>
      </c>
      <c r="G424" s="75" t="s">
        <v>1602</v>
      </c>
      <c r="H424" s="75" t="s">
        <v>1603</v>
      </c>
    </row>
    <row r="425" customFormat="false" ht="15" hidden="false" customHeight="true" outlineLevel="0" collapsed="false">
      <c r="A425" s="72" t="n">
        <v>4219340</v>
      </c>
      <c r="B425" s="72" t="s">
        <v>1604</v>
      </c>
      <c r="C425" s="72" t="n">
        <v>2025</v>
      </c>
      <c r="D425" s="73" t="n">
        <v>0</v>
      </c>
      <c r="E425" s="74" t="n">
        <v>1902</v>
      </c>
      <c r="F425" s="72" t="n">
        <v>98</v>
      </c>
      <c r="G425" s="72" t="s">
        <v>1605</v>
      </c>
      <c r="H425" s="72" t="s">
        <v>1606</v>
      </c>
    </row>
    <row r="426" customFormat="false" ht="15" hidden="false" customHeight="true" outlineLevel="0" collapsed="false">
      <c r="A426" s="75" t="n">
        <v>3177210</v>
      </c>
      <c r="B426" s="75" t="s">
        <v>1607</v>
      </c>
      <c r="C426" s="75" t="n">
        <v>2025</v>
      </c>
      <c r="D426" s="76" t="n">
        <v>0</v>
      </c>
      <c r="E426" s="77" t="n">
        <v>1898</v>
      </c>
      <c r="F426" s="75" t="n">
        <v>85</v>
      </c>
      <c r="G426" s="75" t="s">
        <v>1608</v>
      </c>
      <c r="H426" s="75" t="s">
        <v>1609</v>
      </c>
    </row>
    <row r="427" customFormat="false" ht="15" hidden="false" customHeight="true" outlineLevel="0" collapsed="false">
      <c r="A427" s="72" t="n">
        <v>1422190</v>
      </c>
      <c r="B427" s="72" t="s">
        <v>1610</v>
      </c>
      <c r="C427" s="72" t="n">
        <v>2021</v>
      </c>
      <c r="D427" s="73" t="n">
        <v>14.99</v>
      </c>
      <c r="E427" s="74" t="n">
        <v>1890</v>
      </c>
      <c r="F427" s="72" t="n">
        <v>88</v>
      </c>
      <c r="G427" s="72" t="s">
        <v>1344</v>
      </c>
      <c r="H427" s="72" t="s">
        <v>1611</v>
      </c>
    </row>
    <row r="428" customFormat="false" ht="15" hidden="false" customHeight="true" outlineLevel="0" collapsed="false">
      <c r="A428" s="75" t="n">
        <v>2686020</v>
      </c>
      <c r="B428" s="75" t="s">
        <v>393</v>
      </c>
      <c r="C428" s="75" t="n">
        <v>2025</v>
      </c>
      <c r="D428" s="76" t="n">
        <v>11.99</v>
      </c>
      <c r="E428" s="77" t="n">
        <v>1829</v>
      </c>
      <c r="F428" s="75" t="n">
        <v>96</v>
      </c>
      <c r="G428" s="75" t="s">
        <v>1612</v>
      </c>
      <c r="H428" s="75" t="s">
        <v>1613</v>
      </c>
    </row>
    <row r="429" customFormat="false" ht="15" hidden="false" customHeight="true" outlineLevel="0" collapsed="false">
      <c r="A429" s="72" t="n">
        <v>3128280</v>
      </c>
      <c r="B429" s="72" t="s">
        <v>1614</v>
      </c>
      <c r="C429" s="72" t="n">
        <v>2025</v>
      </c>
      <c r="D429" s="73" t="n">
        <v>7.99</v>
      </c>
      <c r="E429" s="74" t="n">
        <v>1828</v>
      </c>
      <c r="F429" s="72" t="n">
        <v>81</v>
      </c>
      <c r="G429" s="72" t="s">
        <v>1615</v>
      </c>
      <c r="H429" s="72" t="s">
        <v>1616</v>
      </c>
    </row>
    <row r="430" customFormat="false" ht="15" hidden="false" customHeight="true" outlineLevel="0" collapsed="false">
      <c r="A430" s="75" t="n">
        <v>1842510</v>
      </c>
      <c r="B430" s="75" t="s">
        <v>1617</v>
      </c>
      <c r="C430" s="75" t="n">
        <v>2022</v>
      </c>
      <c r="D430" s="76" t="n">
        <v>2.99</v>
      </c>
      <c r="E430" s="77" t="n">
        <v>1816</v>
      </c>
      <c r="F430" s="75" t="n">
        <v>92</v>
      </c>
      <c r="G430" s="75" t="s">
        <v>1618</v>
      </c>
      <c r="H430" s="75" t="s">
        <v>1619</v>
      </c>
    </row>
    <row r="431" customFormat="false" ht="15" hidden="false" customHeight="true" outlineLevel="0" collapsed="false">
      <c r="A431" s="72" t="n">
        <v>2436970</v>
      </c>
      <c r="B431" s="72" t="s">
        <v>1620</v>
      </c>
      <c r="C431" s="72" t="n">
        <v>2026</v>
      </c>
      <c r="D431" s="73" t="n">
        <v>9.99</v>
      </c>
      <c r="E431" s="74" t="n">
        <v>1784</v>
      </c>
      <c r="F431" s="72" t="n">
        <v>87</v>
      </c>
      <c r="G431" s="72" t="s">
        <v>1621</v>
      </c>
      <c r="H431" s="72" t="s">
        <v>1622</v>
      </c>
    </row>
    <row r="432" customFormat="false" ht="15" hidden="false" customHeight="true" outlineLevel="0" collapsed="false">
      <c r="A432" s="75" t="n">
        <v>2573470</v>
      </c>
      <c r="B432" s="75" t="s">
        <v>1623</v>
      </c>
      <c r="C432" s="75" t="n">
        <v>2024</v>
      </c>
      <c r="D432" s="76" t="n">
        <v>2.99</v>
      </c>
      <c r="E432" s="77" t="n">
        <v>1776</v>
      </c>
      <c r="F432" s="75" t="n">
        <v>74</v>
      </c>
      <c r="G432" s="75" t="s">
        <v>1624</v>
      </c>
      <c r="H432" s="75" t="s">
        <v>1625</v>
      </c>
    </row>
    <row r="433" customFormat="false" ht="15" hidden="false" customHeight="true" outlineLevel="0" collapsed="false">
      <c r="A433" s="72" t="n">
        <v>2539880</v>
      </c>
      <c r="B433" s="72" t="s">
        <v>1626</v>
      </c>
      <c r="C433" s="72" t="n">
        <v>2024</v>
      </c>
      <c r="D433" s="73" t="n">
        <v>39.99</v>
      </c>
      <c r="E433" s="74" t="n">
        <v>1767</v>
      </c>
      <c r="F433" s="72" t="n">
        <v>53</v>
      </c>
      <c r="G433" s="72" t="s">
        <v>1627</v>
      </c>
      <c r="H433" s="72" t="s">
        <v>507</v>
      </c>
    </row>
    <row r="434" customFormat="false" ht="15" hidden="false" customHeight="true" outlineLevel="0" collapsed="false">
      <c r="A434" s="75" t="n">
        <v>2591290</v>
      </c>
      <c r="B434" s="75" t="s">
        <v>378</v>
      </c>
      <c r="C434" s="75" t="n">
        <v>2024</v>
      </c>
      <c r="D434" s="76" t="n">
        <v>8.99</v>
      </c>
      <c r="E434" s="77" t="n">
        <v>1744</v>
      </c>
      <c r="F434" s="75" t="n">
        <v>83</v>
      </c>
      <c r="G434" s="75" t="s">
        <v>1628</v>
      </c>
      <c r="H434" s="75" t="s">
        <v>1629</v>
      </c>
    </row>
    <row r="435" customFormat="false" ht="15" hidden="false" customHeight="true" outlineLevel="0" collapsed="false">
      <c r="A435" s="72" t="n">
        <v>3656560</v>
      </c>
      <c r="B435" s="72" t="s">
        <v>401</v>
      </c>
      <c r="C435" s="72" t="n">
        <v>2026</v>
      </c>
      <c r="D435" s="73" t="n">
        <v>11.99</v>
      </c>
      <c r="E435" s="74" t="n">
        <v>1726</v>
      </c>
      <c r="F435" s="72" t="n">
        <v>90</v>
      </c>
      <c r="G435" s="72" t="s">
        <v>1630</v>
      </c>
      <c r="H435" s="72" t="s">
        <v>1631</v>
      </c>
    </row>
    <row r="436" customFormat="false" ht="15" hidden="false" customHeight="true" outlineLevel="0" collapsed="false">
      <c r="A436" s="75" t="n">
        <v>1725410</v>
      </c>
      <c r="B436" s="75" t="s">
        <v>1632</v>
      </c>
      <c r="C436" s="75" t="n">
        <v>2026</v>
      </c>
      <c r="D436" s="76" t="n">
        <v>14.99</v>
      </c>
      <c r="E436" s="77" t="n">
        <v>1723</v>
      </c>
      <c r="F436" s="75" t="n">
        <v>71</v>
      </c>
      <c r="G436" s="75" t="s">
        <v>1633</v>
      </c>
      <c r="H436" s="75" t="s">
        <v>1634</v>
      </c>
    </row>
    <row r="437" customFormat="false" ht="15" hidden="false" customHeight="true" outlineLevel="0" collapsed="false">
      <c r="A437" s="72" t="n">
        <v>3726730</v>
      </c>
      <c r="B437" s="72" t="s">
        <v>421</v>
      </c>
      <c r="C437" s="72" t="n">
        <v>2026</v>
      </c>
      <c r="D437" s="73" t="n">
        <v>9.99</v>
      </c>
      <c r="E437" s="74" t="n">
        <v>1647</v>
      </c>
      <c r="F437" s="72" t="n">
        <v>99</v>
      </c>
      <c r="G437" s="72" t="s">
        <v>1635</v>
      </c>
      <c r="H437" s="72" t="s">
        <v>1636</v>
      </c>
    </row>
    <row r="438" customFormat="false" ht="15" hidden="false" customHeight="true" outlineLevel="0" collapsed="false">
      <c r="A438" s="75" t="n">
        <v>2437330</v>
      </c>
      <c r="B438" s="75" t="s">
        <v>1637</v>
      </c>
      <c r="C438" s="75" t="n">
        <v>2025</v>
      </c>
      <c r="D438" s="76" t="n">
        <v>19.99</v>
      </c>
      <c r="E438" s="77" t="n">
        <v>1646</v>
      </c>
      <c r="F438" s="75" t="n">
        <v>91</v>
      </c>
      <c r="G438" s="75" t="s">
        <v>1638</v>
      </c>
      <c r="H438" s="75" t="s">
        <v>1639</v>
      </c>
    </row>
    <row r="439" customFormat="false" ht="15" hidden="false" customHeight="true" outlineLevel="0" collapsed="false">
      <c r="A439" s="72" t="n">
        <v>965120</v>
      </c>
      <c r="B439" s="72" t="s">
        <v>1640</v>
      </c>
      <c r="C439" s="72" t="n">
        <v>2019</v>
      </c>
      <c r="D439" s="73" t="n">
        <v>9.99</v>
      </c>
      <c r="E439" s="74" t="n">
        <v>1642</v>
      </c>
      <c r="F439" s="72" t="n">
        <v>89</v>
      </c>
      <c r="G439" s="72" t="s">
        <v>1641</v>
      </c>
      <c r="H439" s="72" t="s">
        <v>1642</v>
      </c>
    </row>
    <row r="440" customFormat="false" ht="15" hidden="false" customHeight="true" outlineLevel="0" collapsed="false">
      <c r="A440" s="75" t="n">
        <v>3134570</v>
      </c>
      <c r="B440" s="75" t="s">
        <v>1643</v>
      </c>
      <c r="C440" s="75" t="n">
        <v>2025</v>
      </c>
      <c r="D440" s="76" t="n">
        <v>14.99</v>
      </c>
      <c r="E440" s="77" t="n">
        <v>1616</v>
      </c>
      <c r="F440" s="75" t="n">
        <v>87</v>
      </c>
      <c r="G440" s="75" t="s">
        <v>1644</v>
      </c>
      <c r="H440" s="75" t="s">
        <v>1645</v>
      </c>
    </row>
    <row r="441" customFormat="false" ht="15" hidden="false" customHeight="true" outlineLevel="0" collapsed="false">
      <c r="A441" s="72" t="n">
        <v>2466240</v>
      </c>
      <c r="B441" s="72" t="s">
        <v>1646</v>
      </c>
      <c r="C441" s="72" t="n">
        <v>2024</v>
      </c>
      <c r="D441" s="73" t="n">
        <v>11.99</v>
      </c>
      <c r="E441" s="74" t="n">
        <v>1599</v>
      </c>
      <c r="F441" s="72" t="n">
        <v>83</v>
      </c>
      <c r="G441" s="72" t="s">
        <v>1647</v>
      </c>
      <c r="H441" s="72" t="s">
        <v>1648</v>
      </c>
    </row>
    <row r="442" customFormat="false" ht="15" hidden="false" customHeight="true" outlineLevel="0" collapsed="false">
      <c r="A442" s="75" t="n">
        <v>1781960</v>
      </c>
      <c r="B442" s="75" t="s">
        <v>1649</v>
      </c>
      <c r="C442" s="75" t="n">
        <v>2023</v>
      </c>
      <c r="D442" s="76" t="n">
        <v>17.99</v>
      </c>
      <c r="E442" s="77" t="n">
        <v>1594</v>
      </c>
      <c r="F442" s="75" t="n">
        <v>73</v>
      </c>
      <c r="G442" s="75" t="s">
        <v>1615</v>
      </c>
      <c r="H442" s="75" t="s">
        <v>1650</v>
      </c>
    </row>
    <row r="443" customFormat="false" ht="15" hidden="false" customHeight="true" outlineLevel="0" collapsed="false">
      <c r="A443" s="72" t="n">
        <v>1678320</v>
      </c>
      <c r="B443" s="72" t="s">
        <v>1651</v>
      </c>
      <c r="C443" s="72" t="n">
        <v>2022</v>
      </c>
      <c r="D443" s="73" t="n">
        <v>14.99</v>
      </c>
      <c r="E443" s="74" t="n">
        <v>1576</v>
      </c>
      <c r="F443" s="72" t="n">
        <v>97</v>
      </c>
      <c r="G443" s="72" t="s">
        <v>1652</v>
      </c>
      <c r="H443" s="72" t="s">
        <v>1653</v>
      </c>
    </row>
    <row r="444" customFormat="false" ht="15" hidden="false" customHeight="true" outlineLevel="0" collapsed="false">
      <c r="A444" s="75" t="n">
        <v>3040270</v>
      </c>
      <c r="B444" s="75" t="s">
        <v>370</v>
      </c>
      <c r="C444" s="75" t="n">
        <v>2024</v>
      </c>
      <c r="D444" s="76" t="n">
        <v>7.99</v>
      </c>
      <c r="E444" s="77" t="n">
        <v>1572</v>
      </c>
      <c r="F444" s="75" t="n">
        <v>89</v>
      </c>
      <c r="G444" s="75" t="s">
        <v>1654</v>
      </c>
      <c r="H444" s="75" t="s">
        <v>1655</v>
      </c>
    </row>
    <row r="445" customFormat="false" ht="15" hidden="false" customHeight="true" outlineLevel="0" collapsed="false">
      <c r="A445" s="72" t="n">
        <v>2007770</v>
      </c>
      <c r="B445" s="72" t="s">
        <v>1656</v>
      </c>
      <c r="C445" s="72" t="n">
        <v>2024</v>
      </c>
      <c r="D445" s="73" t="n">
        <v>14.99</v>
      </c>
      <c r="E445" s="74" t="n">
        <v>1557</v>
      </c>
      <c r="F445" s="72" t="n">
        <v>74</v>
      </c>
      <c r="G445" s="72" t="s">
        <v>1657</v>
      </c>
      <c r="H445" s="72" t="s">
        <v>1658</v>
      </c>
    </row>
    <row r="446" customFormat="false" ht="15" hidden="false" customHeight="true" outlineLevel="0" collapsed="false">
      <c r="A446" s="75" t="n">
        <v>3084370</v>
      </c>
      <c r="B446" s="75" t="s">
        <v>1659</v>
      </c>
      <c r="C446" s="75" t="n">
        <v>2026</v>
      </c>
      <c r="D446" s="76" t="n">
        <v>12.99</v>
      </c>
      <c r="E446" s="77" t="n">
        <v>1555</v>
      </c>
      <c r="F446" s="75" t="n">
        <v>78</v>
      </c>
      <c r="G446" s="75" t="s">
        <v>1660</v>
      </c>
      <c r="H446" s="75" t="s">
        <v>1661</v>
      </c>
    </row>
    <row r="447" customFormat="false" ht="15" hidden="false" customHeight="true" outlineLevel="0" collapsed="false">
      <c r="A447" s="72" t="n">
        <v>2347280</v>
      </c>
      <c r="B447" s="72" t="s">
        <v>1662</v>
      </c>
      <c r="C447" s="72" t="n">
        <v>2024</v>
      </c>
      <c r="D447" s="73" t="n">
        <v>9.99</v>
      </c>
      <c r="E447" s="74" t="n">
        <v>1549</v>
      </c>
      <c r="F447" s="72" t="n">
        <v>80</v>
      </c>
      <c r="G447" s="72" t="s">
        <v>1663</v>
      </c>
      <c r="H447" s="72" t="s">
        <v>1664</v>
      </c>
    </row>
    <row r="448" customFormat="false" ht="15" hidden="false" customHeight="true" outlineLevel="0" collapsed="false">
      <c r="A448" s="75" t="n">
        <v>3698060</v>
      </c>
      <c r="B448" s="75" t="s">
        <v>1665</v>
      </c>
      <c r="C448" s="75" t="n">
        <v>2025</v>
      </c>
      <c r="D448" s="76" t="n">
        <v>0</v>
      </c>
      <c r="E448" s="77" t="n">
        <v>1536</v>
      </c>
      <c r="F448" s="75" t="n">
        <v>73</v>
      </c>
      <c r="G448" s="75" t="s">
        <v>1666</v>
      </c>
      <c r="H448" s="75" t="s">
        <v>1667</v>
      </c>
    </row>
    <row r="449" customFormat="false" ht="15" hidden="false" customHeight="true" outlineLevel="0" collapsed="false">
      <c r="A449" s="72" t="n">
        <v>3159440</v>
      </c>
      <c r="B449" s="72" t="s">
        <v>1668</v>
      </c>
      <c r="C449" s="72" t="n">
        <v>2025</v>
      </c>
      <c r="D449" s="73" t="n">
        <v>14.99</v>
      </c>
      <c r="E449" s="74" t="n">
        <v>1488</v>
      </c>
      <c r="F449" s="72" t="n">
        <v>80</v>
      </c>
      <c r="G449" s="72" t="s">
        <v>1669</v>
      </c>
      <c r="H449" s="72" t="s">
        <v>1670</v>
      </c>
    </row>
    <row r="450" customFormat="false" ht="15" hidden="false" customHeight="true" outlineLevel="0" collapsed="false">
      <c r="A450" s="75" t="n">
        <v>3649690</v>
      </c>
      <c r="B450" s="75" t="s">
        <v>1671</v>
      </c>
      <c r="C450" s="75" t="n">
        <v>2026</v>
      </c>
      <c r="D450" s="76" t="n">
        <v>5.99</v>
      </c>
      <c r="E450" s="77" t="n">
        <v>1473</v>
      </c>
      <c r="F450" s="75" t="n">
        <v>95</v>
      </c>
      <c r="G450" s="75" t="s">
        <v>1672</v>
      </c>
      <c r="H450" s="75" t="s">
        <v>1673</v>
      </c>
    </row>
    <row r="451" customFormat="false" ht="15" hidden="false" customHeight="true" outlineLevel="0" collapsed="false">
      <c r="A451" s="72" t="n">
        <v>2119580</v>
      </c>
      <c r="B451" s="72" t="s">
        <v>1674</v>
      </c>
      <c r="C451" s="72" t="n">
        <v>2024</v>
      </c>
      <c r="D451" s="73" t="n">
        <v>15.99</v>
      </c>
      <c r="E451" s="74" t="n">
        <v>1465</v>
      </c>
      <c r="F451" s="72" t="n">
        <v>63</v>
      </c>
      <c r="G451" s="72" t="s">
        <v>1112</v>
      </c>
      <c r="H451" s="72" t="s">
        <v>1675</v>
      </c>
    </row>
    <row r="452" customFormat="false" ht="15" hidden="false" customHeight="true" outlineLevel="0" collapsed="false">
      <c r="A452" s="75" t="n">
        <v>1880160</v>
      </c>
      <c r="B452" s="75" t="s">
        <v>1676</v>
      </c>
      <c r="C452" s="75" t="n">
        <v>2023</v>
      </c>
      <c r="D452" s="76" t="n">
        <v>4.99</v>
      </c>
      <c r="E452" s="77" t="n">
        <v>1464</v>
      </c>
      <c r="F452" s="75" t="n">
        <v>82</v>
      </c>
      <c r="G452" s="75" t="s">
        <v>1677</v>
      </c>
      <c r="H452" s="75" t="s">
        <v>1678</v>
      </c>
    </row>
    <row r="453" customFormat="false" ht="15" hidden="false" customHeight="true" outlineLevel="0" collapsed="false">
      <c r="A453" s="72" t="n">
        <v>3355940</v>
      </c>
      <c r="B453" s="72" t="s">
        <v>342</v>
      </c>
      <c r="C453" s="72" t="n">
        <v>2026</v>
      </c>
      <c r="D453" s="73" t="n">
        <v>14.99</v>
      </c>
      <c r="E453" s="74" t="n">
        <v>1427</v>
      </c>
      <c r="F453" s="72" t="n">
        <v>71</v>
      </c>
      <c r="G453" s="72" t="s">
        <v>1679</v>
      </c>
      <c r="H453" s="72" t="s">
        <v>1680</v>
      </c>
    </row>
    <row r="454" customFormat="false" ht="15" hidden="false" customHeight="true" outlineLevel="0" collapsed="false">
      <c r="A454" s="75" t="n">
        <v>3440980</v>
      </c>
      <c r="B454" s="75" t="s">
        <v>1681</v>
      </c>
      <c r="C454" s="75" t="n">
        <v>2025</v>
      </c>
      <c r="D454" s="76" t="n">
        <v>0</v>
      </c>
      <c r="E454" s="77" t="n">
        <v>1416</v>
      </c>
      <c r="F454" s="75" t="n">
        <v>80</v>
      </c>
      <c r="G454" s="75" t="s">
        <v>1682</v>
      </c>
      <c r="H454" s="75" t="s">
        <v>1683</v>
      </c>
    </row>
    <row r="455" customFormat="false" ht="15" hidden="false" customHeight="true" outlineLevel="0" collapsed="false">
      <c r="A455" s="72" t="n">
        <v>3298430</v>
      </c>
      <c r="B455" s="72" t="s">
        <v>412</v>
      </c>
      <c r="C455" s="72" t="n">
        <v>2026</v>
      </c>
      <c r="D455" s="73" t="n">
        <v>14.99</v>
      </c>
      <c r="E455" s="74" t="n">
        <v>1406</v>
      </c>
      <c r="F455" s="72" t="n">
        <v>80</v>
      </c>
      <c r="G455" s="72" t="s">
        <v>1684</v>
      </c>
      <c r="H455" s="72" t="s">
        <v>1685</v>
      </c>
    </row>
    <row r="456" customFormat="false" ht="15" hidden="false" customHeight="true" outlineLevel="0" collapsed="false">
      <c r="A456" s="75" t="n">
        <v>4024660</v>
      </c>
      <c r="B456" s="75" t="s">
        <v>1686</v>
      </c>
      <c r="C456" s="75" t="n">
        <v>2026</v>
      </c>
      <c r="D456" s="76" t="n">
        <v>17.99</v>
      </c>
      <c r="E456" s="77" t="n">
        <v>1400</v>
      </c>
      <c r="F456" s="75" t="n">
        <v>94</v>
      </c>
      <c r="G456" s="75" t="s">
        <v>1687</v>
      </c>
      <c r="H456" s="75" t="s">
        <v>1688</v>
      </c>
    </row>
    <row r="457" customFormat="false" ht="15" hidden="false" customHeight="true" outlineLevel="0" collapsed="false">
      <c r="A457" s="72" t="n">
        <v>2451820</v>
      </c>
      <c r="B457" s="72" t="s">
        <v>371</v>
      </c>
      <c r="C457" s="72" t="n">
        <v>2024</v>
      </c>
      <c r="D457" s="73" t="n">
        <v>13.99</v>
      </c>
      <c r="E457" s="74" t="n">
        <v>1379</v>
      </c>
      <c r="F457" s="72" t="n">
        <v>78</v>
      </c>
      <c r="G457" s="72" t="s">
        <v>653</v>
      </c>
      <c r="H457" s="72" t="s">
        <v>1689</v>
      </c>
    </row>
    <row r="458" customFormat="false" ht="15" hidden="false" customHeight="true" outlineLevel="0" collapsed="false">
      <c r="A458" s="75" t="n">
        <v>2959310</v>
      </c>
      <c r="B458" s="75" t="s">
        <v>1690</v>
      </c>
      <c r="C458" s="75" t="n">
        <v>2024</v>
      </c>
      <c r="D458" s="76" t="n">
        <v>7.99</v>
      </c>
      <c r="E458" s="77" t="n">
        <v>1379</v>
      </c>
      <c r="F458" s="75" t="n">
        <v>67</v>
      </c>
      <c r="G458" s="75" t="s">
        <v>1691</v>
      </c>
      <c r="H458" s="75" t="s">
        <v>1692</v>
      </c>
    </row>
    <row r="459" customFormat="false" ht="15" hidden="false" customHeight="true" outlineLevel="0" collapsed="false">
      <c r="A459" s="72" t="n">
        <v>2067070</v>
      </c>
      <c r="B459" s="72" t="s">
        <v>1693</v>
      </c>
      <c r="C459" s="72" t="n">
        <v>2026</v>
      </c>
      <c r="D459" s="73" t="n">
        <v>14.99</v>
      </c>
      <c r="E459" s="74" t="n">
        <v>1373</v>
      </c>
      <c r="F459" s="72" t="n">
        <v>63</v>
      </c>
      <c r="G459" s="72" t="s">
        <v>1694</v>
      </c>
      <c r="H459" s="72" t="s">
        <v>1695</v>
      </c>
    </row>
    <row r="460" customFormat="false" ht="15" hidden="false" customHeight="true" outlineLevel="0" collapsed="false">
      <c r="A460" s="75" t="n">
        <v>2386800</v>
      </c>
      <c r="B460" s="75" t="s">
        <v>1696</v>
      </c>
      <c r="C460" s="75" t="n">
        <v>2024</v>
      </c>
      <c r="D460" s="76" t="n">
        <v>5.99</v>
      </c>
      <c r="E460" s="77" t="n">
        <v>1348</v>
      </c>
      <c r="F460" s="75" t="n">
        <v>77</v>
      </c>
      <c r="G460" s="75" t="s">
        <v>1697</v>
      </c>
      <c r="H460" s="75" t="s">
        <v>1698</v>
      </c>
    </row>
    <row r="461" customFormat="false" ht="15" hidden="false" customHeight="true" outlineLevel="0" collapsed="false">
      <c r="A461" s="72" t="n">
        <v>3308190</v>
      </c>
      <c r="B461" s="72" t="s">
        <v>1699</v>
      </c>
      <c r="C461" s="72" t="n">
        <v>2025</v>
      </c>
      <c r="D461" s="73" t="n">
        <v>9.99</v>
      </c>
      <c r="E461" s="74" t="n">
        <v>1337</v>
      </c>
      <c r="F461" s="72" t="n">
        <v>82</v>
      </c>
      <c r="G461" s="72" t="s">
        <v>1700</v>
      </c>
      <c r="H461" s="72" t="s">
        <v>1701</v>
      </c>
    </row>
    <row r="462" customFormat="false" ht="15" hidden="false" customHeight="true" outlineLevel="0" collapsed="false">
      <c r="A462" s="75" t="n">
        <v>996370</v>
      </c>
      <c r="B462" s="75" t="s">
        <v>354</v>
      </c>
      <c r="C462" s="75" t="n">
        <v>2021</v>
      </c>
      <c r="D462" s="76" t="n">
        <v>9.99</v>
      </c>
      <c r="E462" s="77" t="n">
        <v>1332</v>
      </c>
      <c r="F462" s="75" t="n">
        <v>83</v>
      </c>
      <c r="G462" s="75" t="s">
        <v>1502</v>
      </c>
      <c r="H462" s="75" t="s">
        <v>1702</v>
      </c>
    </row>
    <row r="463" customFormat="false" ht="15" hidden="false" customHeight="true" outlineLevel="0" collapsed="false">
      <c r="A463" s="72" t="n">
        <v>1642010</v>
      </c>
      <c r="B463" s="72" t="s">
        <v>1703</v>
      </c>
      <c r="C463" s="72" t="n">
        <v>2022</v>
      </c>
      <c r="D463" s="73" t="n">
        <v>9.99</v>
      </c>
      <c r="E463" s="74" t="n">
        <v>1308</v>
      </c>
      <c r="F463" s="72" t="n">
        <v>94</v>
      </c>
      <c r="G463" s="72" t="s">
        <v>1704</v>
      </c>
      <c r="H463" s="72" t="s">
        <v>1705</v>
      </c>
    </row>
    <row r="464" customFormat="false" ht="15" hidden="false" customHeight="true" outlineLevel="0" collapsed="false">
      <c r="A464" s="75" t="n">
        <v>4296270</v>
      </c>
      <c r="B464" s="75" t="s">
        <v>1706</v>
      </c>
      <c r="C464" s="75" t="n">
        <v>2026</v>
      </c>
      <c r="D464" s="76" t="n">
        <v>9.99</v>
      </c>
      <c r="E464" s="77" t="n">
        <v>1303</v>
      </c>
      <c r="F464" s="75" t="n">
        <v>85</v>
      </c>
      <c r="G464" s="75" t="s">
        <v>822</v>
      </c>
      <c r="H464" s="75" t="s">
        <v>1707</v>
      </c>
    </row>
    <row r="465" customFormat="false" ht="15" hidden="false" customHeight="true" outlineLevel="0" collapsed="false">
      <c r="A465" s="72" t="n">
        <v>4838660</v>
      </c>
      <c r="B465" s="72" t="s">
        <v>1708</v>
      </c>
      <c r="C465" s="72" t="n">
        <v>2026</v>
      </c>
      <c r="D465" s="73" t="n">
        <v>1</v>
      </c>
      <c r="E465" s="74" t="n">
        <v>1300</v>
      </c>
      <c r="F465" s="72" t="n">
        <v>93</v>
      </c>
      <c r="G465" s="72" t="s">
        <v>1019</v>
      </c>
      <c r="H465" s="72" t="s">
        <v>1709</v>
      </c>
    </row>
    <row r="466" customFormat="false" ht="15" hidden="false" customHeight="true" outlineLevel="0" collapsed="false">
      <c r="A466" s="75" t="n">
        <v>3508510</v>
      </c>
      <c r="B466" s="75" t="s">
        <v>377</v>
      </c>
      <c r="C466" s="75" t="n">
        <v>2026</v>
      </c>
      <c r="D466" s="76" t="n">
        <v>19.99</v>
      </c>
      <c r="E466" s="77" t="n">
        <v>1280</v>
      </c>
      <c r="F466" s="75" t="n">
        <v>79</v>
      </c>
      <c r="G466" s="75" t="s">
        <v>1710</v>
      </c>
      <c r="H466" s="75" t="s">
        <v>1711</v>
      </c>
    </row>
    <row r="467" customFormat="false" ht="15" hidden="false" customHeight="true" outlineLevel="0" collapsed="false">
      <c r="A467" s="72" t="n">
        <v>3002740</v>
      </c>
      <c r="B467" s="72" t="s">
        <v>1712</v>
      </c>
      <c r="C467" s="72" t="n">
        <v>2026</v>
      </c>
      <c r="D467" s="73" t="n">
        <v>9.99</v>
      </c>
      <c r="E467" s="74" t="n">
        <v>1280</v>
      </c>
      <c r="F467" s="72" t="n">
        <v>80</v>
      </c>
      <c r="G467" s="72" t="s">
        <v>1713</v>
      </c>
      <c r="H467" s="72" t="s">
        <v>1714</v>
      </c>
    </row>
    <row r="468" customFormat="false" ht="15" hidden="false" customHeight="true" outlineLevel="0" collapsed="false">
      <c r="A468" s="75" t="n">
        <v>3301530</v>
      </c>
      <c r="B468" s="75" t="s">
        <v>1715</v>
      </c>
      <c r="C468" s="75" t="n">
        <v>2025</v>
      </c>
      <c r="D468" s="76" t="n">
        <v>6.99</v>
      </c>
      <c r="E468" s="77" t="n">
        <v>1267</v>
      </c>
      <c r="F468" s="75" t="n">
        <v>84</v>
      </c>
      <c r="G468" s="75" t="s">
        <v>1716</v>
      </c>
      <c r="H468" s="75" t="s">
        <v>1717</v>
      </c>
    </row>
    <row r="469" customFormat="false" ht="15" hidden="false" customHeight="true" outlineLevel="0" collapsed="false">
      <c r="A469" s="72" t="n">
        <v>2522270</v>
      </c>
      <c r="B469" s="72" t="s">
        <v>331</v>
      </c>
      <c r="C469" s="72" t="n">
        <v>2024</v>
      </c>
      <c r="D469" s="73" t="n">
        <v>9.99</v>
      </c>
      <c r="E469" s="74" t="n">
        <v>1257</v>
      </c>
      <c r="F469" s="72" t="n">
        <v>91</v>
      </c>
      <c r="G469" s="72" t="s">
        <v>1718</v>
      </c>
      <c r="H469" s="72" t="s">
        <v>1719</v>
      </c>
    </row>
    <row r="470" customFormat="false" ht="15" hidden="false" customHeight="true" outlineLevel="0" collapsed="false">
      <c r="A470" s="75" t="n">
        <v>1793900</v>
      </c>
      <c r="B470" s="75" t="s">
        <v>1720</v>
      </c>
      <c r="C470" s="75" t="n">
        <v>2021</v>
      </c>
      <c r="D470" s="76" t="n">
        <v>4.99</v>
      </c>
      <c r="E470" s="77" t="n">
        <v>1247</v>
      </c>
      <c r="F470" s="75" t="n">
        <v>69</v>
      </c>
      <c r="G470" s="75" t="s">
        <v>1721</v>
      </c>
      <c r="H470" s="75" t="s">
        <v>1722</v>
      </c>
    </row>
    <row r="471" customFormat="false" ht="15" hidden="false" customHeight="true" outlineLevel="0" collapsed="false">
      <c r="A471" s="72" t="n">
        <v>3084740</v>
      </c>
      <c r="B471" s="72" t="s">
        <v>1723</v>
      </c>
      <c r="C471" s="72" t="n">
        <v>2025</v>
      </c>
      <c r="D471" s="73" t="n">
        <v>14.99</v>
      </c>
      <c r="E471" s="74" t="n">
        <v>1233</v>
      </c>
      <c r="F471" s="72" t="n">
        <v>99</v>
      </c>
      <c r="G471" s="72" t="s">
        <v>1724</v>
      </c>
      <c r="H471" s="72" t="s">
        <v>1725</v>
      </c>
    </row>
    <row r="472" customFormat="false" ht="15" hidden="false" customHeight="true" outlineLevel="0" collapsed="false">
      <c r="A472" s="75" t="n">
        <v>1134610</v>
      </c>
      <c r="B472" s="75" t="s">
        <v>1726</v>
      </c>
      <c r="C472" s="75" t="n">
        <v>2023</v>
      </c>
      <c r="D472" s="76" t="n">
        <v>4.99</v>
      </c>
      <c r="E472" s="77" t="n">
        <v>1230</v>
      </c>
      <c r="F472" s="75" t="n">
        <v>81</v>
      </c>
      <c r="G472" s="75" t="s">
        <v>1727</v>
      </c>
      <c r="H472" s="75" t="s">
        <v>1728</v>
      </c>
    </row>
    <row r="473" customFormat="false" ht="15" hidden="false" customHeight="true" outlineLevel="0" collapsed="false">
      <c r="A473" s="72" t="n">
        <v>1412960</v>
      </c>
      <c r="B473" s="72" t="s">
        <v>1729</v>
      </c>
      <c r="C473" s="72" t="n">
        <v>2023</v>
      </c>
      <c r="D473" s="73" t="n">
        <v>19.99</v>
      </c>
      <c r="E473" s="74" t="n">
        <v>1229</v>
      </c>
      <c r="F473" s="72" t="n">
        <v>96</v>
      </c>
      <c r="G473" s="72" t="s">
        <v>1730</v>
      </c>
      <c r="H473" s="72" t="s">
        <v>1731</v>
      </c>
    </row>
    <row r="474" customFormat="false" ht="15" hidden="false" customHeight="true" outlineLevel="0" collapsed="false">
      <c r="A474" s="75" t="n">
        <v>2383190</v>
      </c>
      <c r="B474" s="75" t="s">
        <v>1732</v>
      </c>
      <c r="C474" s="75" t="n">
        <v>2023</v>
      </c>
      <c r="D474" s="76" t="n">
        <v>0</v>
      </c>
      <c r="E474" s="77" t="n">
        <v>1221</v>
      </c>
      <c r="F474" s="75" t="n">
        <v>86</v>
      </c>
      <c r="G474" s="75" t="s">
        <v>1733</v>
      </c>
      <c r="H474" s="75" t="s">
        <v>1734</v>
      </c>
    </row>
    <row r="475" customFormat="false" ht="15" hidden="false" customHeight="true" outlineLevel="0" collapsed="false">
      <c r="A475" s="72" t="n">
        <v>2398430</v>
      </c>
      <c r="B475" s="72" t="s">
        <v>1735</v>
      </c>
      <c r="C475" s="72" t="n">
        <v>2024</v>
      </c>
      <c r="D475" s="73" t="n">
        <v>9.99</v>
      </c>
      <c r="E475" s="74" t="n">
        <v>1205</v>
      </c>
      <c r="F475" s="72" t="n">
        <v>79</v>
      </c>
      <c r="G475" s="72" t="s">
        <v>1736</v>
      </c>
      <c r="H475" s="72" t="s">
        <v>1737</v>
      </c>
    </row>
    <row r="476" customFormat="false" ht="15" hidden="false" customHeight="true" outlineLevel="0" collapsed="false">
      <c r="A476" s="75" t="n">
        <v>2711190</v>
      </c>
      <c r="B476" s="75" t="s">
        <v>325</v>
      </c>
      <c r="C476" s="75" t="n">
        <v>2025</v>
      </c>
      <c r="D476" s="76" t="n">
        <v>19.99</v>
      </c>
      <c r="E476" s="77" t="n">
        <v>1201</v>
      </c>
      <c r="F476" s="75" t="n">
        <v>96</v>
      </c>
      <c r="G476" s="75" t="s">
        <v>1738</v>
      </c>
      <c r="H476" s="75" t="s">
        <v>1739</v>
      </c>
    </row>
    <row r="477" customFormat="false" ht="15" hidden="false" customHeight="true" outlineLevel="0" collapsed="false">
      <c r="A477" s="72" t="n">
        <v>2341560</v>
      </c>
      <c r="B477" s="72" t="s">
        <v>1740</v>
      </c>
      <c r="C477" s="72" t="n">
        <v>2025</v>
      </c>
      <c r="D477" s="73" t="n">
        <v>14.99</v>
      </c>
      <c r="E477" s="74" t="n">
        <v>1185</v>
      </c>
      <c r="F477" s="72" t="n">
        <v>76</v>
      </c>
      <c r="G477" s="72" t="s">
        <v>1741</v>
      </c>
      <c r="H477" s="72" t="s">
        <v>1742</v>
      </c>
    </row>
    <row r="478" customFormat="false" ht="15" hidden="false" customHeight="true" outlineLevel="0" collapsed="false">
      <c r="A478" s="75" t="n">
        <v>3062650</v>
      </c>
      <c r="B478" s="75" t="s">
        <v>353</v>
      </c>
      <c r="C478" s="75" t="n">
        <v>2026</v>
      </c>
      <c r="D478" s="76" t="n">
        <v>4.99</v>
      </c>
      <c r="E478" s="77" t="n">
        <v>1163</v>
      </c>
      <c r="F478" s="75" t="n">
        <v>92</v>
      </c>
      <c r="G478" s="75" t="s">
        <v>1743</v>
      </c>
      <c r="H478" s="75" t="s">
        <v>1744</v>
      </c>
    </row>
    <row r="479" customFormat="false" ht="15" hidden="false" customHeight="true" outlineLevel="0" collapsed="false">
      <c r="A479" s="72" t="n">
        <v>3947390</v>
      </c>
      <c r="B479" s="72" t="s">
        <v>1745</v>
      </c>
      <c r="C479" s="72" t="n">
        <v>2026</v>
      </c>
      <c r="D479" s="73" t="n">
        <v>9.99</v>
      </c>
      <c r="E479" s="74" t="n">
        <v>1142</v>
      </c>
      <c r="F479" s="72" t="n">
        <v>93</v>
      </c>
      <c r="G479" s="72" t="s">
        <v>1746</v>
      </c>
      <c r="H479" s="72" t="s">
        <v>1747</v>
      </c>
    </row>
    <row r="480" customFormat="false" ht="15" hidden="false" customHeight="true" outlineLevel="0" collapsed="false">
      <c r="A480" s="75" t="n">
        <v>3316960</v>
      </c>
      <c r="B480" s="75" t="s">
        <v>1748</v>
      </c>
      <c r="C480" s="75" t="n">
        <v>2026</v>
      </c>
      <c r="D480" s="76" t="n">
        <v>9.99</v>
      </c>
      <c r="E480" s="77" t="n">
        <v>1138</v>
      </c>
      <c r="F480" s="75" t="n">
        <v>71</v>
      </c>
      <c r="G480" s="75" t="s">
        <v>1749</v>
      </c>
      <c r="H480" s="75" t="s">
        <v>1750</v>
      </c>
    </row>
    <row r="481" customFormat="false" ht="15" hidden="false" customHeight="true" outlineLevel="0" collapsed="false">
      <c r="A481" s="72" t="n">
        <v>2474750</v>
      </c>
      <c r="B481" s="72" t="s">
        <v>1751</v>
      </c>
      <c r="C481" s="72" t="n">
        <v>2025</v>
      </c>
      <c r="D481" s="73" t="n">
        <v>4.99</v>
      </c>
      <c r="E481" s="74" t="n">
        <v>1138</v>
      </c>
      <c r="F481" s="72" t="n">
        <v>88</v>
      </c>
      <c r="G481" s="72" t="s">
        <v>1752</v>
      </c>
      <c r="H481" s="72" t="s">
        <v>1753</v>
      </c>
    </row>
    <row r="482" customFormat="false" ht="15" hidden="false" customHeight="true" outlineLevel="0" collapsed="false">
      <c r="A482" s="75" t="n">
        <v>3180680</v>
      </c>
      <c r="B482" s="75" t="s">
        <v>1754</v>
      </c>
      <c r="C482" s="75" t="n">
        <v>2025</v>
      </c>
      <c r="D482" s="76" t="n">
        <v>14.99</v>
      </c>
      <c r="E482" s="77" t="n">
        <v>1122</v>
      </c>
      <c r="F482" s="75" t="n">
        <v>97</v>
      </c>
      <c r="G482" s="75" t="s">
        <v>1755</v>
      </c>
      <c r="H482" s="75" t="s">
        <v>1756</v>
      </c>
    </row>
    <row r="483" customFormat="false" ht="15" hidden="false" customHeight="true" outlineLevel="0" collapsed="false">
      <c r="A483" s="72" t="n">
        <v>2600970</v>
      </c>
      <c r="B483" s="72" t="s">
        <v>345</v>
      </c>
      <c r="C483" s="72" t="n">
        <v>2026</v>
      </c>
      <c r="D483" s="73" t="n">
        <v>9.99</v>
      </c>
      <c r="E483" s="74" t="n">
        <v>1104</v>
      </c>
      <c r="F483" s="72" t="n">
        <v>92</v>
      </c>
      <c r="G483" s="72" t="s">
        <v>1757</v>
      </c>
      <c r="H483" s="72" t="s">
        <v>1758</v>
      </c>
    </row>
    <row r="484" customFormat="false" ht="15" hidden="false" customHeight="true" outlineLevel="0" collapsed="false">
      <c r="A484" s="75" t="n">
        <v>3579890</v>
      </c>
      <c r="B484" s="75" t="s">
        <v>1759</v>
      </c>
      <c r="C484" s="75" t="n">
        <v>2026</v>
      </c>
      <c r="D484" s="76" t="n">
        <v>7.99</v>
      </c>
      <c r="E484" s="77" t="n">
        <v>1097</v>
      </c>
      <c r="F484" s="75" t="n">
        <v>65</v>
      </c>
      <c r="G484" s="75" t="s">
        <v>1760</v>
      </c>
      <c r="H484" s="75" t="s">
        <v>1761</v>
      </c>
    </row>
    <row r="485" customFormat="false" ht="15" hidden="false" customHeight="true" outlineLevel="0" collapsed="false">
      <c r="A485" s="72" t="n">
        <v>2691360</v>
      </c>
      <c r="B485" s="72" t="s">
        <v>1762</v>
      </c>
      <c r="C485" s="72" t="n">
        <v>2026</v>
      </c>
      <c r="D485" s="73" t="n">
        <v>0</v>
      </c>
      <c r="E485" s="74" t="n">
        <v>1092</v>
      </c>
      <c r="F485" s="72" t="n">
        <v>80</v>
      </c>
      <c r="G485" s="72" t="s">
        <v>1763</v>
      </c>
      <c r="H485" s="72" t="s">
        <v>1764</v>
      </c>
    </row>
    <row r="486" customFormat="false" ht="15" hidden="false" customHeight="true" outlineLevel="0" collapsed="false">
      <c r="A486" s="75" t="n">
        <v>3351280</v>
      </c>
      <c r="B486" s="75" t="s">
        <v>1765</v>
      </c>
      <c r="C486" s="75" t="n">
        <v>2026</v>
      </c>
      <c r="D486" s="76" t="n">
        <v>4.99</v>
      </c>
      <c r="E486" s="77" t="n">
        <v>1089</v>
      </c>
      <c r="F486" s="75" t="n">
        <v>91</v>
      </c>
      <c r="G486" s="75" t="s">
        <v>1766</v>
      </c>
      <c r="H486" s="75" t="s">
        <v>1767</v>
      </c>
    </row>
    <row r="487" customFormat="false" ht="15" hidden="false" customHeight="true" outlineLevel="0" collapsed="false">
      <c r="A487" s="72" t="n">
        <v>2946260</v>
      </c>
      <c r="B487" s="72" t="s">
        <v>425</v>
      </c>
      <c r="C487" s="72" t="n">
        <v>2024</v>
      </c>
      <c r="D487" s="73" t="n">
        <v>8.99</v>
      </c>
      <c r="E487" s="74" t="n">
        <v>1082</v>
      </c>
      <c r="F487" s="72" t="n">
        <v>93</v>
      </c>
      <c r="G487" s="72" t="s">
        <v>1768</v>
      </c>
      <c r="H487" s="72" t="s">
        <v>1769</v>
      </c>
    </row>
    <row r="488" customFormat="false" ht="15" hidden="false" customHeight="true" outlineLevel="0" collapsed="false">
      <c r="A488" s="75" t="n">
        <v>2584800</v>
      </c>
      <c r="B488" s="75" t="s">
        <v>364</v>
      </c>
      <c r="C488" s="75" t="n">
        <v>2025</v>
      </c>
      <c r="D488" s="76" t="n">
        <v>8.99</v>
      </c>
      <c r="E488" s="77" t="n">
        <v>1073</v>
      </c>
      <c r="F488" s="75" t="n">
        <v>83</v>
      </c>
      <c r="G488" s="75" t="s">
        <v>1770</v>
      </c>
      <c r="H488" s="75" t="s">
        <v>1771</v>
      </c>
    </row>
    <row r="489" customFormat="false" ht="15" hidden="false" customHeight="true" outlineLevel="0" collapsed="false">
      <c r="A489" s="72" t="n">
        <v>2889780</v>
      </c>
      <c r="B489" s="72" t="s">
        <v>1772</v>
      </c>
      <c r="C489" s="72" t="n">
        <v>2025</v>
      </c>
      <c r="D489" s="73" t="n">
        <v>5.99</v>
      </c>
      <c r="E489" s="74" t="n">
        <v>1072</v>
      </c>
      <c r="F489" s="72" t="n">
        <v>91</v>
      </c>
      <c r="G489" s="72" t="s">
        <v>1773</v>
      </c>
      <c r="H489" s="72" t="s">
        <v>1774</v>
      </c>
    </row>
    <row r="490" customFormat="false" ht="15" hidden="false" customHeight="true" outlineLevel="0" collapsed="false">
      <c r="A490" s="75" t="n">
        <v>516030</v>
      </c>
      <c r="B490" s="75" t="s">
        <v>1775</v>
      </c>
      <c r="C490" s="75" t="n">
        <v>2018</v>
      </c>
      <c r="D490" s="76" t="n">
        <v>19.99</v>
      </c>
      <c r="E490" s="77" t="n">
        <v>1069</v>
      </c>
      <c r="F490" s="75" t="n">
        <v>83</v>
      </c>
      <c r="G490" s="75" t="s">
        <v>1776</v>
      </c>
      <c r="H490" s="75" t="s">
        <v>1777</v>
      </c>
    </row>
    <row r="491" customFormat="false" ht="15" hidden="false" customHeight="true" outlineLevel="0" collapsed="false">
      <c r="A491" s="72" t="n">
        <v>4597030</v>
      </c>
      <c r="B491" s="72" t="s">
        <v>1778</v>
      </c>
      <c r="C491" s="72" t="n">
        <v>2026</v>
      </c>
      <c r="D491" s="73" t="n">
        <v>7.99</v>
      </c>
      <c r="E491" s="74" t="n">
        <v>1064</v>
      </c>
      <c r="F491" s="72" t="n">
        <v>83</v>
      </c>
      <c r="G491" s="72" t="s">
        <v>1779</v>
      </c>
      <c r="H491" s="72" t="s">
        <v>1780</v>
      </c>
    </row>
    <row r="492" customFormat="false" ht="15" hidden="false" customHeight="true" outlineLevel="0" collapsed="false">
      <c r="A492" s="75" t="n">
        <v>3889950</v>
      </c>
      <c r="B492" s="75" t="s">
        <v>1781</v>
      </c>
      <c r="C492" s="75" t="n">
        <v>2025</v>
      </c>
      <c r="D492" s="76" t="n">
        <v>3.99</v>
      </c>
      <c r="E492" s="77" t="n">
        <v>1064</v>
      </c>
      <c r="F492" s="75" t="n">
        <v>95</v>
      </c>
      <c r="G492" s="75" t="s">
        <v>1782</v>
      </c>
      <c r="H492" s="75" t="s">
        <v>1783</v>
      </c>
    </row>
    <row r="493" customFormat="false" ht="15" hidden="false" customHeight="true" outlineLevel="0" collapsed="false">
      <c r="A493" s="72" t="n">
        <v>2971360</v>
      </c>
      <c r="B493" s="72" t="s">
        <v>1784</v>
      </c>
      <c r="C493" s="72" t="n">
        <v>2024</v>
      </c>
      <c r="D493" s="73" t="n">
        <v>4.99</v>
      </c>
      <c r="E493" s="74" t="n">
        <v>1061</v>
      </c>
      <c r="F493" s="72" t="n">
        <v>87</v>
      </c>
      <c r="G493" s="72" t="s">
        <v>1785</v>
      </c>
      <c r="H493" s="72" t="s">
        <v>1786</v>
      </c>
    </row>
    <row r="494" customFormat="false" ht="15" hidden="false" customHeight="true" outlineLevel="0" collapsed="false">
      <c r="A494" s="75" t="n">
        <v>2906730</v>
      </c>
      <c r="B494" s="75" t="s">
        <v>414</v>
      </c>
      <c r="C494" s="75" t="n">
        <v>2025</v>
      </c>
      <c r="D494" s="76" t="n">
        <v>13.99</v>
      </c>
      <c r="E494" s="77" t="n">
        <v>1057</v>
      </c>
      <c r="F494" s="75" t="n">
        <v>89</v>
      </c>
      <c r="G494" s="75" t="s">
        <v>1787</v>
      </c>
      <c r="H494" s="75" t="s">
        <v>1788</v>
      </c>
    </row>
    <row r="495" customFormat="false" ht="15" hidden="false" customHeight="true" outlineLevel="0" collapsed="false">
      <c r="A495" s="72" t="n">
        <v>2261750</v>
      </c>
      <c r="B495" s="72" t="s">
        <v>1789</v>
      </c>
      <c r="C495" s="72" t="n">
        <v>2023</v>
      </c>
      <c r="D495" s="73" t="n">
        <v>9.99</v>
      </c>
      <c r="E495" s="74" t="n">
        <v>1051</v>
      </c>
      <c r="F495" s="72" t="n">
        <v>76</v>
      </c>
      <c r="G495" s="72" t="s">
        <v>1790</v>
      </c>
      <c r="H495" s="72" t="s">
        <v>1791</v>
      </c>
    </row>
    <row r="496" customFormat="false" ht="15" hidden="false" customHeight="true" outlineLevel="0" collapsed="false">
      <c r="A496" s="75" t="n">
        <v>2958140</v>
      </c>
      <c r="B496" s="75" t="s">
        <v>1792</v>
      </c>
      <c r="C496" s="75" t="n">
        <v>2026</v>
      </c>
      <c r="D496" s="76" t="n">
        <v>9.99</v>
      </c>
      <c r="E496" s="77" t="n">
        <v>1044</v>
      </c>
      <c r="F496" s="75" t="n">
        <v>97</v>
      </c>
      <c r="G496" s="75" t="s">
        <v>1793</v>
      </c>
      <c r="H496" s="75" t="s">
        <v>1794</v>
      </c>
    </row>
    <row r="497" customFormat="false" ht="15" hidden="false" customHeight="true" outlineLevel="0" collapsed="false">
      <c r="A497" s="72" t="n">
        <v>2449390</v>
      </c>
      <c r="B497" s="72" t="s">
        <v>1795</v>
      </c>
      <c r="C497" s="72" t="n">
        <v>2025</v>
      </c>
      <c r="D497" s="73" t="n">
        <v>12.99</v>
      </c>
      <c r="E497" s="74" t="n">
        <v>1040</v>
      </c>
      <c r="F497" s="72" t="n">
        <v>94</v>
      </c>
      <c r="G497" s="72" t="s">
        <v>1796</v>
      </c>
      <c r="H497" s="72" t="s">
        <v>1797</v>
      </c>
    </row>
    <row r="498" customFormat="false" ht="15" hidden="false" customHeight="true" outlineLevel="0" collapsed="false">
      <c r="A498" s="75" t="n">
        <v>3325030</v>
      </c>
      <c r="B498" s="75" t="s">
        <v>1798</v>
      </c>
      <c r="C498" s="75" t="n">
        <v>2025</v>
      </c>
      <c r="D498" s="76" t="n">
        <v>4.99</v>
      </c>
      <c r="E498" s="77" t="n">
        <v>1039</v>
      </c>
      <c r="F498" s="75" t="n">
        <v>90</v>
      </c>
      <c r="G498" s="75" t="s">
        <v>1799</v>
      </c>
      <c r="H498" s="75" t="s">
        <v>1800</v>
      </c>
    </row>
    <row r="499" customFormat="false" ht="15" hidden="false" customHeight="true" outlineLevel="0" collapsed="false">
      <c r="A499" s="72" t="n">
        <v>1780850</v>
      </c>
      <c r="B499" s="72" t="s">
        <v>1801</v>
      </c>
      <c r="C499" s="72" t="n">
        <v>2022</v>
      </c>
      <c r="D499" s="73" t="n">
        <v>6.99</v>
      </c>
      <c r="E499" s="74" t="n">
        <v>1029</v>
      </c>
      <c r="F499" s="72" t="n">
        <v>73</v>
      </c>
      <c r="G499" s="72" t="s">
        <v>1802</v>
      </c>
      <c r="H499" s="72" t="s">
        <v>1803</v>
      </c>
    </row>
    <row r="500" customFormat="false" ht="15" hidden="false" customHeight="true" outlineLevel="0" collapsed="false">
      <c r="A500" s="75" t="n">
        <v>4021230</v>
      </c>
      <c r="B500" s="75" t="s">
        <v>359</v>
      </c>
      <c r="C500" s="75" t="n">
        <v>2026</v>
      </c>
      <c r="D500" s="76" t="n">
        <v>11.99</v>
      </c>
      <c r="E500" s="77" t="n">
        <v>1024</v>
      </c>
      <c r="F500" s="75" t="n">
        <v>92</v>
      </c>
      <c r="G500" s="75" t="s">
        <v>1804</v>
      </c>
      <c r="H500" s="75" t="s">
        <v>1805</v>
      </c>
    </row>
    <row r="501" customFormat="false" ht="15" hidden="false" customHeight="true" outlineLevel="0" collapsed="false">
      <c r="A501" s="72" t="n">
        <v>2296870</v>
      </c>
      <c r="B501" s="72" t="s">
        <v>1806</v>
      </c>
      <c r="C501" s="72" t="n">
        <v>2023</v>
      </c>
      <c r="D501" s="73" t="n">
        <v>5.99</v>
      </c>
      <c r="E501" s="74" t="n">
        <v>1016</v>
      </c>
      <c r="F501" s="72" t="n">
        <v>53</v>
      </c>
      <c r="G501" s="72" t="s">
        <v>1807</v>
      </c>
      <c r="H501" s="72" t="s">
        <v>1808</v>
      </c>
    </row>
    <row r="502" customFormat="false" ht="15" hidden="false" customHeight="true" outlineLevel="0" collapsed="false">
      <c r="A502" s="75" t="n">
        <v>4575670</v>
      </c>
      <c r="B502" s="75" t="s">
        <v>1809</v>
      </c>
      <c r="C502" s="75" t="n">
        <v>2026</v>
      </c>
      <c r="D502" s="76" t="n">
        <v>9.99</v>
      </c>
      <c r="E502" s="77" t="n">
        <v>1005</v>
      </c>
      <c r="F502" s="75" t="n">
        <v>72</v>
      </c>
      <c r="G502" s="75" t="s">
        <v>1810</v>
      </c>
      <c r="H502" s="75" t="s">
        <v>1811</v>
      </c>
    </row>
    <row r="503" customFormat="false" ht="15" hidden="false" customHeight="true" outlineLevel="0" collapsed="false">
      <c r="A503" s="72" t="n">
        <v>2497910</v>
      </c>
      <c r="B503" s="72" t="s">
        <v>1812</v>
      </c>
      <c r="C503" s="72" t="n">
        <v>2024</v>
      </c>
      <c r="D503" s="73" t="n">
        <v>4.99</v>
      </c>
      <c r="E503" s="74" t="n">
        <v>997</v>
      </c>
      <c r="F503" s="72" t="n">
        <v>67</v>
      </c>
      <c r="G503" s="72" t="s">
        <v>1813</v>
      </c>
      <c r="H503" s="72" t="s">
        <v>1814</v>
      </c>
    </row>
    <row r="504" customFormat="false" ht="15" hidden="false" customHeight="true" outlineLevel="0" collapsed="false">
      <c r="A504" s="75" t="n">
        <v>4300160</v>
      </c>
      <c r="B504" s="75" t="s">
        <v>1815</v>
      </c>
      <c r="C504" s="75" t="n">
        <v>2026</v>
      </c>
      <c r="D504" s="76" t="n">
        <v>7.99</v>
      </c>
      <c r="E504" s="77" t="n">
        <v>984</v>
      </c>
      <c r="F504" s="75" t="n">
        <v>94</v>
      </c>
      <c r="G504" s="75" t="s">
        <v>1816</v>
      </c>
      <c r="H504" s="75" t="s">
        <v>1817</v>
      </c>
    </row>
    <row r="505" customFormat="false" ht="15" hidden="false" customHeight="true" outlineLevel="0" collapsed="false">
      <c r="A505" s="72" t="n">
        <v>3046020</v>
      </c>
      <c r="B505" s="72" t="s">
        <v>1818</v>
      </c>
      <c r="C505" s="72" t="n">
        <v>2026</v>
      </c>
      <c r="D505" s="73" t="n">
        <v>9.99</v>
      </c>
      <c r="E505" s="74" t="n">
        <v>976</v>
      </c>
      <c r="F505" s="72" t="n">
        <v>79</v>
      </c>
      <c r="G505" s="72" t="s">
        <v>1819</v>
      </c>
      <c r="H505" s="72" t="s">
        <v>1820</v>
      </c>
    </row>
    <row r="506" customFormat="false" ht="15" hidden="false" customHeight="true" outlineLevel="0" collapsed="false">
      <c r="A506" s="75" t="n">
        <v>4991340</v>
      </c>
      <c r="B506" s="75" t="s">
        <v>1821</v>
      </c>
      <c r="C506" s="75" t="n">
        <v>2026</v>
      </c>
      <c r="D506" s="76" t="n">
        <v>0</v>
      </c>
      <c r="E506" s="77" t="n">
        <v>961</v>
      </c>
      <c r="F506" s="75" t="n">
        <v>71</v>
      </c>
      <c r="G506" s="75" t="s">
        <v>1822</v>
      </c>
      <c r="H506" s="75" t="s">
        <v>1823</v>
      </c>
    </row>
    <row r="507" customFormat="false" ht="15" hidden="false" customHeight="true" outlineLevel="0" collapsed="false">
      <c r="A507" s="72" t="n">
        <v>3669690</v>
      </c>
      <c r="B507" s="72" t="s">
        <v>1824</v>
      </c>
      <c r="C507" s="72" t="n">
        <v>2025</v>
      </c>
      <c r="D507" s="73" t="n">
        <v>7.99</v>
      </c>
      <c r="E507" s="74" t="n">
        <v>950</v>
      </c>
      <c r="F507" s="72" t="n">
        <v>94</v>
      </c>
      <c r="G507" s="72" t="s">
        <v>1825</v>
      </c>
      <c r="H507" s="72" t="s">
        <v>1826</v>
      </c>
    </row>
    <row r="508" customFormat="false" ht="15" hidden="false" customHeight="true" outlineLevel="0" collapsed="false">
      <c r="A508" s="75" t="n">
        <v>4558880</v>
      </c>
      <c r="B508" s="75" t="s">
        <v>1827</v>
      </c>
      <c r="C508" s="75" t="n">
        <v>2026</v>
      </c>
      <c r="D508" s="76" t="n">
        <v>7.99</v>
      </c>
      <c r="E508" s="77" t="n">
        <v>945</v>
      </c>
      <c r="F508" s="75" t="n">
        <v>83</v>
      </c>
      <c r="G508" s="75" t="s">
        <v>1828</v>
      </c>
      <c r="H508" s="75" t="s">
        <v>1829</v>
      </c>
    </row>
    <row r="509" customFormat="false" ht="15" hidden="false" customHeight="true" outlineLevel="0" collapsed="false">
      <c r="A509" s="72" t="n">
        <v>2186010</v>
      </c>
      <c r="B509" s="72" t="s">
        <v>1830</v>
      </c>
      <c r="C509" s="72" t="n">
        <v>2023</v>
      </c>
      <c r="D509" s="73" t="n">
        <v>0</v>
      </c>
      <c r="E509" s="74" t="n">
        <v>942</v>
      </c>
      <c r="F509" s="72" t="n">
        <v>67</v>
      </c>
      <c r="G509" s="72" t="s">
        <v>1475</v>
      </c>
      <c r="H509" s="72" t="s">
        <v>1476</v>
      </c>
    </row>
    <row r="510" customFormat="false" ht="15" hidden="false" customHeight="true" outlineLevel="0" collapsed="false">
      <c r="A510" s="75" t="n">
        <v>2233220</v>
      </c>
      <c r="B510" s="75" t="s">
        <v>1831</v>
      </c>
      <c r="C510" s="75" t="n">
        <v>2024</v>
      </c>
      <c r="D510" s="76" t="n">
        <v>9.99</v>
      </c>
      <c r="E510" s="77" t="n">
        <v>919</v>
      </c>
      <c r="F510" s="75" t="n">
        <v>91</v>
      </c>
      <c r="G510" s="75" t="s">
        <v>1832</v>
      </c>
      <c r="H510" s="75" t="s">
        <v>1833</v>
      </c>
    </row>
    <row r="511" customFormat="false" ht="15" hidden="false" customHeight="true" outlineLevel="0" collapsed="false">
      <c r="A511" s="72" t="n">
        <v>3256850</v>
      </c>
      <c r="B511" s="72" t="s">
        <v>1834</v>
      </c>
      <c r="C511" s="72" t="n">
        <v>2025</v>
      </c>
      <c r="D511" s="73" t="n">
        <v>7.99</v>
      </c>
      <c r="E511" s="74" t="n">
        <v>915</v>
      </c>
      <c r="F511" s="72" t="n">
        <v>66</v>
      </c>
      <c r="G511" s="72" t="s">
        <v>1835</v>
      </c>
      <c r="H511" s="72" t="s">
        <v>1836</v>
      </c>
    </row>
    <row r="512" customFormat="false" ht="15" hidden="false" customHeight="true" outlineLevel="0" collapsed="false">
      <c r="A512" s="75" t="n">
        <v>2283940</v>
      </c>
      <c r="B512" s="75" t="s">
        <v>1837</v>
      </c>
      <c r="C512" s="75" t="n">
        <v>2025</v>
      </c>
      <c r="D512" s="76" t="n">
        <v>5.99</v>
      </c>
      <c r="E512" s="77" t="n">
        <v>910</v>
      </c>
      <c r="F512" s="75" t="n">
        <v>81</v>
      </c>
      <c r="G512" s="75" t="s">
        <v>1838</v>
      </c>
      <c r="H512" s="75" t="s">
        <v>1839</v>
      </c>
    </row>
    <row r="513" customFormat="false" ht="15" hidden="false" customHeight="true" outlineLevel="0" collapsed="false">
      <c r="A513" s="72" t="n">
        <v>1604210</v>
      </c>
      <c r="B513" s="72" t="s">
        <v>1840</v>
      </c>
      <c r="C513" s="72" t="n">
        <v>2022</v>
      </c>
      <c r="D513" s="73" t="n">
        <v>11.99</v>
      </c>
      <c r="E513" s="74" t="n">
        <v>901</v>
      </c>
      <c r="F513" s="72" t="n">
        <v>87</v>
      </c>
      <c r="G513" s="72" t="s">
        <v>1841</v>
      </c>
      <c r="H513" s="72" t="s">
        <v>1842</v>
      </c>
    </row>
    <row r="514" customFormat="false" ht="15" hidden="false" customHeight="true" outlineLevel="0" collapsed="false">
      <c r="A514" s="75" t="n">
        <v>3873560</v>
      </c>
      <c r="B514" s="75" t="s">
        <v>1843</v>
      </c>
      <c r="C514" s="75" t="n">
        <v>2026</v>
      </c>
      <c r="D514" s="76" t="n">
        <v>5.99</v>
      </c>
      <c r="E514" s="77" t="n">
        <v>899</v>
      </c>
      <c r="F514" s="75" t="n">
        <v>96</v>
      </c>
      <c r="G514" s="75" t="s">
        <v>1844</v>
      </c>
      <c r="H514" s="75" t="s">
        <v>1845</v>
      </c>
    </row>
    <row r="515" customFormat="false" ht="15" hidden="false" customHeight="true" outlineLevel="0" collapsed="false">
      <c r="A515" s="72" t="n">
        <v>3399930</v>
      </c>
      <c r="B515" s="72" t="s">
        <v>1846</v>
      </c>
      <c r="C515" s="72" t="n">
        <v>2026</v>
      </c>
      <c r="D515" s="73" t="n">
        <v>8.99</v>
      </c>
      <c r="E515" s="74" t="n">
        <v>874</v>
      </c>
      <c r="F515" s="72" t="n">
        <v>85</v>
      </c>
      <c r="G515" s="72" t="s">
        <v>1847</v>
      </c>
      <c r="H515" s="72" t="s">
        <v>1848</v>
      </c>
    </row>
    <row r="516" customFormat="false" ht="15" hidden="false" customHeight="true" outlineLevel="0" collapsed="false">
      <c r="A516" s="75" t="n">
        <v>3541000</v>
      </c>
      <c r="B516" s="75" t="s">
        <v>448</v>
      </c>
      <c r="C516" s="75" t="n">
        <v>2026</v>
      </c>
      <c r="D516" s="76" t="n">
        <v>12.99</v>
      </c>
      <c r="E516" s="77" t="n">
        <v>873</v>
      </c>
      <c r="F516" s="75" t="n">
        <v>56</v>
      </c>
      <c r="G516" s="75" t="s">
        <v>1849</v>
      </c>
      <c r="H516" s="75" t="s">
        <v>1850</v>
      </c>
    </row>
    <row r="517" customFormat="false" ht="15" hidden="false" customHeight="true" outlineLevel="0" collapsed="false">
      <c r="A517" s="72" t="n">
        <v>4771890</v>
      </c>
      <c r="B517" s="72" t="s">
        <v>1851</v>
      </c>
      <c r="C517" s="72" t="n">
        <v>2026</v>
      </c>
      <c r="D517" s="73" t="n">
        <v>5.99</v>
      </c>
      <c r="E517" s="74" t="n">
        <v>867</v>
      </c>
      <c r="F517" s="72" t="n">
        <v>86</v>
      </c>
      <c r="G517" s="72" t="s">
        <v>1852</v>
      </c>
      <c r="H517" s="72" t="s">
        <v>1853</v>
      </c>
    </row>
    <row r="518" customFormat="false" ht="15" hidden="false" customHeight="true" outlineLevel="0" collapsed="false">
      <c r="A518" s="75" t="n">
        <v>2013080</v>
      </c>
      <c r="B518" s="75" t="s">
        <v>369</v>
      </c>
      <c r="C518" s="75" t="n">
        <v>2022</v>
      </c>
      <c r="D518" s="76" t="n">
        <v>11.99</v>
      </c>
      <c r="E518" s="77" t="n">
        <v>862</v>
      </c>
      <c r="F518" s="75" t="n">
        <v>63</v>
      </c>
      <c r="G518" s="75" t="s">
        <v>1854</v>
      </c>
      <c r="H518" s="75" t="s">
        <v>1855</v>
      </c>
    </row>
    <row r="519" customFormat="false" ht="15" hidden="false" customHeight="true" outlineLevel="0" collapsed="false">
      <c r="A519" s="72" t="n">
        <v>2071390</v>
      </c>
      <c r="B519" s="72" t="s">
        <v>1856</v>
      </c>
      <c r="C519" s="72" t="n">
        <v>2023</v>
      </c>
      <c r="D519" s="73" t="n">
        <v>7.99</v>
      </c>
      <c r="E519" s="74" t="n">
        <v>842</v>
      </c>
      <c r="F519" s="72" t="n">
        <v>73</v>
      </c>
      <c r="G519" s="72" t="s">
        <v>1857</v>
      </c>
      <c r="H519" s="72" t="s">
        <v>1858</v>
      </c>
    </row>
    <row r="520" customFormat="false" ht="15" hidden="false" customHeight="true" outlineLevel="0" collapsed="false">
      <c r="A520" s="75" t="n">
        <v>1960330</v>
      </c>
      <c r="B520" s="75" t="s">
        <v>1859</v>
      </c>
      <c r="C520" s="75" t="n">
        <v>2025</v>
      </c>
      <c r="D520" s="76" t="n">
        <v>19.99</v>
      </c>
      <c r="E520" s="77" t="n">
        <v>833</v>
      </c>
      <c r="F520" s="75" t="n">
        <v>86</v>
      </c>
      <c r="G520" s="75" t="s">
        <v>1860</v>
      </c>
      <c r="H520" s="75" t="s">
        <v>1861</v>
      </c>
    </row>
    <row r="521" customFormat="false" ht="15" hidden="false" customHeight="true" outlineLevel="0" collapsed="false">
      <c r="A521" s="72" t="n">
        <v>3343940</v>
      </c>
      <c r="B521" s="72" t="s">
        <v>1862</v>
      </c>
      <c r="C521" s="72" t="n">
        <v>2025</v>
      </c>
      <c r="D521" s="73" t="n">
        <v>3.99</v>
      </c>
      <c r="E521" s="74" t="n">
        <v>833</v>
      </c>
      <c r="F521" s="72" t="n">
        <v>88</v>
      </c>
      <c r="G521" s="72" t="s">
        <v>1863</v>
      </c>
      <c r="H521" s="72" t="s">
        <v>1864</v>
      </c>
    </row>
    <row r="522" customFormat="false" ht="15" hidden="false" customHeight="true" outlineLevel="0" collapsed="false">
      <c r="A522" s="75" t="n">
        <v>3669450</v>
      </c>
      <c r="B522" s="75" t="s">
        <v>1865</v>
      </c>
      <c r="C522" s="75" t="n">
        <v>2025</v>
      </c>
      <c r="D522" s="76" t="n">
        <v>6.99</v>
      </c>
      <c r="E522" s="77" t="n">
        <v>818</v>
      </c>
      <c r="F522" s="75" t="n">
        <v>86</v>
      </c>
      <c r="G522" s="75" t="s">
        <v>1866</v>
      </c>
      <c r="H522" s="75" t="s">
        <v>1867</v>
      </c>
    </row>
    <row r="523" customFormat="false" ht="15" hidden="false" customHeight="true" outlineLevel="0" collapsed="false">
      <c r="A523" s="72" t="n">
        <v>2349180</v>
      </c>
      <c r="B523" s="72" t="s">
        <v>1868</v>
      </c>
      <c r="C523" s="72" t="n">
        <v>2024</v>
      </c>
      <c r="D523" s="73" t="n">
        <v>12.99</v>
      </c>
      <c r="E523" s="74" t="n">
        <v>804</v>
      </c>
      <c r="F523" s="72" t="n">
        <v>89</v>
      </c>
      <c r="G523" s="72" t="s">
        <v>1398</v>
      </c>
      <c r="H523" s="72" t="s">
        <v>1869</v>
      </c>
    </row>
    <row r="524" customFormat="false" ht="15" hidden="false" customHeight="true" outlineLevel="0" collapsed="false">
      <c r="A524" s="75" t="n">
        <v>1461960</v>
      </c>
      <c r="B524" s="75" t="s">
        <v>1870</v>
      </c>
      <c r="C524" s="75" t="n">
        <v>2022</v>
      </c>
      <c r="D524" s="76" t="n">
        <v>4.99</v>
      </c>
      <c r="E524" s="77" t="n">
        <v>802</v>
      </c>
      <c r="F524" s="75" t="n">
        <v>88</v>
      </c>
      <c r="G524" s="75" t="s">
        <v>1871</v>
      </c>
      <c r="H524" s="75" t="s">
        <v>1872</v>
      </c>
    </row>
    <row r="525" customFormat="false" ht="15" hidden="false" customHeight="true" outlineLevel="0" collapsed="false">
      <c r="A525" s="72" t="n">
        <v>2775160</v>
      </c>
      <c r="B525" s="72" t="s">
        <v>1873</v>
      </c>
      <c r="C525" s="72" t="n">
        <v>2025</v>
      </c>
      <c r="D525" s="73" t="n">
        <v>9.99</v>
      </c>
      <c r="E525" s="74" t="n">
        <v>801</v>
      </c>
      <c r="F525" s="72" t="n">
        <v>91</v>
      </c>
      <c r="G525" s="72" t="s">
        <v>1874</v>
      </c>
      <c r="H525" s="72" t="s">
        <v>1875</v>
      </c>
    </row>
    <row r="526" customFormat="false" ht="15" hidden="false" customHeight="true" outlineLevel="0" collapsed="false">
      <c r="A526" s="75" t="n">
        <v>2800170</v>
      </c>
      <c r="B526" s="75" t="s">
        <v>1876</v>
      </c>
      <c r="C526" s="75" t="n">
        <v>2024</v>
      </c>
      <c r="D526" s="76" t="n">
        <v>9.99</v>
      </c>
      <c r="E526" s="77" t="n">
        <v>789</v>
      </c>
      <c r="F526" s="75" t="n">
        <v>66</v>
      </c>
      <c r="G526" s="75" t="s">
        <v>1877</v>
      </c>
      <c r="H526" s="75" t="s">
        <v>1878</v>
      </c>
    </row>
    <row r="527" customFormat="false" ht="15" hidden="false" customHeight="true" outlineLevel="0" collapsed="false">
      <c r="A527" s="72" t="n">
        <v>2997060</v>
      </c>
      <c r="B527" s="72" t="s">
        <v>437</v>
      </c>
      <c r="C527" s="72" t="n">
        <v>2025</v>
      </c>
      <c r="D527" s="73" t="n">
        <v>14.99</v>
      </c>
      <c r="E527" s="74" t="n">
        <v>788</v>
      </c>
      <c r="F527" s="72" t="n">
        <v>96</v>
      </c>
      <c r="G527" s="72" t="s">
        <v>1879</v>
      </c>
      <c r="H527" s="72" t="s">
        <v>1880</v>
      </c>
    </row>
    <row r="528" customFormat="false" ht="15" hidden="false" customHeight="true" outlineLevel="0" collapsed="false">
      <c r="A528" s="75" t="n">
        <v>3210490</v>
      </c>
      <c r="B528" s="75" t="s">
        <v>1881</v>
      </c>
      <c r="C528" s="75" t="n">
        <v>2026</v>
      </c>
      <c r="D528" s="76" t="n">
        <v>14.99</v>
      </c>
      <c r="E528" s="77" t="n">
        <v>784</v>
      </c>
      <c r="F528" s="75" t="n">
        <v>93</v>
      </c>
      <c r="G528" s="75" t="s">
        <v>1882</v>
      </c>
      <c r="H528" s="75" t="s">
        <v>1883</v>
      </c>
    </row>
    <row r="529" customFormat="false" ht="15" hidden="false" customHeight="true" outlineLevel="0" collapsed="false">
      <c r="A529" s="72" t="n">
        <v>2150910</v>
      </c>
      <c r="B529" s="72" t="s">
        <v>1884</v>
      </c>
      <c r="C529" s="72" t="n">
        <v>2024</v>
      </c>
      <c r="D529" s="73" t="n">
        <v>9.99</v>
      </c>
      <c r="E529" s="74" t="n">
        <v>780</v>
      </c>
      <c r="F529" s="72" t="n">
        <v>70</v>
      </c>
      <c r="G529" s="72" t="s">
        <v>1885</v>
      </c>
      <c r="H529" s="72" t="s">
        <v>1886</v>
      </c>
    </row>
    <row r="530" customFormat="false" ht="15" hidden="false" customHeight="true" outlineLevel="0" collapsed="false">
      <c r="A530" s="75" t="n">
        <v>1344210</v>
      </c>
      <c r="B530" s="75" t="s">
        <v>1887</v>
      </c>
      <c r="C530" s="75" t="n">
        <v>2022</v>
      </c>
      <c r="D530" s="76" t="n">
        <v>4.99</v>
      </c>
      <c r="E530" s="77" t="n">
        <v>778</v>
      </c>
      <c r="F530" s="75" t="n">
        <v>87</v>
      </c>
      <c r="G530" s="75" t="s">
        <v>1888</v>
      </c>
      <c r="H530" s="75" t="s">
        <v>1889</v>
      </c>
    </row>
    <row r="531" customFormat="false" ht="15" hidden="false" customHeight="true" outlineLevel="0" collapsed="false">
      <c r="A531" s="72" t="n">
        <v>2358060</v>
      </c>
      <c r="B531" s="72" t="s">
        <v>1890</v>
      </c>
      <c r="C531" s="72" t="n">
        <v>2025</v>
      </c>
      <c r="D531" s="73" t="n">
        <v>12.99</v>
      </c>
      <c r="E531" s="74" t="n">
        <v>774</v>
      </c>
      <c r="F531" s="72" t="n">
        <v>92</v>
      </c>
      <c r="G531" s="72" t="s">
        <v>1891</v>
      </c>
      <c r="H531" s="72" t="s">
        <v>1892</v>
      </c>
    </row>
    <row r="532" customFormat="false" ht="15" hidden="false" customHeight="true" outlineLevel="0" collapsed="false">
      <c r="A532" s="75" t="n">
        <v>3530490</v>
      </c>
      <c r="B532" s="75" t="s">
        <v>1893</v>
      </c>
      <c r="C532" s="75" t="n">
        <v>2025</v>
      </c>
      <c r="D532" s="76" t="n">
        <v>5.99</v>
      </c>
      <c r="E532" s="77" t="n">
        <v>774</v>
      </c>
      <c r="F532" s="75" t="n">
        <v>98</v>
      </c>
      <c r="G532" s="75" t="s">
        <v>1894</v>
      </c>
      <c r="H532" s="75" t="s">
        <v>1895</v>
      </c>
    </row>
    <row r="533" customFormat="false" ht="15" hidden="false" customHeight="true" outlineLevel="0" collapsed="false">
      <c r="A533" s="72" t="n">
        <v>2609810</v>
      </c>
      <c r="B533" s="72" t="s">
        <v>1896</v>
      </c>
      <c r="C533" s="72" t="n">
        <v>2024</v>
      </c>
      <c r="D533" s="73" t="n">
        <v>11.99</v>
      </c>
      <c r="E533" s="74" t="n">
        <v>769</v>
      </c>
      <c r="F533" s="72" t="n">
        <v>60</v>
      </c>
      <c r="G533" s="72" t="s">
        <v>1897</v>
      </c>
      <c r="H533" s="72" t="s">
        <v>1898</v>
      </c>
    </row>
    <row r="534" customFormat="false" ht="15" hidden="false" customHeight="true" outlineLevel="0" collapsed="false">
      <c r="A534" s="75" t="n">
        <v>1383510</v>
      </c>
      <c r="B534" s="75" t="s">
        <v>1899</v>
      </c>
      <c r="C534" s="75" t="n">
        <v>2020</v>
      </c>
      <c r="D534" s="76" t="n">
        <v>19.99</v>
      </c>
      <c r="E534" s="77" t="n">
        <v>767</v>
      </c>
      <c r="F534" s="75" t="n">
        <v>94</v>
      </c>
      <c r="G534" s="75" t="s">
        <v>1900</v>
      </c>
      <c r="H534" s="75" t="s">
        <v>1901</v>
      </c>
    </row>
    <row r="535" customFormat="false" ht="15" hidden="false" customHeight="true" outlineLevel="0" collapsed="false">
      <c r="A535" s="72" t="n">
        <v>3810010</v>
      </c>
      <c r="B535" s="72" t="s">
        <v>1902</v>
      </c>
      <c r="C535" s="72" t="n">
        <v>2025</v>
      </c>
      <c r="D535" s="73" t="n">
        <v>2.99</v>
      </c>
      <c r="E535" s="74" t="n">
        <v>765</v>
      </c>
      <c r="F535" s="72" t="n">
        <v>95</v>
      </c>
      <c r="G535" s="72" t="s">
        <v>1903</v>
      </c>
      <c r="H535" s="72" t="s">
        <v>1904</v>
      </c>
    </row>
    <row r="536" customFormat="false" ht="15" hidden="false" customHeight="true" outlineLevel="0" collapsed="false">
      <c r="A536" s="75" t="n">
        <v>4959800</v>
      </c>
      <c r="B536" s="75" t="s">
        <v>1905</v>
      </c>
      <c r="C536" s="75" t="n">
        <v>2026</v>
      </c>
      <c r="D536" s="76" t="n">
        <v>0</v>
      </c>
      <c r="E536" s="77" t="n">
        <v>756</v>
      </c>
      <c r="F536" s="75" t="n">
        <v>100</v>
      </c>
      <c r="G536" s="75" t="s">
        <v>1906</v>
      </c>
      <c r="H536" s="75" t="s">
        <v>1907</v>
      </c>
    </row>
    <row r="537" customFormat="false" ht="15" hidden="false" customHeight="true" outlineLevel="0" collapsed="false">
      <c r="A537" s="72" t="n">
        <v>3631830</v>
      </c>
      <c r="B537" s="72" t="s">
        <v>1908</v>
      </c>
      <c r="C537" s="72" t="n">
        <v>2025</v>
      </c>
      <c r="D537" s="73" t="n">
        <v>2.99</v>
      </c>
      <c r="E537" s="74" t="n">
        <v>755</v>
      </c>
      <c r="F537" s="72" t="n">
        <v>100</v>
      </c>
      <c r="G537" s="72" t="s">
        <v>1909</v>
      </c>
      <c r="H537" s="72" t="s">
        <v>1910</v>
      </c>
    </row>
    <row r="538" customFormat="false" ht="15" hidden="false" customHeight="true" outlineLevel="0" collapsed="false">
      <c r="A538" s="75" t="n">
        <v>3656720</v>
      </c>
      <c r="B538" s="75" t="s">
        <v>1911</v>
      </c>
      <c r="C538" s="75" t="n">
        <v>2026</v>
      </c>
      <c r="D538" s="76" t="n">
        <v>9.99</v>
      </c>
      <c r="E538" s="77" t="n">
        <v>735</v>
      </c>
      <c r="F538" s="75" t="n">
        <v>79</v>
      </c>
      <c r="G538" s="75" t="s">
        <v>1162</v>
      </c>
      <c r="H538" s="75" t="s">
        <v>1912</v>
      </c>
    </row>
    <row r="539" customFormat="false" ht="15" hidden="false" customHeight="true" outlineLevel="0" collapsed="false">
      <c r="A539" s="72" t="n">
        <v>2987110</v>
      </c>
      <c r="B539" s="72" t="s">
        <v>1913</v>
      </c>
      <c r="C539" s="72" t="n">
        <v>2025</v>
      </c>
      <c r="D539" s="73" t="n">
        <v>7.99</v>
      </c>
      <c r="E539" s="74" t="n">
        <v>735</v>
      </c>
      <c r="F539" s="72" t="n">
        <v>87</v>
      </c>
      <c r="G539" s="72" t="s">
        <v>1914</v>
      </c>
      <c r="H539" s="72" t="s">
        <v>1915</v>
      </c>
    </row>
    <row r="540" customFormat="false" ht="15" hidden="false" customHeight="true" outlineLevel="0" collapsed="false">
      <c r="A540" s="75" t="n">
        <v>3399130</v>
      </c>
      <c r="B540" s="75" t="s">
        <v>1916</v>
      </c>
      <c r="C540" s="75" t="n">
        <v>2025</v>
      </c>
      <c r="D540" s="76" t="n">
        <v>9.99</v>
      </c>
      <c r="E540" s="77" t="n">
        <v>728</v>
      </c>
      <c r="F540" s="75" t="n">
        <v>97</v>
      </c>
      <c r="G540" s="75" t="s">
        <v>1917</v>
      </c>
      <c r="H540" s="75" t="s">
        <v>1918</v>
      </c>
    </row>
    <row r="541" customFormat="false" ht="15" hidden="false" customHeight="true" outlineLevel="0" collapsed="false">
      <c r="A541" s="72" t="n">
        <v>3827220</v>
      </c>
      <c r="B541" s="72" t="s">
        <v>1919</v>
      </c>
      <c r="C541" s="72" t="n">
        <v>2026</v>
      </c>
      <c r="D541" s="73" t="n">
        <v>11.99</v>
      </c>
      <c r="E541" s="74" t="n">
        <v>727</v>
      </c>
      <c r="F541" s="72" t="n">
        <v>100</v>
      </c>
      <c r="G541" s="72" t="s">
        <v>1920</v>
      </c>
      <c r="H541" s="72" t="s">
        <v>1921</v>
      </c>
    </row>
    <row r="542" customFormat="false" ht="15" hidden="false" customHeight="true" outlineLevel="0" collapsed="false">
      <c r="A542" s="75" t="n">
        <v>1577460</v>
      </c>
      <c r="B542" s="75" t="s">
        <v>1922</v>
      </c>
      <c r="C542" s="75" t="n">
        <v>2023</v>
      </c>
      <c r="D542" s="76" t="n">
        <v>14.99</v>
      </c>
      <c r="E542" s="77" t="n">
        <v>724</v>
      </c>
      <c r="F542" s="75" t="n">
        <v>97</v>
      </c>
      <c r="G542" s="75" t="s">
        <v>1923</v>
      </c>
      <c r="H542" s="75" t="s">
        <v>1924</v>
      </c>
    </row>
    <row r="543" customFormat="false" ht="15" hidden="false" customHeight="true" outlineLevel="0" collapsed="false">
      <c r="A543" s="72" t="n">
        <v>2771180</v>
      </c>
      <c r="B543" s="72" t="s">
        <v>1925</v>
      </c>
      <c r="C543" s="72" t="n">
        <v>2024</v>
      </c>
      <c r="D543" s="73" t="n">
        <v>2.99</v>
      </c>
      <c r="E543" s="74" t="n">
        <v>704</v>
      </c>
      <c r="F543" s="72" t="n">
        <v>84</v>
      </c>
      <c r="G543" s="72" t="s">
        <v>1926</v>
      </c>
      <c r="H543" s="72" t="s">
        <v>1927</v>
      </c>
    </row>
    <row r="544" customFormat="false" ht="15" hidden="false" customHeight="true" outlineLevel="0" collapsed="false">
      <c r="A544" s="75" t="n">
        <v>3726190</v>
      </c>
      <c r="B544" s="75" t="s">
        <v>1928</v>
      </c>
      <c r="C544" s="75" t="n">
        <v>2026</v>
      </c>
      <c r="D544" s="76" t="n">
        <v>7.99</v>
      </c>
      <c r="E544" s="77" t="n">
        <v>702</v>
      </c>
      <c r="F544" s="75" t="n">
        <v>89</v>
      </c>
      <c r="G544" s="75" t="s">
        <v>1929</v>
      </c>
      <c r="H544" s="75" t="s">
        <v>1930</v>
      </c>
    </row>
    <row r="545" customFormat="false" ht="15" hidden="false" customHeight="true" outlineLevel="0" collapsed="false">
      <c r="A545" s="72" t="n">
        <v>3795960</v>
      </c>
      <c r="B545" s="72" t="s">
        <v>1931</v>
      </c>
      <c r="C545" s="72" t="n">
        <v>2026</v>
      </c>
      <c r="D545" s="73" t="n">
        <v>4.99</v>
      </c>
      <c r="E545" s="74" t="n">
        <v>699</v>
      </c>
      <c r="F545" s="72" t="n">
        <v>97</v>
      </c>
      <c r="G545" s="72" t="s">
        <v>1932</v>
      </c>
      <c r="H545" s="72" t="s">
        <v>1933</v>
      </c>
    </row>
    <row r="546" customFormat="false" ht="15" hidden="false" customHeight="true" outlineLevel="0" collapsed="false">
      <c r="A546" s="75" t="n">
        <v>2584850</v>
      </c>
      <c r="B546" s="75" t="s">
        <v>1934</v>
      </c>
      <c r="C546" s="75" t="n">
        <v>2023</v>
      </c>
      <c r="D546" s="76" t="n">
        <v>0</v>
      </c>
      <c r="E546" s="77" t="n">
        <v>682</v>
      </c>
      <c r="F546" s="75" t="n">
        <v>95</v>
      </c>
      <c r="G546" s="75" t="s">
        <v>1935</v>
      </c>
      <c r="H546" s="75" t="s">
        <v>1936</v>
      </c>
    </row>
    <row r="547" customFormat="false" ht="15" hidden="false" customHeight="true" outlineLevel="0" collapsed="false">
      <c r="A547" s="72" t="n">
        <v>3157680</v>
      </c>
      <c r="B547" s="72" t="s">
        <v>1937</v>
      </c>
      <c r="C547" s="72" t="n">
        <v>2025</v>
      </c>
      <c r="D547" s="73" t="n">
        <v>6.99</v>
      </c>
      <c r="E547" s="74" t="n">
        <v>675</v>
      </c>
      <c r="F547" s="72" t="n">
        <v>55</v>
      </c>
      <c r="G547" s="72" t="s">
        <v>1938</v>
      </c>
      <c r="H547" s="72" t="s">
        <v>1939</v>
      </c>
    </row>
    <row r="548" customFormat="false" ht="15" hidden="false" customHeight="true" outlineLevel="0" collapsed="false">
      <c r="A548" s="75" t="n">
        <v>2205260</v>
      </c>
      <c r="B548" s="75" t="s">
        <v>1940</v>
      </c>
      <c r="C548" s="75" t="n">
        <v>2023</v>
      </c>
      <c r="D548" s="76" t="n">
        <v>3.99</v>
      </c>
      <c r="E548" s="77" t="n">
        <v>674</v>
      </c>
      <c r="F548" s="75" t="n">
        <v>88</v>
      </c>
      <c r="G548" s="75" t="s">
        <v>1941</v>
      </c>
      <c r="H548" s="75" t="s">
        <v>1942</v>
      </c>
    </row>
    <row r="549" customFormat="false" ht="15" hidden="false" customHeight="true" outlineLevel="0" collapsed="false">
      <c r="A549" s="72" t="n">
        <v>2116780</v>
      </c>
      <c r="B549" s="72" t="s">
        <v>1943</v>
      </c>
      <c r="C549" s="72" t="n">
        <v>2023</v>
      </c>
      <c r="D549" s="73" t="n">
        <v>14.99</v>
      </c>
      <c r="E549" s="74" t="n">
        <v>669</v>
      </c>
      <c r="F549" s="72" t="n">
        <v>67</v>
      </c>
      <c r="G549" s="72" t="s">
        <v>1944</v>
      </c>
      <c r="H549" s="72" t="s">
        <v>1945</v>
      </c>
    </row>
    <row r="550" customFormat="false" ht="15" hidden="false" customHeight="true" outlineLevel="0" collapsed="false">
      <c r="A550" s="75" t="n">
        <v>2195650</v>
      </c>
      <c r="B550" s="75" t="s">
        <v>1946</v>
      </c>
      <c r="C550" s="75" t="n">
        <v>2024</v>
      </c>
      <c r="D550" s="76" t="n">
        <v>9.99</v>
      </c>
      <c r="E550" s="77" t="n">
        <v>665</v>
      </c>
      <c r="F550" s="75" t="n">
        <v>69</v>
      </c>
      <c r="G550" s="75" t="s">
        <v>1947</v>
      </c>
      <c r="H550" s="75" t="s">
        <v>1948</v>
      </c>
    </row>
    <row r="551" customFormat="false" ht="15" hidden="false" customHeight="true" outlineLevel="0" collapsed="false">
      <c r="A551" s="72" t="n">
        <v>3007390</v>
      </c>
      <c r="B551" s="72" t="s">
        <v>440</v>
      </c>
      <c r="C551" s="72" t="n">
        <v>2024</v>
      </c>
      <c r="D551" s="73" t="n">
        <v>6.99</v>
      </c>
      <c r="E551" s="74" t="n">
        <v>663</v>
      </c>
      <c r="F551" s="72" t="n">
        <v>97</v>
      </c>
      <c r="G551" s="72" t="s">
        <v>1949</v>
      </c>
      <c r="H551" s="72" t="s">
        <v>1950</v>
      </c>
    </row>
    <row r="552" customFormat="false" ht="15" hidden="false" customHeight="true" outlineLevel="0" collapsed="false">
      <c r="A552" s="75" t="n">
        <v>2408870</v>
      </c>
      <c r="B552" s="75" t="s">
        <v>1951</v>
      </c>
      <c r="C552" s="75" t="n">
        <v>2026</v>
      </c>
      <c r="D552" s="76" t="n">
        <v>0</v>
      </c>
      <c r="E552" s="77" t="n">
        <v>655</v>
      </c>
      <c r="F552" s="75" t="n">
        <v>94</v>
      </c>
      <c r="G552" s="75" t="s">
        <v>1952</v>
      </c>
      <c r="H552" s="75" t="s">
        <v>1953</v>
      </c>
    </row>
    <row r="553" customFormat="false" ht="15" hidden="false" customHeight="true" outlineLevel="0" collapsed="false">
      <c r="A553" s="72" t="n">
        <v>3823430</v>
      </c>
      <c r="B553" s="72" t="s">
        <v>1954</v>
      </c>
      <c r="C553" s="72" t="n">
        <v>2025</v>
      </c>
      <c r="D553" s="73" t="n">
        <v>9.99</v>
      </c>
      <c r="E553" s="74" t="n">
        <v>647</v>
      </c>
      <c r="F553" s="72" t="n">
        <v>88</v>
      </c>
      <c r="G553" s="72" t="s">
        <v>1955</v>
      </c>
      <c r="H553" s="72" t="s">
        <v>1956</v>
      </c>
    </row>
    <row r="554" customFormat="false" ht="15" hidden="false" customHeight="true" outlineLevel="0" collapsed="false">
      <c r="A554" s="75" t="n">
        <v>3156070</v>
      </c>
      <c r="B554" s="75" t="s">
        <v>1957</v>
      </c>
      <c r="C554" s="75" t="n">
        <v>2025</v>
      </c>
      <c r="D554" s="76" t="n">
        <v>4.99</v>
      </c>
      <c r="E554" s="77" t="n">
        <v>647</v>
      </c>
      <c r="F554" s="75" t="n">
        <v>90</v>
      </c>
      <c r="G554" s="75" t="s">
        <v>1958</v>
      </c>
      <c r="H554" s="75" t="s">
        <v>1959</v>
      </c>
    </row>
    <row r="555" customFormat="false" ht="15" hidden="false" customHeight="true" outlineLevel="0" collapsed="false">
      <c r="A555" s="72" t="n">
        <v>3453330</v>
      </c>
      <c r="B555" s="72" t="s">
        <v>445</v>
      </c>
      <c r="C555" s="72" t="n">
        <v>2025</v>
      </c>
      <c r="D555" s="73" t="n">
        <v>17.99</v>
      </c>
      <c r="E555" s="74" t="n">
        <v>646</v>
      </c>
      <c r="F555" s="72" t="n">
        <v>57</v>
      </c>
      <c r="G555" s="72" t="s">
        <v>1960</v>
      </c>
      <c r="H555" s="72" t="s">
        <v>1961</v>
      </c>
    </row>
    <row r="556" customFormat="false" ht="15" hidden="false" customHeight="true" outlineLevel="0" collapsed="false">
      <c r="A556" s="75" t="n">
        <v>3887360</v>
      </c>
      <c r="B556" s="75" t="s">
        <v>1962</v>
      </c>
      <c r="C556" s="75" t="n">
        <v>2025</v>
      </c>
      <c r="D556" s="76" t="n">
        <v>3.99</v>
      </c>
      <c r="E556" s="77" t="n">
        <v>646</v>
      </c>
      <c r="F556" s="75" t="n">
        <v>97</v>
      </c>
      <c r="G556" s="75" t="s">
        <v>1963</v>
      </c>
      <c r="H556" s="75" t="s">
        <v>1964</v>
      </c>
    </row>
    <row r="557" customFormat="false" ht="15" hidden="false" customHeight="true" outlineLevel="0" collapsed="false">
      <c r="A557" s="72" t="n">
        <v>4300180</v>
      </c>
      <c r="B557" s="72" t="s">
        <v>433</v>
      </c>
      <c r="C557" s="72" t="n">
        <v>2026</v>
      </c>
      <c r="D557" s="73" t="n">
        <v>8.99</v>
      </c>
      <c r="E557" s="74" t="n">
        <v>633</v>
      </c>
      <c r="F557" s="72" t="n">
        <v>98</v>
      </c>
      <c r="G557" s="72" t="s">
        <v>1965</v>
      </c>
      <c r="H557" s="72" t="s">
        <v>1966</v>
      </c>
    </row>
    <row r="558" customFormat="false" ht="15" hidden="false" customHeight="true" outlineLevel="0" collapsed="false">
      <c r="A558" s="75" t="n">
        <v>3438640</v>
      </c>
      <c r="B558" s="75" t="s">
        <v>1967</v>
      </c>
      <c r="C558" s="75" t="n">
        <v>2025</v>
      </c>
      <c r="D558" s="76" t="n">
        <v>9.99</v>
      </c>
      <c r="E558" s="77" t="n">
        <v>619</v>
      </c>
      <c r="F558" s="75" t="n">
        <v>100</v>
      </c>
      <c r="G558" s="75" t="s">
        <v>1968</v>
      </c>
      <c r="H558" s="75" t="s">
        <v>1969</v>
      </c>
    </row>
    <row r="559" customFormat="false" ht="15" hidden="false" customHeight="true" outlineLevel="0" collapsed="false">
      <c r="A559" s="72" t="n">
        <v>2853180</v>
      </c>
      <c r="B559" s="72" t="s">
        <v>1970</v>
      </c>
      <c r="C559" s="72" t="n">
        <v>2024</v>
      </c>
      <c r="D559" s="73" t="n">
        <v>13.99</v>
      </c>
      <c r="E559" s="74" t="n">
        <v>613</v>
      </c>
      <c r="F559" s="72" t="n">
        <v>69</v>
      </c>
      <c r="G559" s="72" t="s">
        <v>1971</v>
      </c>
      <c r="H559" s="72" t="s">
        <v>1972</v>
      </c>
    </row>
    <row r="560" customFormat="false" ht="15" hidden="false" customHeight="true" outlineLevel="0" collapsed="false">
      <c r="A560" s="75" t="n">
        <v>2730680</v>
      </c>
      <c r="B560" s="75" t="s">
        <v>1973</v>
      </c>
      <c r="C560" s="75" t="n">
        <v>2025</v>
      </c>
      <c r="D560" s="76" t="n">
        <v>13.99</v>
      </c>
      <c r="E560" s="77" t="n">
        <v>612</v>
      </c>
      <c r="F560" s="75" t="n">
        <v>89</v>
      </c>
      <c r="G560" s="75" t="s">
        <v>1974</v>
      </c>
      <c r="H560" s="75" t="s">
        <v>1975</v>
      </c>
    </row>
    <row r="561" customFormat="false" ht="15" hidden="false" customHeight="true" outlineLevel="0" collapsed="false">
      <c r="A561" s="72" t="n">
        <v>2708720</v>
      </c>
      <c r="B561" s="72" t="s">
        <v>1976</v>
      </c>
      <c r="C561" s="72" t="n">
        <v>2024</v>
      </c>
      <c r="D561" s="73" t="n">
        <v>11.99</v>
      </c>
      <c r="E561" s="74" t="n">
        <v>608</v>
      </c>
      <c r="F561" s="72" t="n">
        <v>100</v>
      </c>
      <c r="G561" s="72" t="s">
        <v>1977</v>
      </c>
      <c r="H561" s="72" t="s">
        <v>1978</v>
      </c>
    </row>
    <row r="562" customFormat="false" ht="15" hidden="false" customHeight="true" outlineLevel="0" collapsed="false">
      <c r="A562" s="75" t="n">
        <v>3003820</v>
      </c>
      <c r="B562" s="75" t="s">
        <v>1979</v>
      </c>
      <c r="C562" s="75" t="n">
        <v>2024</v>
      </c>
      <c r="D562" s="76" t="n">
        <v>0</v>
      </c>
      <c r="E562" s="77" t="n">
        <v>605</v>
      </c>
      <c r="F562" s="75" t="n">
        <v>54</v>
      </c>
      <c r="G562" s="75" t="s">
        <v>1980</v>
      </c>
      <c r="H562" s="75" t="s">
        <v>1981</v>
      </c>
    </row>
    <row r="563" customFormat="false" ht="15" hidden="false" customHeight="true" outlineLevel="0" collapsed="false">
      <c r="A563" s="72" t="n">
        <v>2992190</v>
      </c>
      <c r="B563" s="72" t="s">
        <v>1982</v>
      </c>
      <c r="C563" s="72" t="n">
        <v>2025</v>
      </c>
      <c r="D563" s="73" t="n">
        <v>14.99</v>
      </c>
      <c r="E563" s="74" t="n">
        <v>604</v>
      </c>
      <c r="F563" s="72" t="n">
        <v>90</v>
      </c>
      <c r="G563" s="72" t="s">
        <v>1983</v>
      </c>
      <c r="H563" s="72" t="s">
        <v>507</v>
      </c>
    </row>
    <row r="564" customFormat="false" ht="15" hidden="false" customHeight="true" outlineLevel="0" collapsed="false">
      <c r="A564" s="75" t="n">
        <v>3719450</v>
      </c>
      <c r="B564" s="75" t="s">
        <v>1984</v>
      </c>
      <c r="C564" s="75" t="n">
        <v>2026</v>
      </c>
      <c r="D564" s="76" t="n">
        <v>14.99</v>
      </c>
      <c r="E564" s="77" t="n">
        <v>601</v>
      </c>
      <c r="F564" s="75" t="n">
        <v>97</v>
      </c>
      <c r="G564" s="75" t="s">
        <v>1985</v>
      </c>
      <c r="H564" s="75" t="s">
        <v>1986</v>
      </c>
    </row>
    <row r="565" customFormat="false" ht="15" hidden="false" customHeight="true" outlineLevel="0" collapsed="false">
      <c r="A565" s="72" t="n">
        <v>2684510</v>
      </c>
      <c r="B565" s="72" t="s">
        <v>1987</v>
      </c>
      <c r="C565" s="72" t="n">
        <v>2025</v>
      </c>
      <c r="D565" s="73" t="n">
        <v>3.99</v>
      </c>
      <c r="E565" s="74" t="n">
        <v>591</v>
      </c>
      <c r="F565" s="72" t="n">
        <v>77</v>
      </c>
      <c r="G565" s="72" t="s">
        <v>1988</v>
      </c>
      <c r="H565" s="72" t="s">
        <v>1989</v>
      </c>
    </row>
    <row r="566" customFormat="false" ht="15" hidden="false" customHeight="true" outlineLevel="0" collapsed="false">
      <c r="A566" s="75" t="n">
        <v>2906660</v>
      </c>
      <c r="B566" s="75" t="s">
        <v>1990</v>
      </c>
      <c r="C566" s="75" t="n">
        <v>2025</v>
      </c>
      <c r="D566" s="76" t="n">
        <v>4.99</v>
      </c>
      <c r="E566" s="77" t="n">
        <v>590</v>
      </c>
      <c r="F566" s="75" t="n">
        <v>91</v>
      </c>
      <c r="G566" s="75" t="s">
        <v>1991</v>
      </c>
      <c r="H566" s="75" t="s">
        <v>507</v>
      </c>
    </row>
    <row r="567" customFormat="false" ht="15" hidden="false" customHeight="true" outlineLevel="0" collapsed="false">
      <c r="A567" s="72" t="n">
        <v>4134700</v>
      </c>
      <c r="B567" s="72" t="s">
        <v>1992</v>
      </c>
      <c r="C567" s="72" t="n">
        <v>2026</v>
      </c>
      <c r="D567" s="73" t="n">
        <v>4.99</v>
      </c>
      <c r="E567" s="74" t="n">
        <v>588</v>
      </c>
      <c r="F567" s="72" t="n">
        <v>100</v>
      </c>
      <c r="G567" s="72" t="s">
        <v>1866</v>
      </c>
      <c r="H567" s="72" t="s">
        <v>1993</v>
      </c>
    </row>
    <row r="568" customFormat="false" ht="15" hidden="false" customHeight="true" outlineLevel="0" collapsed="false">
      <c r="A568" s="75" t="n">
        <v>3205630</v>
      </c>
      <c r="B568" s="75" t="s">
        <v>390</v>
      </c>
      <c r="C568" s="75" t="n">
        <v>2026</v>
      </c>
      <c r="D568" s="76" t="n">
        <v>14.99</v>
      </c>
      <c r="E568" s="77" t="n">
        <v>583</v>
      </c>
      <c r="F568" s="75" t="n">
        <v>84</v>
      </c>
      <c r="G568" s="75" t="s">
        <v>1994</v>
      </c>
      <c r="H568" s="75" t="s">
        <v>1995</v>
      </c>
    </row>
    <row r="569" customFormat="false" ht="15" hidden="false" customHeight="true" outlineLevel="0" collapsed="false">
      <c r="A569" s="72" t="n">
        <v>1551050</v>
      </c>
      <c r="B569" s="72" t="s">
        <v>1996</v>
      </c>
      <c r="C569" s="72" t="n">
        <v>2021</v>
      </c>
      <c r="D569" s="73" t="n">
        <v>1.99</v>
      </c>
      <c r="E569" s="74" t="n">
        <v>583</v>
      </c>
      <c r="F569" s="72" t="n">
        <v>68</v>
      </c>
      <c r="G569" s="72" t="s">
        <v>1997</v>
      </c>
      <c r="H569" s="72" t="s">
        <v>1998</v>
      </c>
    </row>
    <row r="570" customFormat="false" ht="15" hidden="false" customHeight="true" outlineLevel="0" collapsed="false">
      <c r="A570" s="75" t="n">
        <v>3457930</v>
      </c>
      <c r="B570" s="75" t="s">
        <v>1999</v>
      </c>
      <c r="C570" s="75" t="n">
        <v>2025</v>
      </c>
      <c r="D570" s="76" t="n">
        <v>0</v>
      </c>
      <c r="E570" s="77" t="n">
        <v>581</v>
      </c>
      <c r="F570" s="75" t="n">
        <v>94</v>
      </c>
      <c r="G570" s="75" t="s">
        <v>2000</v>
      </c>
      <c r="H570" s="75" t="s">
        <v>2001</v>
      </c>
    </row>
    <row r="571" customFormat="false" ht="15" hidden="false" customHeight="true" outlineLevel="0" collapsed="false">
      <c r="A571" s="72" t="n">
        <v>3299130</v>
      </c>
      <c r="B571" s="72" t="s">
        <v>2002</v>
      </c>
      <c r="C571" s="72" t="n">
        <v>2025</v>
      </c>
      <c r="D571" s="73" t="n">
        <v>14.99</v>
      </c>
      <c r="E571" s="74" t="n">
        <v>567</v>
      </c>
      <c r="F571" s="72" t="n">
        <v>95</v>
      </c>
      <c r="G571" s="72" t="s">
        <v>1594</v>
      </c>
      <c r="H571" s="72" t="s">
        <v>2003</v>
      </c>
    </row>
    <row r="572" customFormat="false" ht="15" hidden="false" customHeight="true" outlineLevel="0" collapsed="false">
      <c r="A572" s="75" t="n">
        <v>3799560</v>
      </c>
      <c r="B572" s="75" t="s">
        <v>2004</v>
      </c>
      <c r="C572" s="75" t="n">
        <v>2026</v>
      </c>
      <c r="D572" s="76" t="n">
        <v>9.99</v>
      </c>
      <c r="E572" s="77" t="n">
        <v>564</v>
      </c>
      <c r="F572" s="75" t="n">
        <v>83</v>
      </c>
      <c r="G572" s="75" t="s">
        <v>2005</v>
      </c>
      <c r="H572" s="75" t="s">
        <v>2006</v>
      </c>
    </row>
    <row r="573" customFormat="false" ht="15" hidden="false" customHeight="true" outlineLevel="0" collapsed="false">
      <c r="A573" s="72" t="n">
        <v>4332200</v>
      </c>
      <c r="B573" s="72" t="s">
        <v>2007</v>
      </c>
      <c r="C573" s="72" t="n">
        <v>2026</v>
      </c>
      <c r="D573" s="73" t="n">
        <v>14.99</v>
      </c>
      <c r="E573" s="74" t="n">
        <v>558</v>
      </c>
      <c r="F573" s="72" t="n">
        <v>83</v>
      </c>
      <c r="G573" s="72" t="s">
        <v>2008</v>
      </c>
      <c r="H573" s="72" t="s">
        <v>2009</v>
      </c>
    </row>
    <row r="574" customFormat="false" ht="15" hidden="false" customHeight="true" outlineLevel="0" collapsed="false">
      <c r="A574" s="75" t="n">
        <v>3073480</v>
      </c>
      <c r="B574" s="75" t="s">
        <v>2010</v>
      </c>
      <c r="C574" s="75" t="n">
        <v>2025</v>
      </c>
      <c r="D574" s="76" t="n">
        <v>9.99</v>
      </c>
      <c r="E574" s="77" t="n">
        <v>556</v>
      </c>
      <c r="F574" s="75" t="n">
        <v>79</v>
      </c>
      <c r="G574" s="75" t="s">
        <v>2011</v>
      </c>
      <c r="H574" s="75" t="s">
        <v>2012</v>
      </c>
    </row>
    <row r="575" customFormat="false" ht="15" hidden="false" customHeight="true" outlineLevel="0" collapsed="false">
      <c r="A575" s="72" t="n">
        <v>2903630</v>
      </c>
      <c r="B575" s="72" t="s">
        <v>2013</v>
      </c>
      <c r="C575" s="72" t="n">
        <v>2026</v>
      </c>
      <c r="D575" s="73" t="n">
        <v>14.99</v>
      </c>
      <c r="E575" s="74" t="n">
        <v>547</v>
      </c>
      <c r="F575" s="72" t="n">
        <v>85</v>
      </c>
      <c r="G575" s="72" t="s">
        <v>2014</v>
      </c>
      <c r="H575" s="72" t="s">
        <v>2015</v>
      </c>
    </row>
    <row r="576" customFormat="false" ht="15" hidden="false" customHeight="true" outlineLevel="0" collapsed="false">
      <c r="A576" s="75" t="n">
        <v>2663790</v>
      </c>
      <c r="B576" s="75" t="s">
        <v>2016</v>
      </c>
      <c r="C576" s="75" t="n">
        <v>2024</v>
      </c>
      <c r="D576" s="76" t="n">
        <v>2.99</v>
      </c>
      <c r="E576" s="77" t="n">
        <v>547</v>
      </c>
      <c r="F576" s="75" t="n">
        <v>100</v>
      </c>
      <c r="G576" s="75" t="s">
        <v>2017</v>
      </c>
      <c r="H576" s="75" t="s">
        <v>2018</v>
      </c>
    </row>
    <row r="577" customFormat="false" ht="15" hidden="false" customHeight="true" outlineLevel="0" collapsed="false">
      <c r="A577" s="72" t="n">
        <v>3324350</v>
      </c>
      <c r="B577" s="72" t="s">
        <v>464</v>
      </c>
      <c r="C577" s="72" t="n">
        <v>2025</v>
      </c>
      <c r="D577" s="73" t="n">
        <v>5.99</v>
      </c>
      <c r="E577" s="74" t="n">
        <v>545</v>
      </c>
      <c r="F577" s="72" t="n">
        <v>71</v>
      </c>
      <c r="G577" s="72" t="s">
        <v>2019</v>
      </c>
      <c r="H577" s="72" t="s">
        <v>2020</v>
      </c>
    </row>
    <row r="578" customFormat="false" ht="15" hidden="false" customHeight="true" outlineLevel="0" collapsed="false">
      <c r="A578" s="75" t="n">
        <v>4270940</v>
      </c>
      <c r="B578" s="75" t="s">
        <v>2021</v>
      </c>
      <c r="C578" s="75" t="n">
        <v>2026</v>
      </c>
      <c r="D578" s="76" t="n">
        <v>12.99</v>
      </c>
      <c r="E578" s="77" t="n">
        <v>543</v>
      </c>
      <c r="F578" s="75" t="n">
        <v>100</v>
      </c>
      <c r="G578" s="75" t="s">
        <v>2022</v>
      </c>
      <c r="H578" s="75" t="s">
        <v>2023</v>
      </c>
    </row>
    <row r="579" customFormat="false" ht="15" hidden="false" customHeight="true" outlineLevel="0" collapsed="false">
      <c r="A579" s="72" t="n">
        <v>1934540</v>
      </c>
      <c r="B579" s="72" t="s">
        <v>2024</v>
      </c>
      <c r="C579" s="72" t="n">
        <v>2022</v>
      </c>
      <c r="D579" s="73" t="n">
        <v>2.99</v>
      </c>
      <c r="E579" s="74" t="n">
        <v>540</v>
      </c>
      <c r="F579" s="72" t="n">
        <v>93</v>
      </c>
      <c r="G579" s="72" t="s">
        <v>2025</v>
      </c>
      <c r="H579" s="72" t="s">
        <v>2026</v>
      </c>
    </row>
    <row r="580" customFormat="false" ht="15" hidden="false" customHeight="true" outlineLevel="0" collapsed="false">
      <c r="A580" s="75" t="n">
        <v>3463290</v>
      </c>
      <c r="B580" s="75" t="s">
        <v>2027</v>
      </c>
      <c r="C580" s="75" t="n">
        <v>2025</v>
      </c>
      <c r="D580" s="76" t="n">
        <v>4.99</v>
      </c>
      <c r="E580" s="77" t="n">
        <v>535</v>
      </c>
      <c r="F580" s="75" t="n">
        <v>100</v>
      </c>
      <c r="G580" s="75" t="s">
        <v>2028</v>
      </c>
      <c r="H580" s="75" t="s">
        <v>2029</v>
      </c>
    </row>
    <row r="581" customFormat="false" ht="15" hidden="false" customHeight="true" outlineLevel="0" collapsed="false">
      <c r="A581" s="72" t="n">
        <v>2513090</v>
      </c>
      <c r="B581" s="72" t="s">
        <v>2030</v>
      </c>
      <c r="C581" s="72" t="n">
        <v>2024</v>
      </c>
      <c r="D581" s="73" t="n">
        <v>3.99</v>
      </c>
      <c r="E581" s="74" t="n">
        <v>534</v>
      </c>
      <c r="F581" s="72" t="n">
        <v>84</v>
      </c>
      <c r="G581" s="72" t="s">
        <v>2031</v>
      </c>
      <c r="H581" s="72" t="s">
        <v>2032</v>
      </c>
    </row>
    <row r="582" customFormat="false" ht="15" hidden="false" customHeight="true" outlineLevel="0" collapsed="false">
      <c r="A582" s="75" t="n">
        <v>1797510</v>
      </c>
      <c r="B582" s="75" t="s">
        <v>2033</v>
      </c>
      <c r="C582" s="75" t="n">
        <v>2022</v>
      </c>
      <c r="D582" s="76" t="n">
        <v>0.99</v>
      </c>
      <c r="E582" s="77" t="n">
        <v>533</v>
      </c>
      <c r="F582" s="75" t="n">
        <v>68</v>
      </c>
      <c r="G582" s="75" t="s">
        <v>2034</v>
      </c>
      <c r="H582" s="75" t="s">
        <v>2035</v>
      </c>
    </row>
    <row r="583" customFormat="false" ht="15" hidden="false" customHeight="true" outlineLevel="0" collapsed="false">
      <c r="A583" s="72" t="n">
        <v>1698850</v>
      </c>
      <c r="B583" s="72" t="s">
        <v>2036</v>
      </c>
      <c r="C583" s="72" t="n">
        <v>2023</v>
      </c>
      <c r="D583" s="73" t="n">
        <v>14.99</v>
      </c>
      <c r="E583" s="74" t="n">
        <v>520</v>
      </c>
      <c r="F583" s="72" t="n">
        <v>100</v>
      </c>
      <c r="G583" s="72" t="s">
        <v>2037</v>
      </c>
      <c r="H583" s="72" t="s">
        <v>2038</v>
      </c>
    </row>
    <row r="584" customFormat="false" ht="15" hidden="false" customHeight="true" outlineLevel="0" collapsed="false">
      <c r="A584" s="75" t="n">
        <v>2991450</v>
      </c>
      <c r="B584" s="75" t="s">
        <v>2039</v>
      </c>
      <c r="C584" s="75" t="n">
        <v>2026</v>
      </c>
      <c r="D584" s="76" t="n">
        <v>14.99</v>
      </c>
      <c r="E584" s="77" t="n">
        <v>517</v>
      </c>
      <c r="F584" s="75" t="n">
        <v>92</v>
      </c>
      <c r="G584" s="75" t="s">
        <v>2040</v>
      </c>
      <c r="H584" s="75" t="s">
        <v>2041</v>
      </c>
    </row>
    <row r="585" customFormat="false" ht="15" hidden="false" customHeight="true" outlineLevel="0" collapsed="false">
      <c r="A585" s="72" t="n">
        <v>3238220</v>
      </c>
      <c r="B585" s="72" t="s">
        <v>2042</v>
      </c>
      <c r="C585" s="72" t="n">
        <v>2026</v>
      </c>
      <c r="D585" s="73" t="n">
        <v>11.99</v>
      </c>
      <c r="E585" s="74" t="n">
        <v>517</v>
      </c>
      <c r="F585" s="72" t="n">
        <v>96</v>
      </c>
      <c r="G585" s="72" t="s">
        <v>2043</v>
      </c>
      <c r="H585" s="72" t="s">
        <v>2044</v>
      </c>
    </row>
    <row r="586" customFormat="false" ht="15" hidden="false" customHeight="true" outlineLevel="0" collapsed="false">
      <c r="A586" s="75" t="n">
        <v>997710</v>
      </c>
      <c r="B586" s="75" t="s">
        <v>2045</v>
      </c>
      <c r="C586" s="75" t="n">
        <v>2021</v>
      </c>
      <c r="D586" s="76" t="n">
        <v>9.99</v>
      </c>
      <c r="E586" s="77" t="n">
        <v>513</v>
      </c>
      <c r="F586" s="75" t="n">
        <v>53</v>
      </c>
      <c r="G586" s="75" t="s">
        <v>2046</v>
      </c>
      <c r="H586" s="75" t="s">
        <v>2047</v>
      </c>
    </row>
    <row r="587" customFormat="false" ht="15" hidden="false" customHeight="true" outlineLevel="0" collapsed="false">
      <c r="A587" s="72" t="n">
        <v>1704120</v>
      </c>
      <c r="B587" s="72" t="s">
        <v>2048</v>
      </c>
      <c r="C587" s="72" t="n">
        <v>2024</v>
      </c>
      <c r="D587" s="73" t="n">
        <v>9.99</v>
      </c>
      <c r="E587" s="74" t="n">
        <v>513</v>
      </c>
      <c r="F587" s="72" t="n">
        <v>97</v>
      </c>
      <c r="G587" s="72" t="s">
        <v>2049</v>
      </c>
      <c r="H587" s="72" t="s">
        <v>2050</v>
      </c>
    </row>
    <row r="588" customFormat="false" ht="15" hidden="false" customHeight="true" outlineLevel="0" collapsed="false">
      <c r="A588" s="75" t="n">
        <v>2271030</v>
      </c>
      <c r="B588" s="75" t="s">
        <v>2051</v>
      </c>
      <c r="C588" s="75" t="n">
        <v>2023</v>
      </c>
      <c r="D588" s="76" t="n">
        <v>6.99</v>
      </c>
      <c r="E588" s="77" t="n">
        <v>507</v>
      </c>
      <c r="F588" s="75" t="n">
        <v>88</v>
      </c>
      <c r="G588" s="75" t="s">
        <v>2052</v>
      </c>
      <c r="H588" s="75" t="s">
        <v>2053</v>
      </c>
    </row>
    <row r="589" customFormat="false" ht="15" hidden="false" customHeight="true" outlineLevel="0" collapsed="false">
      <c r="A589" s="72" t="n">
        <v>3895480</v>
      </c>
      <c r="B589" s="72" t="s">
        <v>2054</v>
      </c>
      <c r="C589" s="72" t="n">
        <v>2026</v>
      </c>
      <c r="D589" s="73" t="n">
        <v>7.99</v>
      </c>
      <c r="E589" s="74" t="n">
        <v>496</v>
      </c>
      <c r="F589" s="72" t="n">
        <v>100</v>
      </c>
      <c r="G589" s="72" t="s">
        <v>2055</v>
      </c>
      <c r="H589" s="72" t="s">
        <v>2056</v>
      </c>
    </row>
    <row r="590" customFormat="false" ht="15" hidden="false" customHeight="true" outlineLevel="0" collapsed="false">
      <c r="A590" s="75" t="n">
        <v>3393180</v>
      </c>
      <c r="B590" s="75" t="s">
        <v>2057</v>
      </c>
      <c r="C590" s="75" t="n">
        <v>2025</v>
      </c>
      <c r="D590" s="76" t="n">
        <v>6.99</v>
      </c>
      <c r="E590" s="77" t="n">
        <v>495</v>
      </c>
      <c r="F590" s="75" t="n">
        <v>78</v>
      </c>
      <c r="G590" s="75" t="s">
        <v>2058</v>
      </c>
      <c r="H590" s="75" t="s">
        <v>2059</v>
      </c>
    </row>
    <row r="591" customFormat="false" ht="15" hidden="false" customHeight="true" outlineLevel="0" collapsed="false">
      <c r="A591" s="72" t="n">
        <v>2079160</v>
      </c>
      <c r="B591" s="72" t="s">
        <v>2060</v>
      </c>
      <c r="C591" s="72" t="n">
        <v>2022</v>
      </c>
      <c r="D591" s="73" t="n">
        <v>4.99</v>
      </c>
      <c r="E591" s="74" t="n">
        <v>489</v>
      </c>
      <c r="F591" s="72" t="n">
        <v>55</v>
      </c>
      <c r="G591" s="72" t="s">
        <v>2061</v>
      </c>
      <c r="H591" s="72" t="s">
        <v>2062</v>
      </c>
    </row>
    <row r="592" customFormat="false" ht="15" hidden="false" customHeight="true" outlineLevel="0" collapsed="false">
      <c r="A592" s="75" t="n">
        <v>4148810</v>
      </c>
      <c r="B592" s="75" t="s">
        <v>350</v>
      </c>
      <c r="C592" s="75" t="n">
        <v>2026</v>
      </c>
      <c r="D592" s="76" t="n">
        <v>9.99</v>
      </c>
      <c r="E592" s="77" t="n">
        <v>486</v>
      </c>
      <c r="F592" s="75" t="n">
        <v>94</v>
      </c>
      <c r="G592" s="75" t="s">
        <v>2063</v>
      </c>
      <c r="H592" s="75" t="s">
        <v>2064</v>
      </c>
    </row>
    <row r="593" customFormat="false" ht="15" hidden="false" customHeight="true" outlineLevel="0" collapsed="false">
      <c r="A593" s="72" t="n">
        <v>2475020</v>
      </c>
      <c r="B593" s="72" t="s">
        <v>2065</v>
      </c>
      <c r="C593" s="72" t="n">
        <v>2023</v>
      </c>
      <c r="D593" s="73" t="n">
        <v>4.99</v>
      </c>
      <c r="E593" s="74" t="n">
        <v>484</v>
      </c>
      <c r="F593" s="72" t="n">
        <v>90</v>
      </c>
      <c r="G593" s="72" t="s">
        <v>2066</v>
      </c>
      <c r="H593" s="72" t="s">
        <v>2067</v>
      </c>
    </row>
    <row r="594" customFormat="false" ht="15" hidden="false" customHeight="true" outlineLevel="0" collapsed="false">
      <c r="A594" s="75" t="n">
        <v>1106680</v>
      </c>
      <c r="B594" s="75" t="s">
        <v>2068</v>
      </c>
      <c r="C594" s="75" t="n">
        <v>2025</v>
      </c>
      <c r="D594" s="76" t="n">
        <v>19.99</v>
      </c>
      <c r="E594" s="77" t="n">
        <v>483</v>
      </c>
      <c r="F594" s="75" t="n">
        <v>65</v>
      </c>
      <c r="G594" s="75" t="s">
        <v>1489</v>
      </c>
      <c r="H594" s="75" t="s">
        <v>2069</v>
      </c>
    </row>
    <row r="595" customFormat="false" ht="15" hidden="false" customHeight="true" outlineLevel="0" collapsed="false">
      <c r="A595" s="72" t="n">
        <v>4358460</v>
      </c>
      <c r="B595" s="72" t="s">
        <v>2070</v>
      </c>
      <c r="C595" s="72" t="n">
        <v>2026</v>
      </c>
      <c r="D595" s="73" t="n">
        <v>6.99</v>
      </c>
      <c r="E595" s="74" t="n">
        <v>479</v>
      </c>
      <c r="F595" s="72" t="n">
        <v>86</v>
      </c>
      <c r="G595" s="72" t="s">
        <v>2071</v>
      </c>
      <c r="H595" s="72" t="s">
        <v>2072</v>
      </c>
    </row>
    <row r="596" customFormat="false" ht="15" hidden="false" customHeight="true" outlineLevel="0" collapsed="false">
      <c r="A596" s="75" t="n">
        <v>4377950</v>
      </c>
      <c r="B596" s="75" t="s">
        <v>2073</v>
      </c>
      <c r="C596" s="75" t="n">
        <v>2026</v>
      </c>
      <c r="D596" s="76" t="n">
        <v>4.99</v>
      </c>
      <c r="E596" s="77" t="n">
        <v>473</v>
      </c>
      <c r="F596" s="75" t="n">
        <v>80</v>
      </c>
      <c r="G596" s="75" t="s">
        <v>2074</v>
      </c>
      <c r="H596" s="75" t="s">
        <v>2075</v>
      </c>
    </row>
    <row r="597" customFormat="false" ht="15" hidden="false" customHeight="true" outlineLevel="0" collapsed="false">
      <c r="A597" s="72" t="n">
        <v>3689680</v>
      </c>
      <c r="B597" s="72" t="s">
        <v>2076</v>
      </c>
      <c r="C597" s="72" t="n">
        <v>2025</v>
      </c>
      <c r="D597" s="73" t="n">
        <v>1.99</v>
      </c>
      <c r="E597" s="74" t="n">
        <v>471</v>
      </c>
      <c r="F597" s="72" t="n">
        <v>91</v>
      </c>
      <c r="G597" s="72" t="s">
        <v>2077</v>
      </c>
      <c r="H597" s="72" t="s">
        <v>2078</v>
      </c>
    </row>
    <row r="598" customFormat="false" ht="15" hidden="false" customHeight="true" outlineLevel="0" collapsed="false">
      <c r="A598" s="75" t="n">
        <v>2577850</v>
      </c>
      <c r="B598" s="75" t="s">
        <v>2079</v>
      </c>
      <c r="C598" s="75" t="n">
        <v>2025</v>
      </c>
      <c r="D598" s="76" t="n">
        <v>10.99</v>
      </c>
      <c r="E598" s="77" t="n">
        <v>469</v>
      </c>
      <c r="F598" s="75" t="n">
        <v>94</v>
      </c>
      <c r="G598" s="75" t="s">
        <v>1790</v>
      </c>
      <c r="H598" s="75" t="s">
        <v>2080</v>
      </c>
    </row>
    <row r="599" customFormat="false" ht="15" hidden="false" customHeight="true" outlineLevel="0" collapsed="false">
      <c r="A599" s="72" t="n">
        <v>2476640</v>
      </c>
      <c r="B599" s="72" t="s">
        <v>2081</v>
      </c>
      <c r="C599" s="72" t="n">
        <v>2024</v>
      </c>
      <c r="D599" s="73" t="n">
        <v>4.99</v>
      </c>
      <c r="E599" s="74" t="n">
        <v>461</v>
      </c>
      <c r="F599" s="72" t="n">
        <v>76</v>
      </c>
      <c r="G599" s="72" t="s">
        <v>2082</v>
      </c>
      <c r="H599" s="72" t="s">
        <v>2083</v>
      </c>
    </row>
    <row r="600" customFormat="false" ht="15" hidden="false" customHeight="true" outlineLevel="0" collapsed="false">
      <c r="A600" s="75" t="n">
        <v>1953370</v>
      </c>
      <c r="B600" s="75" t="s">
        <v>2084</v>
      </c>
      <c r="C600" s="75" t="n">
        <v>2023</v>
      </c>
      <c r="D600" s="76" t="n">
        <v>1.99</v>
      </c>
      <c r="E600" s="77" t="n">
        <v>453</v>
      </c>
      <c r="F600" s="75" t="n">
        <v>74</v>
      </c>
      <c r="G600" s="75" t="s">
        <v>2085</v>
      </c>
      <c r="H600" s="75" t="s">
        <v>2086</v>
      </c>
    </row>
    <row r="601" customFormat="false" ht="15" hidden="false" customHeight="true" outlineLevel="0" collapsed="false">
      <c r="A601" s="72" t="n">
        <v>3871550</v>
      </c>
      <c r="B601" s="72" t="s">
        <v>2087</v>
      </c>
      <c r="C601" s="72" t="n">
        <v>2026</v>
      </c>
      <c r="D601" s="73" t="n">
        <v>8.99</v>
      </c>
      <c r="E601" s="74" t="n">
        <v>451</v>
      </c>
      <c r="F601" s="72" t="n">
        <v>97</v>
      </c>
      <c r="G601" s="72" t="s">
        <v>2088</v>
      </c>
      <c r="H601" s="72" t="s">
        <v>2089</v>
      </c>
    </row>
    <row r="602" customFormat="false" ht="15" hidden="false" customHeight="true" outlineLevel="0" collapsed="false">
      <c r="A602" s="75" t="n">
        <v>3152290</v>
      </c>
      <c r="B602" s="75" t="s">
        <v>2090</v>
      </c>
      <c r="C602" s="75" t="n">
        <v>2025</v>
      </c>
      <c r="D602" s="76" t="n">
        <v>13.99</v>
      </c>
      <c r="E602" s="77" t="n">
        <v>450</v>
      </c>
      <c r="F602" s="75" t="n">
        <v>84</v>
      </c>
      <c r="G602" s="75" t="s">
        <v>2091</v>
      </c>
      <c r="H602" s="75" t="s">
        <v>2092</v>
      </c>
    </row>
    <row r="603" customFormat="false" ht="15" hidden="false" customHeight="true" outlineLevel="0" collapsed="false">
      <c r="A603" s="72" t="n">
        <v>4948610</v>
      </c>
      <c r="B603" s="72" t="s">
        <v>2093</v>
      </c>
      <c r="C603" s="72" t="n">
        <v>2026</v>
      </c>
      <c r="D603" s="73" t="n">
        <v>4.99</v>
      </c>
      <c r="E603" s="74" t="n">
        <v>449</v>
      </c>
      <c r="F603" s="72" t="n">
        <v>100</v>
      </c>
      <c r="G603" s="72" t="s">
        <v>2094</v>
      </c>
      <c r="H603" s="72" t="s">
        <v>2095</v>
      </c>
    </row>
    <row r="604" customFormat="false" ht="15" hidden="false" customHeight="true" outlineLevel="0" collapsed="false">
      <c r="A604" s="75" t="n">
        <v>3720630</v>
      </c>
      <c r="B604" s="75" t="s">
        <v>2096</v>
      </c>
      <c r="C604" s="75" t="n">
        <v>2025</v>
      </c>
      <c r="D604" s="76" t="n">
        <v>7.99</v>
      </c>
      <c r="E604" s="77" t="n">
        <v>448</v>
      </c>
      <c r="F604" s="75" t="n">
        <v>79</v>
      </c>
      <c r="G604" s="75" t="s">
        <v>2097</v>
      </c>
      <c r="H604" s="75" t="s">
        <v>2098</v>
      </c>
    </row>
    <row r="605" customFormat="false" ht="15" hidden="false" customHeight="true" outlineLevel="0" collapsed="false">
      <c r="A605" s="72" t="n">
        <v>1789360</v>
      </c>
      <c r="B605" s="72" t="s">
        <v>2099</v>
      </c>
      <c r="C605" s="72" t="n">
        <v>2021</v>
      </c>
      <c r="D605" s="73" t="n">
        <v>14.99</v>
      </c>
      <c r="E605" s="74" t="n">
        <v>445</v>
      </c>
      <c r="F605" s="72" t="n">
        <v>78</v>
      </c>
      <c r="G605" s="72" t="s">
        <v>2100</v>
      </c>
      <c r="H605" s="72" t="s">
        <v>2101</v>
      </c>
    </row>
    <row r="606" customFormat="false" ht="15" hidden="false" customHeight="true" outlineLevel="0" collapsed="false">
      <c r="A606" s="75" t="n">
        <v>4259520</v>
      </c>
      <c r="B606" s="75" t="s">
        <v>2102</v>
      </c>
      <c r="C606" s="75" t="n">
        <v>2026</v>
      </c>
      <c r="D606" s="76" t="n">
        <v>4.99</v>
      </c>
      <c r="E606" s="77" t="n">
        <v>435</v>
      </c>
      <c r="F606" s="75" t="n">
        <v>92</v>
      </c>
      <c r="G606" s="75" t="s">
        <v>2103</v>
      </c>
      <c r="H606" s="75" t="s">
        <v>2104</v>
      </c>
    </row>
    <row r="607" customFormat="false" ht="15" hidden="false" customHeight="true" outlineLevel="0" collapsed="false">
      <c r="A607" s="72" t="n">
        <v>997950</v>
      </c>
      <c r="B607" s="72" t="s">
        <v>2105</v>
      </c>
      <c r="C607" s="72" t="n">
        <v>2020</v>
      </c>
      <c r="D607" s="73" t="n">
        <v>3.99</v>
      </c>
      <c r="E607" s="74" t="n">
        <v>434</v>
      </c>
      <c r="F607" s="72" t="n">
        <v>89</v>
      </c>
      <c r="G607" s="72" t="s">
        <v>2106</v>
      </c>
      <c r="H607" s="72" t="s">
        <v>2107</v>
      </c>
    </row>
    <row r="608" customFormat="false" ht="15" hidden="false" customHeight="true" outlineLevel="0" collapsed="false">
      <c r="A608" s="75" t="n">
        <v>3974620</v>
      </c>
      <c r="B608" s="75" t="s">
        <v>2108</v>
      </c>
      <c r="C608" s="75" t="n">
        <v>2026</v>
      </c>
      <c r="D608" s="76" t="n">
        <v>5.99</v>
      </c>
      <c r="E608" s="77" t="n">
        <v>421</v>
      </c>
      <c r="F608" s="75" t="n">
        <v>96</v>
      </c>
      <c r="G608" s="75" t="s">
        <v>2109</v>
      </c>
      <c r="H608" s="75" t="s">
        <v>2110</v>
      </c>
    </row>
    <row r="609" customFormat="false" ht="15" hidden="false" customHeight="true" outlineLevel="0" collapsed="false">
      <c r="A609" s="72" t="n">
        <v>3682910</v>
      </c>
      <c r="B609" s="72" t="s">
        <v>2111</v>
      </c>
      <c r="C609" s="72" t="n">
        <v>2025</v>
      </c>
      <c r="D609" s="73" t="n">
        <v>4.99</v>
      </c>
      <c r="E609" s="74" t="n">
        <v>420</v>
      </c>
      <c r="F609" s="72" t="n">
        <v>81</v>
      </c>
      <c r="G609" s="72" t="s">
        <v>2112</v>
      </c>
      <c r="H609" s="72" t="s">
        <v>2113</v>
      </c>
    </row>
    <row r="610" customFormat="false" ht="15" hidden="false" customHeight="true" outlineLevel="0" collapsed="false">
      <c r="A610" s="75" t="n">
        <v>2446010</v>
      </c>
      <c r="B610" s="75" t="s">
        <v>2114</v>
      </c>
      <c r="C610" s="75" t="n">
        <v>2025</v>
      </c>
      <c r="D610" s="76" t="n">
        <v>14.99</v>
      </c>
      <c r="E610" s="77" t="n">
        <v>419</v>
      </c>
      <c r="F610" s="75" t="n">
        <v>90</v>
      </c>
      <c r="G610" s="75" t="s">
        <v>2115</v>
      </c>
      <c r="H610" s="75" t="s">
        <v>2116</v>
      </c>
    </row>
    <row r="611" customFormat="false" ht="15" hidden="false" customHeight="true" outlineLevel="0" collapsed="false">
      <c r="A611" s="72" t="n">
        <v>2409690</v>
      </c>
      <c r="B611" s="72" t="s">
        <v>2117</v>
      </c>
      <c r="C611" s="72" t="n">
        <v>2023</v>
      </c>
      <c r="D611" s="73" t="n">
        <v>0.99</v>
      </c>
      <c r="E611" s="74" t="n">
        <v>419</v>
      </c>
      <c r="F611" s="72" t="n">
        <v>91</v>
      </c>
      <c r="G611" s="72" t="s">
        <v>2118</v>
      </c>
      <c r="H611" s="72" t="s">
        <v>2119</v>
      </c>
    </row>
    <row r="612" customFormat="false" ht="15" hidden="false" customHeight="true" outlineLevel="0" collapsed="false">
      <c r="A612" s="75" t="n">
        <v>3226660</v>
      </c>
      <c r="B612" s="75" t="s">
        <v>398</v>
      </c>
      <c r="C612" s="75" t="n">
        <v>2026</v>
      </c>
      <c r="D612" s="76" t="n">
        <v>19.99</v>
      </c>
      <c r="E612" s="77" t="n">
        <v>417</v>
      </c>
      <c r="F612" s="75" t="n">
        <v>96</v>
      </c>
      <c r="G612" s="75" t="s">
        <v>2120</v>
      </c>
      <c r="H612" s="75" t="s">
        <v>2121</v>
      </c>
    </row>
    <row r="613" customFormat="false" ht="15" hidden="false" customHeight="true" outlineLevel="0" collapsed="false">
      <c r="A613" s="72" t="n">
        <v>3658670</v>
      </c>
      <c r="B613" s="72" t="s">
        <v>2122</v>
      </c>
      <c r="C613" s="72" t="n">
        <v>2025</v>
      </c>
      <c r="D613" s="73" t="n">
        <v>2.99</v>
      </c>
      <c r="E613" s="74" t="n">
        <v>417</v>
      </c>
      <c r="F613" s="72" t="n">
        <v>97</v>
      </c>
      <c r="G613" s="72" t="s">
        <v>2123</v>
      </c>
      <c r="H613" s="72" t="s">
        <v>2124</v>
      </c>
    </row>
    <row r="614" customFormat="false" ht="15" hidden="false" customHeight="true" outlineLevel="0" collapsed="false">
      <c r="A614" s="75" t="n">
        <v>2968290</v>
      </c>
      <c r="B614" s="75" t="s">
        <v>2125</v>
      </c>
      <c r="C614" s="75" t="n">
        <v>2026</v>
      </c>
      <c r="D614" s="76" t="n">
        <v>9.99</v>
      </c>
      <c r="E614" s="77" t="n">
        <v>416</v>
      </c>
      <c r="F614" s="75" t="n">
        <v>89</v>
      </c>
      <c r="G614" s="75" t="s">
        <v>2126</v>
      </c>
      <c r="H614" s="75" t="s">
        <v>2127</v>
      </c>
    </row>
    <row r="615" customFormat="false" ht="15" hidden="false" customHeight="true" outlineLevel="0" collapsed="false">
      <c r="A615" s="72" t="n">
        <v>2309920</v>
      </c>
      <c r="B615" s="72" t="s">
        <v>2128</v>
      </c>
      <c r="C615" s="72" t="n">
        <v>2023</v>
      </c>
      <c r="D615" s="73" t="n">
        <v>7.99</v>
      </c>
      <c r="E615" s="74" t="n">
        <v>413</v>
      </c>
      <c r="F615" s="72" t="n">
        <v>56</v>
      </c>
      <c r="G615" s="72" t="s">
        <v>2129</v>
      </c>
      <c r="H615" s="72" t="s">
        <v>2130</v>
      </c>
    </row>
    <row r="616" customFormat="false" ht="15" hidden="false" customHeight="true" outlineLevel="0" collapsed="false">
      <c r="A616" s="75" t="n">
        <v>3810020</v>
      </c>
      <c r="B616" s="75" t="s">
        <v>2131</v>
      </c>
      <c r="C616" s="75" t="n">
        <v>2026</v>
      </c>
      <c r="D616" s="76" t="n">
        <v>9.99</v>
      </c>
      <c r="E616" s="77" t="n">
        <v>408</v>
      </c>
      <c r="F616" s="75" t="n">
        <v>93</v>
      </c>
      <c r="G616" s="75" t="s">
        <v>2132</v>
      </c>
      <c r="H616" s="75" t="s">
        <v>2133</v>
      </c>
    </row>
    <row r="617" customFormat="false" ht="15" hidden="false" customHeight="true" outlineLevel="0" collapsed="false">
      <c r="A617" s="72" t="n">
        <v>4414210</v>
      </c>
      <c r="B617" s="72" t="s">
        <v>2134</v>
      </c>
      <c r="C617" s="72" t="n">
        <v>2026</v>
      </c>
      <c r="D617" s="73" t="n">
        <v>5.99</v>
      </c>
      <c r="E617" s="74" t="n">
        <v>407</v>
      </c>
      <c r="F617" s="72" t="n">
        <v>100</v>
      </c>
      <c r="G617" s="72" t="s">
        <v>2135</v>
      </c>
      <c r="H617" s="72" t="s">
        <v>2136</v>
      </c>
    </row>
    <row r="618" customFormat="false" ht="15" hidden="false" customHeight="true" outlineLevel="0" collapsed="false">
      <c r="A618" s="75" t="n">
        <v>3965860</v>
      </c>
      <c r="B618" s="75" t="s">
        <v>2137</v>
      </c>
      <c r="C618" s="75" t="n">
        <v>2026</v>
      </c>
      <c r="D618" s="76" t="n">
        <v>14.99</v>
      </c>
      <c r="E618" s="77" t="n">
        <v>405</v>
      </c>
      <c r="F618" s="75" t="n">
        <v>91</v>
      </c>
      <c r="G618" s="75" t="s">
        <v>2138</v>
      </c>
      <c r="H618" s="75" t="s">
        <v>2139</v>
      </c>
    </row>
    <row r="619" customFormat="false" ht="15" hidden="false" customHeight="true" outlineLevel="0" collapsed="false">
      <c r="A619" s="72" t="n">
        <v>3423840</v>
      </c>
      <c r="B619" s="72" t="s">
        <v>2140</v>
      </c>
      <c r="C619" s="72" t="n">
        <v>2025</v>
      </c>
      <c r="D619" s="73" t="n">
        <v>10.99</v>
      </c>
      <c r="E619" s="74" t="n">
        <v>404</v>
      </c>
      <c r="F619" s="72" t="n">
        <v>94</v>
      </c>
      <c r="G619" s="72" t="s">
        <v>2141</v>
      </c>
      <c r="H619" s="72" t="s">
        <v>2142</v>
      </c>
    </row>
    <row r="620" customFormat="false" ht="15" hidden="false" customHeight="true" outlineLevel="0" collapsed="false">
      <c r="A620" s="75" t="n">
        <v>3038530</v>
      </c>
      <c r="B620" s="75" t="s">
        <v>2143</v>
      </c>
      <c r="C620" s="75" t="n">
        <v>2025</v>
      </c>
      <c r="D620" s="76" t="n">
        <v>9.99</v>
      </c>
      <c r="E620" s="77" t="n">
        <v>398</v>
      </c>
      <c r="F620" s="75" t="n">
        <v>95</v>
      </c>
      <c r="G620" s="75" t="s">
        <v>2144</v>
      </c>
      <c r="H620" s="75" t="s">
        <v>2145</v>
      </c>
    </row>
    <row r="621" customFormat="false" ht="15" hidden="false" customHeight="true" outlineLevel="0" collapsed="false">
      <c r="A621" s="72" t="n">
        <v>2416920</v>
      </c>
      <c r="B621" s="72" t="s">
        <v>2146</v>
      </c>
      <c r="C621" s="72" t="n">
        <v>2023</v>
      </c>
      <c r="D621" s="73" t="n">
        <v>1.99</v>
      </c>
      <c r="E621" s="74" t="n">
        <v>392</v>
      </c>
      <c r="F621" s="72" t="n">
        <v>42</v>
      </c>
      <c r="G621" s="72" t="s">
        <v>2147</v>
      </c>
      <c r="H621" s="72" t="s">
        <v>2148</v>
      </c>
    </row>
    <row r="622" customFormat="false" ht="15" hidden="false" customHeight="true" outlineLevel="0" collapsed="false">
      <c r="A622" s="75" t="n">
        <v>3458810</v>
      </c>
      <c r="B622" s="75" t="s">
        <v>2149</v>
      </c>
      <c r="C622" s="75" t="n">
        <v>2026</v>
      </c>
      <c r="D622" s="76" t="n">
        <v>9.5</v>
      </c>
      <c r="E622" s="77" t="n">
        <v>391</v>
      </c>
      <c r="F622" s="75" t="n">
        <v>91</v>
      </c>
      <c r="G622" s="75" t="s">
        <v>2150</v>
      </c>
      <c r="H622" s="75" t="s">
        <v>2151</v>
      </c>
    </row>
    <row r="623" customFormat="false" ht="15" hidden="false" customHeight="true" outlineLevel="0" collapsed="false">
      <c r="A623" s="72" t="n">
        <v>4047130</v>
      </c>
      <c r="B623" s="72" t="s">
        <v>2152</v>
      </c>
      <c r="C623" s="72" t="n">
        <v>2026</v>
      </c>
      <c r="D623" s="73" t="n">
        <v>7.99</v>
      </c>
      <c r="E623" s="74" t="n">
        <v>390</v>
      </c>
      <c r="F623" s="72" t="n">
        <v>76</v>
      </c>
      <c r="G623" s="72" t="s">
        <v>2153</v>
      </c>
      <c r="H623" s="72" t="s">
        <v>2154</v>
      </c>
    </row>
    <row r="624" customFormat="false" ht="15" hidden="false" customHeight="true" outlineLevel="0" collapsed="false">
      <c r="A624" s="75" t="n">
        <v>1635710</v>
      </c>
      <c r="B624" s="75" t="s">
        <v>415</v>
      </c>
      <c r="C624" s="75" t="n">
        <v>2025</v>
      </c>
      <c r="D624" s="76" t="n">
        <v>5.99</v>
      </c>
      <c r="E624" s="77" t="n">
        <v>385</v>
      </c>
      <c r="F624" s="75" t="n">
        <v>97</v>
      </c>
      <c r="G624" s="75" t="s">
        <v>2155</v>
      </c>
      <c r="H624" s="75" t="s">
        <v>2156</v>
      </c>
    </row>
    <row r="625" customFormat="false" ht="15" hidden="false" customHeight="true" outlineLevel="0" collapsed="false">
      <c r="A625" s="72" t="n">
        <v>3132780</v>
      </c>
      <c r="B625" s="72" t="s">
        <v>2157</v>
      </c>
      <c r="C625" s="72" t="n">
        <v>2025</v>
      </c>
      <c r="D625" s="73" t="n">
        <v>9.99</v>
      </c>
      <c r="E625" s="74" t="n">
        <v>379</v>
      </c>
      <c r="F625" s="72" t="n">
        <v>97</v>
      </c>
      <c r="G625" s="72" t="s">
        <v>2158</v>
      </c>
      <c r="H625" s="72" t="s">
        <v>2159</v>
      </c>
    </row>
    <row r="626" customFormat="false" ht="15" hidden="false" customHeight="true" outlineLevel="0" collapsed="false">
      <c r="A626" s="75" t="n">
        <v>2491130</v>
      </c>
      <c r="B626" s="75" t="s">
        <v>2160</v>
      </c>
      <c r="C626" s="75" t="n">
        <v>2023</v>
      </c>
      <c r="D626" s="76" t="n">
        <v>4.99</v>
      </c>
      <c r="E626" s="77" t="n">
        <v>379</v>
      </c>
      <c r="F626" s="75" t="n">
        <v>92</v>
      </c>
      <c r="G626" s="75" t="s">
        <v>2161</v>
      </c>
      <c r="H626" s="75" t="s">
        <v>2162</v>
      </c>
    </row>
    <row r="627" customFormat="false" ht="15" hidden="false" customHeight="true" outlineLevel="0" collapsed="false">
      <c r="A627" s="72" t="n">
        <v>2428020</v>
      </c>
      <c r="B627" s="72" t="s">
        <v>2163</v>
      </c>
      <c r="C627" s="72" t="n">
        <v>2024</v>
      </c>
      <c r="D627" s="73" t="n">
        <v>4.99</v>
      </c>
      <c r="E627" s="74" t="n">
        <v>371</v>
      </c>
      <c r="F627" s="72" t="n">
        <v>96</v>
      </c>
      <c r="G627" s="72" t="s">
        <v>2164</v>
      </c>
      <c r="H627" s="72" t="s">
        <v>2165</v>
      </c>
    </row>
    <row r="628" customFormat="false" ht="15" hidden="false" customHeight="true" outlineLevel="0" collapsed="false">
      <c r="A628" s="75" t="n">
        <v>2809240</v>
      </c>
      <c r="B628" s="75" t="s">
        <v>2166</v>
      </c>
      <c r="C628" s="75" t="n">
        <v>2024</v>
      </c>
      <c r="D628" s="76" t="n">
        <v>24.99</v>
      </c>
      <c r="E628" s="77" t="n">
        <v>366</v>
      </c>
      <c r="F628" s="75" t="n">
        <v>71</v>
      </c>
      <c r="G628" s="75" t="s">
        <v>2167</v>
      </c>
      <c r="H628" s="75" t="s">
        <v>2168</v>
      </c>
    </row>
    <row r="629" customFormat="false" ht="15" hidden="false" customHeight="true" outlineLevel="0" collapsed="false">
      <c r="A629" s="72" t="n">
        <v>2821380</v>
      </c>
      <c r="B629" s="72" t="s">
        <v>2169</v>
      </c>
      <c r="C629" s="72" t="n">
        <v>2025</v>
      </c>
      <c r="D629" s="73" t="n">
        <v>1.99</v>
      </c>
      <c r="E629" s="74" t="n">
        <v>366</v>
      </c>
      <c r="F629" s="72" t="n">
        <v>76</v>
      </c>
      <c r="G629" s="72" t="s">
        <v>2170</v>
      </c>
      <c r="H629" s="72" t="s">
        <v>2171</v>
      </c>
    </row>
    <row r="630" customFormat="false" ht="15" hidden="false" customHeight="true" outlineLevel="0" collapsed="false">
      <c r="A630" s="75" t="n">
        <v>2510680</v>
      </c>
      <c r="B630" s="75" t="s">
        <v>2172</v>
      </c>
      <c r="C630" s="75" t="n">
        <v>2023</v>
      </c>
      <c r="D630" s="76" t="n">
        <v>3.99</v>
      </c>
      <c r="E630" s="77" t="n">
        <v>365</v>
      </c>
      <c r="F630" s="75" t="n">
        <v>100</v>
      </c>
      <c r="G630" s="75" t="s">
        <v>2173</v>
      </c>
      <c r="H630" s="75" t="s">
        <v>2174</v>
      </c>
    </row>
    <row r="631" customFormat="false" ht="15" hidden="false" customHeight="true" outlineLevel="0" collapsed="false">
      <c r="A631" s="72" t="n">
        <v>3938190</v>
      </c>
      <c r="B631" s="72" t="s">
        <v>2175</v>
      </c>
      <c r="C631" s="72" t="n">
        <v>2025</v>
      </c>
      <c r="D631" s="73" t="n">
        <v>11.95</v>
      </c>
      <c r="E631" s="74" t="n">
        <v>363</v>
      </c>
      <c r="F631" s="72" t="n">
        <v>92</v>
      </c>
      <c r="G631" s="72" t="s">
        <v>2176</v>
      </c>
      <c r="H631" s="72" t="s">
        <v>2177</v>
      </c>
    </row>
    <row r="632" customFormat="false" ht="15" hidden="false" customHeight="true" outlineLevel="0" collapsed="false">
      <c r="A632" s="75" t="n">
        <v>2782540</v>
      </c>
      <c r="B632" s="75" t="s">
        <v>2178</v>
      </c>
      <c r="C632" s="75" t="n">
        <v>2024</v>
      </c>
      <c r="D632" s="76" t="n">
        <v>9.99</v>
      </c>
      <c r="E632" s="77" t="n">
        <v>353</v>
      </c>
      <c r="F632" s="75" t="n">
        <v>89</v>
      </c>
      <c r="G632" s="75" t="s">
        <v>2179</v>
      </c>
      <c r="H632" s="75" t="s">
        <v>2180</v>
      </c>
    </row>
    <row r="633" customFormat="false" ht="15" hidden="false" customHeight="true" outlineLevel="0" collapsed="false">
      <c r="A633" s="72" t="n">
        <v>2892060</v>
      </c>
      <c r="B633" s="72" t="s">
        <v>2181</v>
      </c>
      <c r="C633" s="72" t="n">
        <v>2025</v>
      </c>
      <c r="D633" s="73" t="n">
        <v>14.99</v>
      </c>
      <c r="E633" s="74" t="n">
        <v>350</v>
      </c>
      <c r="F633" s="72" t="n">
        <v>73</v>
      </c>
      <c r="G633" s="72" t="s">
        <v>2182</v>
      </c>
      <c r="H633" s="72" t="s">
        <v>2183</v>
      </c>
    </row>
    <row r="634" customFormat="false" ht="15" hidden="false" customHeight="true" outlineLevel="0" collapsed="false">
      <c r="A634" s="75" t="n">
        <v>1410140</v>
      </c>
      <c r="B634" s="75" t="s">
        <v>2184</v>
      </c>
      <c r="C634" s="75" t="n">
        <v>2021</v>
      </c>
      <c r="D634" s="76" t="n">
        <v>9.99</v>
      </c>
      <c r="E634" s="77" t="n">
        <v>342</v>
      </c>
      <c r="F634" s="75" t="n">
        <v>87</v>
      </c>
      <c r="G634" s="75" t="s">
        <v>2185</v>
      </c>
      <c r="H634" s="75" t="s">
        <v>2186</v>
      </c>
    </row>
    <row r="635" customFormat="false" ht="15" hidden="false" customHeight="true" outlineLevel="0" collapsed="false">
      <c r="A635" s="72" t="n">
        <v>2945350</v>
      </c>
      <c r="B635" s="72" t="s">
        <v>407</v>
      </c>
      <c r="C635" s="72" t="n">
        <v>2024</v>
      </c>
      <c r="D635" s="73" t="n">
        <v>5.99</v>
      </c>
      <c r="E635" s="74" t="n">
        <v>340</v>
      </c>
      <c r="F635" s="72" t="n">
        <v>92</v>
      </c>
      <c r="G635" s="72" t="s">
        <v>2187</v>
      </c>
      <c r="H635" s="72" t="s">
        <v>2188</v>
      </c>
    </row>
    <row r="636" customFormat="false" ht="15" hidden="false" customHeight="true" outlineLevel="0" collapsed="false">
      <c r="A636" s="75" t="n">
        <v>4802350</v>
      </c>
      <c r="B636" s="75" t="s">
        <v>2189</v>
      </c>
      <c r="C636" s="75" t="n">
        <v>2026</v>
      </c>
      <c r="D636" s="76" t="n">
        <v>4.99</v>
      </c>
      <c r="E636" s="77" t="n">
        <v>339</v>
      </c>
      <c r="F636" s="75" t="n">
        <v>100</v>
      </c>
      <c r="G636" s="75" t="s">
        <v>2190</v>
      </c>
      <c r="H636" s="75" t="s">
        <v>2191</v>
      </c>
    </row>
    <row r="637" customFormat="false" ht="15" hidden="false" customHeight="true" outlineLevel="0" collapsed="false">
      <c r="A637" s="72" t="n">
        <v>1768530</v>
      </c>
      <c r="B637" s="72" t="s">
        <v>386</v>
      </c>
      <c r="C637" s="72" t="n">
        <v>2022</v>
      </c>
      <c r="D637" s="73" t="n">
        <v>8.99</v>
      </c>
      <c r="E637" s="74" t="n">
        <v>336</v>
      </c>
      <c r="F637" s="72" t="n">
        <v>77</v>
      </c>
      <c r="G637" s="72" t="s">
        <v>2192</v>
      </c>
      <c r="H637" s="72" t="s">
        <v>2193</v>
      </c>
    </row>
    <row r="638" customFormat="false" ht="15" hidden="false" customHeight="true" outlineLevel="0" collapsed="false">
      <c r="A638" s="75" t="n">
        <v>4537600</v>
      </c>
      <c r="B638" s="75" t="s">
        <v>403</v>
      </c>
      <c r="C638" s="75" t="n">
        <v>2026</v>
      </c>
      <c r="D638" s="76" t="n">
        <v>4.99</v>
      </c>
      <c r="E638" s="77" t="n">
        <v>336</v>
      </c>
      <c r="F638" s="75" t="n">
        <v>100</v>
      </c>
      <c r="G638" s="75" t="s">
        <v>2194</v>
      </c>
      <c r="H638" s="75" t="s">
        <v>2195</v>
      </c>
    </row>
    <row r="639" customFormat="false" ht="15" hidden="false" customHeight="true" outlineLevel="0" collapsed="false">
      <c r="A639" s="72" t="n">
        <v>3225730</v>
      </c>
      <c r="B639" s="72" t="s">
        <v>2196</v>
      </c>
      <c r="C639" s="72" t="n">
        <v>2026</v>
      </c>
      <c r="D639" s="73" t="n">
        <v>4.99</v>
      </c>
      <c r="E639" s="74" t="n">
        <v>334</v>
      </c>
      <c r="F639" s="72" t="n">
        <v>95</v>
      </c>
      <c r="G639" s="72" t="s">
        <v>2197</v>
      </c>
      <c r="H639" s="72" t="s">
        <v>2198</v>
      </c>
    </row>
    <row r="640" customFormat="false" ht="15" hidden="false" customHeight="true" outlineLevel="0" collapsed="false">
      <c r="A640" s="75" t="n">
        <v>4005490</v>
      </c>
      <c r="B640" s="75" t="s">
        <v>2199</v>
      </c>
      <c r="C640" s="75" t="n">
        <v>2026</v>
      </c>
      <c r="D640" s="76" t="n">
        <v>0</v>
      </c>
      <c r="E640" s="77" t="n">
        <v>334</v>
      </c>
      <c r="F640" s="75" t="n">
        <v>22</v>
      </c>
      <c r="G640" s="75" t="s">
        <v>2200</v>
      </c>
      <c r="H640" s="75" t="s">
        <v>2201</v>
      </c>
    </row>
    <row r="641" customFormat="false" ht="15" hidden="false" customHeight="true" outlineLevel="0" collapsed="false">
      <c r="A641" s="72" t="n">
        <v>3902340</v>
      </c>
      <c r="B641" s="72" t="s">
        <v>2202</v>
      </c>
      <c r="C641" s="72" t="n">
        <v>2026</v>
      </c>
      <c r="D641" s="73" t="n">
        <v>14.99</v>
      </c>
      <c r="E641" s="74" t="n">
        <v>327</v>
      </c>
      <c r="F641" s="72" t="n">
        <v>100</v>
      </c>
      <c r="G641" s="72" t="s">
        <v>2203</v>
      </c>
      <c r="H641" s="72" t="s">
        <v>2204</v>
      </c>
    </row>
    <row r="642" customFormat="false" ht="15" hidden="false" customHeight="true" outlineLevel="0" collapsed="false">
      <c r="A642" s="75" t="n">
        <v>3624300</v>
      </c>
      <c r="B642" s="75" t="s">
        <v>2205</v>
      </c>
      <c r="C642" s="75" t="n">
        <v>2025</v>
      </c>
      <c r="D642" s="76" t="n">
        <v>7.99</v>
      </c>
      <c r="E642" s="77" t="n">
        <v>324</v>
      </c>
      <c r="F642" s="75" t="n">
        <v>100</v>
      </c>
      <c r="G642" s="75" t="s">
        <v>2206</v>
      </c>
      <c r="H642" s="75" t="s">
        <v>2207</v>
      </c>
    </row>
    <row r="643" customFormat="false" ht="15" hidden="false" customHeight="true" outlineLevel="0" collapsed="false">
      <c r="A643" s="72" t="n">
        <v>4439050</v>
      </c>
      <c r="B643" s="72" t="s">
        <v>2208</v>
      </c>
      <c r="C643" s="72" t="n">
        <v>2026</v>
      </c>
      <c r="D643" s="73" t="n">
        <v>0</v>
      </c>
      <c r="E643" s="74" t="n">
        <v>324</v>
      </c>
      <c r="F643" s="72" t="n">
        <v>71</v>
      </c>
      <c r="G643" s="72" t="s">
        <v>2209</v>
      </c>
      <c r="H643" s="72" t="s">
        <v>2210</v>
      </c>
    </row>
    <row r="644" customFormat="false" ht="15" hidden="false" customHeight="true" outlineLevel="0" collapsed="false">
      <c r="A644" s="75" t="n">
        <v>3380700</v>
      </c>
      <c r="B644" s="75" t="s">
        <v>2211</v>
      </c>
      <c r="C644" s="75" t="n">
        <v>2026</v>
      </c>
      <c r="D644" s="76" t="n">
        <v>7.99</v>
      </c>
      <c r="E644" s="77" t="n">
        <v>323</v>
      </c>
      <c r="F644" s="75" t="n">
        <v>100</v>
      </c>
      <c r="G644" s="75" t="s">
        <v>2212</v>
      </c>
      <c r="H644" s="75" t="s">
        <v>2213</v>
      </c>
    </row>
    <row r="645" customFormat="false" ht="15" hidden="false" customHeight="true" outlineLevel="0" collapsed="false">
      <c r="A645" s="72" t="n">
        <v>2996150</v>
      </c>
      <c r="B645" s="72" t="s">
        <v>2214</v>
      </c>
      <c r="C645" s="72" t="n">
        <v>2026</v>
      </c>
      <c r="D645" s="73" t="n">
        <v>12.99</v>
      </c>
      <c r="E645" s="74" t="n">
        <v>322</v>
      </c>
      <c r="F645" s="72" t="n">
        <v>94</v>
      </c>
      <c r="G645" s="72" t="s">
        <v>2215</v>
      </c>
      <c r="H645" s="72" t="s">
        <v>2216</v>
      </c>
    </row>
    <row r="646" customFormat="false" ht="15" hidden="false" customHeight="true" outlineLevel="0" collapsed="false">
      <c r="A646" s="75" t="n">
        <v>2620530</v>
      </c>
      <c r="B646" s="75" t="s">
        <v>2217</v>
      </c>
      <c r="C646" s="75" t="n">
        <v>2024</v>
      </c>
      <c r="D646" s="76" t="n">
        <v>19.99</v>
      </c>
      <c r="E646" s="77" t="n">
        <v>317</v>
      </c>
      <c r="F646" s="75" t="n">
        <v>95</v>
      </c>
      <c r="G646" s="75" t="s">
        <v>2218</v>
      </c>
      <c r="H646" s="75" t="s">
        <v>2219</v>
      </c>
    </row>
    <row r="647" customFormat="false" ht="15" hidden="false" customHeight="true" outlineLevel="0" collapsed="false">
      <c r="A647" s="72" t="n">
        <v>1827640</v>
      </c>
      <c r="B647" s="72" t="s">
        <v>2220</v>
      </c>
      <c r="C647" s="72" t="n">
        <v>2024</v>
      </c>
      <c r="D647" s="73" t="n">
        <v>6.99</v>
      </c>
      <c r="E647" s="74" t="n">
        <v>316</v>
      </c>
      <c r="F647" s="72" t="n">
        <v>69</v>
      </c>
      <c r="G647" s="72" t="s">
        <v>2221</v>
      </c>
      <c r="H647" s="72" t="s">
        <v>2222</v>
      </c>
    </row>
    <row r="648" customFormat="false" ht="15" hidden="false" customHeight="true" outlineLevel="0" collapsed="false">
      <c r="A648" s="75" t="n">
        <v>3658250</v>
      </c>
      <c r="B648" s="75" t="s">
        <v>2223</v>
      </c>
      <c r="C648" s="75" t="n">
        <v>2026</v>
      </c>
      <c r="D648" s="76" t="n">
        <v>14.99</v>
      </c>
      <c r="E648" s="77" t="n">
        <v>315</v>
      </c>
      <c r="F648" s="75" t="n">
        <v>86</v>
      </c>
      <c r="G648" s="75" t="s">
        <v>2224</v>
      </c>
      <c r="H648" s="75" t="s">
        <v>2225</v>
      </c>
    </row>
    <row r="649" customFormat="false" ht="15" hidden="false" customHeight="true" outlineLevel="0" collapsed="false">
      <c r="A649" s="72" t="n">
        <v>4165060</v>
      </c>
      <c r="B649" s="72" t="s">
        <v>2226</v>
      </c>
      <c r="C649" s="72" t="n">
        <v>2026</v>
      </c>
      <c r="D649" s="73" t="n">
        <v>5.99</v>
      </c>
      <c r="E649" s="74" t="n">
        <v>315</v>
      </c>
      <c r="F649" s="72" t="n">
        <v>64</v>
      </c>
      <c r="G649" s="72" t="s">
        <v>2227</v>
      </c>
      <c r="H649" s="72" t="s">
        <v>2228</v>
      </c>
    </row>
    <row r="650" customFormat="false" ht="15" hidden="false" customHeight="true" outlineLevel="0" collapsed="false">
      <c r="A650" s="75" t="n">
        <v>4090730</v>
      </c>
      <c r="B650" s="75" t="s">
        <v>2229</v>
      </c>
      <c r="C650" s="75" t="n">
        <v>2025</v>
      </c>
      <c r="D650" s="76" t="n">
        <v>9.99</v>
      </c>
      <c r="E650" s="77" t="n">
        <v>314</v>
      </c>
      <c r="F650" s="75" t="n">
        <v>93</v>
      </c>
      <c r="G650" s="75" t="s">
        <v>2230</v>
      </c>
      <c r="H650" s="75" t="s">
        <v>2231</v>
      </c>
    </row>
    <row r="651" customFormat="false" ht="15" hidden="false" customHeight="true" outlineLevel="0" collapsed="false">
      <c r="A651" s="72" t="n">
        <v>2529010</v>
      </c>
      <c r="B651" s="72" t="s">
        <v>2232</v>
      </c>
      <c r="C651" s="72" t="n">
        <v>2026</v>
      </c>
      <c r="D651" s="73" t="n">
        <v>0</v>
      </c>
      <c r="E651" s="74" t="n">
        <v>312</v>
      </c>
      <c r="F651" s="72" t="n">
        <v>50</v>
      </c>
      <c r="G651" s="72" t="s">
        <v>1162</v>
      </c>
      <c r="H651" s="72" t="s">
        <v>2233</v>
      </c>
    </row>
    <row r="652" customFormat="false" ht="15" hidden="false" customHeight="true" outlineLevel="0" collapsed="false">
      <c r="A652" s="75" t="n">
        <v>3319720</v>
      </c>
      <c r="B652" s="75" t="s">
        <v>411</v>
      </c>
      <c r="C652" s="75" t="n">
        <v>2025</v>
      </c>
      <c r="D652" s="76" t="n">
        <v>5.99</v>
      </c>
      <c r="E652" s="77" t="n">
        <v>310</v>
      </c>
      <c r="F652" s="75" t="n">
        <v>89</v>
      </c>
      <c r="G652" s="75" t="s">
        <v>2234</v>
      </c>
      <c r="H652" s="75" t="s">
        <v>2235</v>
      </c>
    </row>
    <row r="653" customFormat="false" ht="15" hidden="false" customHeight="true" outlineLevel="0" collapsed="false">
      <c r="A653" s="72" t="n">
        <v>3889600</v>
      </c>
      <c r="B653" s="72" t="s">
        <v>2236</v>
      </c>
      <c r="C653" s="72" t="n">
        <v>2025</v>
      </c>
      <c r="D653" s="73" t="n">
        <v>6.99</v>
      </c>
      <c r="E653" s="74" t="n">
        <v>309</v>
      </c>
      <c r="F653" s="72" t="n">
        <v>100</v>
      </c>
      <c r="G653" s="72" t="s">
        <v>2237</v>
      </c>
      <c r="H653" s="72" t="s">
        <v>2238</v>
      </c>
    </row>
    <row r="654" customFormat="false" ht="15" hidden="false" customHeight="true" outlineLevel="0" collapsed="false">
      <c r="A654" s="75" t="n">
        <v>3608900</v>
      </c>
      <c r="B654" s="75" t="s">
        <v>2239</v>
      </c>
      <c r="C654" s="75" t="n">
        <v>2026</v>
      </c>
      <c r="D654" s="76" t="n">
        <v>19.99</v>
      </c>
      <c r="E654" s="77" t="n">
        <v>304</v>
      </c>
      <c r="F654" s="75" t="n">
        <v>100</v>
      </c>
      <c r="G654" s="75" t="s">
        <v>2240</v>
      </c>
      <c r="H654" s="75" t="s">
        <v>2241</v>
      </c>
    </row>
    <row r="655" customFormat="false" ht="15" hidden="false" customHeight="true" outlineLevel="0" collapsed="false">
      <c r="A655" s="72" t="n">
        <v>3458600</v>
      </c>
      <c r="B655" s="72" t="s">
        <v>2242</v>
      </c>
      <c r="C655" s="72" t="n">
        <v>2025</v>
      </c>
      <c r="D655" s="73" t="n">
        <v>9.99</v>
      </c>
      <c r="E655" s="74" t="n">
        <v>301</v>
      </c>
      <c r="F655" s="72" t="n">
        <v>100</v>
      </c>
      <c r="G655" s="72" t="s">
        <v>2243</v>
      </c>
      <c r="H655" s="72" t="s">
        <v>2244</v>
      </c>
    </row>
    <row r="656" customFormat="false" ht="15" hidden="false" customHeight="true" outlineLevel="0" collapsed="false">
      <c r="A656" s="75" t="n">
        <v>2730820</v>
      </c>
      <c r="B656" s="75" t="s">
        <v>2245</v>
      </c>
      <c r="C656" s="75" t="n">
        <v>2026</v>
      </c>
      <c r="D656" s="76" t="n">
        <v>8.99</v>
      </c>
      <c r="E656" s="77" t="n">
        <v>300</v>
      </c>
      <c r="F656" s="75" t="n">
        <v>91</v>
      </c>
      <c r="G656" s="75" t="s">
        <v>2246</v>
      </c>
      <c r="H656" s="75" t="s">
        <v>2247</v>
      </c>
    </row>
    <row r="657" customFormat="false" ht="15" hidden="false" customHeight="true" outlineLevel="0" collapsed="false">
      <c r="A657" s="72" t="n">
        <v>3941030</v>
      </c>
      <c r="B657" s="72" t="s">
        <v>2248</v>
      </c>
      <c r="C657" s="72" t="n">
        <v>2026</v>
      </c>
      <c r="D657" s="73" t="n">
        <v>4</v>
      </c>
      <c r="E657" s="74" t="n">
        <v>300</v>
      </c>
      <c r="F657" s="72" t="n">
        <v>100</v>
      </c>
      <c r="G657" s="72" t="s">
        <v>2249</v>
      </c>
      <c r="H657" s="72" t="s">
        <v>2250</v>
      </c>
    </row>
    <row r="658" customFormat="false" ht="15" hidden="false" customHeight="true" outlineLevel="0" collapsed="false">
      <c r="A658" s="75" t="n">
        <v>1440350</v>
      </c>
      <c r="B658" s="75" t="s">
        <v>2251</v>
      </c>
      <c r="C658" s="75" t="n">
        <v>2020</v>
      </c>
      <c r="D658" s="76" t="n">
        <v>9.99</v>
      </c>
      <c r="E658" s="77" t="n">
        <v>295</v>
      </c>
      <c r="F658" s="75" t="n">
        <v>95</v>
      </c>
      <c r="G658" s="75" t="s">
        <v>2252</v>
      </c>
      <c r="H658" s="75" t="s">
        <v>2253</v>
      </c>
    </row>
    <row r="659" customFormat="false" ht="15" hidden="false" customHeight="true" outlineLevel="0" collapsed="false">
      <c r="A659" s="72" t="n">
        <v>2822690</v>
      </c>
      <c r="B659" s="72" t="s">
        <v>2254</v>
      </c>
      <c r="C659" s="72" t="n">
        <v>2026</v>
      </c>
      <c r="D659" s="73" t="n">
        <v>6.99</v>
      </c>
      <c r="E659" s="74" t="n">
        <v>295</v>
      </c>
      <c r="F659" s="72" t="n">
        <v>100</v>
      </c>
      <c r="G659" s="72" t="s">
        <v>2255</v>
      </c>
      <c r="H659" s="72" t="s">
        <v>2256</v>
      </c>
    </row>
    <row r="660" customFormat="false" ht="15" hidden="false" customHeight="true" outlineLevel="0" collapsed="false">
      <c r="A660" s="75" t="n">
        <v>2665030</v>
      </c>
      <c r="B660" s="75" t="s">
        <v>2257</v>
      </c>
      <c r="C660" s="75" t="n">
        <v>2024</v>
      </c>
      <c r="D660" s="76" t="n">
        <v>3.99</v>
      </c>
      <c r="E660" s="77" t="n">
        <v>295</v>
      </c>
      <c r="F660" s="75" t="n">
        <v>78</v>
      </c>
      <c r="G660" s="75" t="s">
        <v>2258</v>
      </c>
      <c r="H660" s="75" t="s">
        <v>2259</v>
      </c>
    </row>
    <row r="661" customFormat="false" ht="15" hidden="false" customHeight="true" outlineLevel="0" collapsed="false">
      <c r="A661" s="72" t="n">
        <v>2456130</v>
      </c>
      <c r="B661" s="72" t="s">
        <v>2260</v>
      </c>
      <c r="C661" s="72" t="n">
        <v>2023</v>
      </c>
      <c r="D661" s="73" t="n">
        <v>2.99</v>
      </c>
      <c r="E661" s="74" t="n">
        <v>294</v>
      </c>
      <c r="F661" s="72" t="n">
        <v>86</v>
      </c>
      <c r="G661" s="72" t="s">
        <v>2261</v>
      </c>
      <c r="H661" s="72" t="s">
        <v>2262</v>
      </c>
    </row>
    <row r="662" customFormat="false" ht="15" hidden="false" customHeight="true" outlineLevel="0" collapsed="false">
      <c r="A662" s="75" t="n">
        <v>3063960</v>
      </c>
      <c r="B662" s="75" t="s">
        <v>2263</v>
      </c>
      <c r="C662" s="75" t="n">
        <v>2024</v>
      </c>
      <c r="D662" s="76" t="n">
        <v>3.99</v>
      </c>
      <c r="E662" s="77" t="n">
        <v>286</v>
      </c>
      <c r="F662" s="75" t="n">
        <v>75</v>
      </c>
      <c r="G662" s="75" t="s">
        <v>2264</v>
      </c>
      <c r="H662" s="75" t="s">
        <v>2265</v>
      </c>
    </row>
    <row r="663" customFormat="false" ht="15" hidden="false" customHeight="true" outlineLevel="0" collapsed="false">
      <c r="A663" s="72" t="n">
        <v>2971390</v>
      </c>
      <c r="B663" s="72" t="s">
        <v>2266</v>
      </c>
      <c r="C663" s="72" t="n">
        <v>2024</v>
      </c>
      <c r="D663" s="73" t="n">
        <v>10.99</v>
      </c>
      <c r="E663" s="74" t="n">
        <v>285</v>
      </c>
      <c r="F663" s="72" t="n">
        <v>95</v>
      </c>
      <c r="G663" s="72" t="s">
        <v>2267</v>
      </c>
      <c r="H663" s="72" t="s">
        <v>2268</v>
      </c>
    </row>
    <row r="664" customFormat="false" ht="15" hidden="false" customHeight="true" outlineLevel="0" collapsed="false">
      <c r="A664" s="75" t="n">
        <v>4152060</v>
      </c>
      <c r="B664" s="75" t="s">
        <v>2269</v>
      </c>
      <c r="C664" s="75" t="n">
        <v>2025</v>
      </c>
      <c r="D664" s="76" t="n">
        <v>0</v>
      </c>
      <c r="E664" s="77" t="n">
        <v>285</v>
      </c>
      <c r="F664" s="75" t="n">
        <v>100</v>
      </c>
      <c r="G664" s="75" t="s">
        <v>2270</v>
      </c>
      <c r="H664" s="75" t="s">
        <v>2271</v>
      </c>
    </row>
    <row r="665" customFormat="false" ht="15" hidden="false" customHeight="true" outlineLevel="0" collapsed="false">
      <c r="A665" s="72" t="n">
        <v>3155780</v>
      </c>
      <c r="B665" s="72" t="s">
        <v>2272</v>
      </c>
      <c r="C665" s="72" t="n">
        <v>2024</v>
      </c>
      <c r="D665" s="73" t="n">
        <v>6.99</v>
      </c>
      <c r="E665" s="74" t="n">
        <v>280</v>
      </c>
      <c r="F665" s="72" t="n">
        <v>81</v>
      </c>
      <c r="G665" s="72" t="s">
        <v>2273</v>
      </c>
      <c r="H665" s="72" t="s">
        <v>2274</v>
      </c>
    </row>
    <row r="666" customFormat="false" ht="15" hidden="false" customHeight="true" outlineLevel="0" collapsed="false">
      <c r="A666" s="75" t="n">
        <v>3043320</v>
      </c>
      <c r="B666" s="75" t="s">
        <v>2275</v>
      </c>
      <c r="C666" s="75" t="n">
        <v>2025</v>
      </c>
      <c r="D666" s="76" t="n">
        <v>9.99</v>
      </c>
      <c r="E666" s="77" t="n">
        <v>278</v>
      </c>
      <c r="F666" s="75" t="n">
        <v>100</v>
      </c>
      <c r="G666" s="75" t="s">
        <v>2276</v>
      </c>
      <c r="H666" s="75" t="s">
        <v>2277</v>
      </c>
    </row>
    <row r="667" customFormat="false" ht="15" hidden="false" customHeight="true" outlineLevel="0" collapsed="false">
      <c r="A667" s="72" t="n">
        <v>3215240</v>
      </c>
      <c r="B667" s="72" t="s">
        <v>320</v>
      </c>
      <c r="C667" s="72" t="n">
        <v>2025</v>
      </c>
      <c r="D667" s="73" t="n">
        <v>9.99</v>
      </c>
      <c r="E667" s="74" t="n">
        <v>275</v>
      </c>
      <c r="F667" s="72" t="n">
        <v>89</v>
      </c>
      <c r="G667" s="72" t="s">
        <v>2278</v>
      </c>
      <c r="H667" s="72" t="s">
        <v>2279</v>
      </c>
    </row>
    <row r="668" customFormat="false" ht="15" hidden="false" customHeight="true" outlineLevel="0" collapsed="false">
      <c r="A668" s="75" t="n">
        <v>4002350</v>
      </c>
      <c r="B668" s="75" t="s">
        <v>2280</v>
      </c>
      <c r="C668" s="75" t="n">
        <v>2026</v>
      </c>
      <c r="D668" s="76" t="n">
        <v>4.99</v>
      </c>
      <c r="E668" s="77" t="n">
        <v>270</v>
      </c>
      <c r="F668" s="75" t="n">
        <v>73</v>
      </c>
      <c r="G668" s="75" t="s">
        <v>2281</v>
      </c>
      <c r="H668" s="75" t="s">
        <v>2282</v>
      </c>
    </row>
    <row r="669" customFormat="false" ht="15" hidden="false" customHeight="true" outlineLevel="0" collapsed="false">
      <c r="A669" s="72" t="n">
        <v>2633860</v>
      </c>
      <c r="B669" s="72" t="s">
        <v>2283</v>
      </c>
      <c r="C669" s="72" t="n">
        <v>2024</v>
      </c>
      <c r="D669" s="73" t="n">
        <v>9.99</v>
      </c>
      <c r="E669" s="74" t="n">
        <v>267</v>
      </c>
      <c r="F669" s="72" t="n">
        <v>63</v>
      </c>
      <c r="G669" s="72" t="s">
        <v>2284</v>
      </c>
      <c r="H669" s="72" t="s">
        <v>2285</v>
      </c>
    </row>
    <row r="670" customFormat="false" ht="15" hidden="false" customHeight="true" outlineLevel="0" collapsed="false">
      <c r="A670" s="75" t="n">
        <v>4333220</v>
      </c>
      <c r="B670" s="75" t="s">
        <v>2286</v>
      </c>
      <c r="C670" s="75" t="n">
        <v>2026</v>
      </c>
      <c r="D670" s="76" t="n">
        <v>2.99</v>
      </c>
      <c r="E670" s="77" t="n">
        <v>266</v>
      </c>
      <c r="F670" s="75" t="n">
        <v>90</v>
      </c>
      <c r="G670" s="75" t="s">
        <v>2287</v>
      </c>
      <c r="H670" s="75" t="s">
        <v>2288</v>
      </c>
    </row>
    <row r="671" customFormat="false" ht="15" hidden="false" customHeight="true" outlineLevel="0" collapsed="false">
      <c r="A671" s="72" t="n">
        <v>3705150</v>
      </c>
      <c r="B671" s="72" t="s">
        <v>2289</v>
      </c>
      <c r="C671" s="72" t="n">
        <v>2026</v>
      </c>
      <c r="D671" s="73" t="n">
        <v>14.99</v>
      </c>
      <c r="E671" s="74" t="n">
        <v>261</v>
      </c>
      <c r="F671" s="72" t="n">
        <v>100</v>
      </c>
      <c r="G671" s="72" t="s">
        <v>2290</v>
      </c>
      <c r="H671" s="72" t="s">
        <v>2291</v>
      </c>
    </row>
    <row r="672" customFormat="false" ht="15" hidden="false" customHeight="true" outlineLevel="0" collapsed="false">
      <c r="A672" s="75" t="n">
        <v>2473410</v>
      </c>
      <c r="B672" s="75" t="s">
        <v>2292</v>
      </c>
      <c r="C672" s="75" t="n">
        <v>2026</v>
      </c>
      <c r="D672" s="76" t="n">
        <v>9.99</v>
      </c>
      <c r="E672" s="77" t="n">
        <v>260</v>
      </c>
      <c r="F672" s="75" t="n">
        <v>67</v>
      </c>
      <c r="G672" s="75" t="s">
        <v>2293</v>
      </c>
      <c r="H672" s="75" t="s">
        <v>2294</v>
      </c>
    </row>
    <row r="673" customFormat="false" ht="15" hidden="false" customHeight="true" outlineLevel="0" collapsed="false">
      <c r="A673" s="72" t="n">
        <v>3126090</v>
      </c>
      <c r="B673" s="72" t="s">
        <v>2295</v>
      </c>
      <c r="C673" s="72" t="n">
        <v>2025</v>
      </c>
      <c r="D673" s="73" t="n">
        <v>9.99</v>
      </c>
      <c r="E673" s="74" t="n">
        <v>256</v>
      </c>
      <c r="F673" s="72" t="n">
        <v>86</v>
      </c>
      <c r="G673" s="72" t="s">
        <v>2296</v>
      </c>
      <c r="H673" s="72" t="s">
        <v>2297</v>
      </c>
    </row>
    <row r="674" customFormat="false" ht="15" hidden="false" customHeight="true" outlineLevel="0" collapsed="false">
      <c r="A674" s="75" t="n">
        <v>4134230</v>
      </c>
      <c r="B674" s="75" t="s">
        <v>2298</v>
      </c>
      <c r="C674" s="75" t="n">
        <v>2026</v>
      </c>
      <c r="D674" s="76" t="n">
        <v>5.99</v>
      </c>
      <c r="E674" s="77" t="n">
        <v>254</v>
      </c>
      <c r="F674" s="75" t="n">
        <v>71</v>
      </c>
      <c r="G674" s="75" t="s">
        <v>2299</v>
      </c>
      <c r="H674" s="75" t="s">
        <v>2300</v>
      </c>
    </row>
    <row r="675" customFormat="false" ht="15" hidden="false" customHeight="true" outlineLevel="0" collapsed="false">
      <c r="A675" s="72" t="n">
        <v>2631650</v>
      </c>
      <c r="B675" s="72" t="s">
        <v>336</v>
      </c>
      <c r="C675" s="72" t="n">
        <v>2025</v>
      </c>
      <c r="D675" s="73" t="n">
        <v>19.99</v>
      </c>
      <c r="E675" s="74" t="n">
        <v>250</v>
      </c>
      <c r="F675" s="72" t="n">
        <v>0</v>
      </c>
      <c r="G675" s="72" t="s">
        <v>2301</v>
      </c>
      <c r="H675" s="72" t="s">
        <v>2302</v>
      </c>
    </row>
    <row r="676" customFormat="false" ht="15" hidden="false" customHeight="true" outlineLevel="0" collapsed="false">
      <c r="A676" s="75" t="n">
        <v>2153900</v>
      </c>
      <c r="B676" s="75" t="s">
        <v>2303</v>
      </c>
      <c r="C676" s="75" t="n">
        <v>2023</v>
      </c>
      <c r="D676" s="76" t="n">
        <v>0.99</v>
      </c>
      <c r="E676" s="77" t="n">
        <v>250</v>
      </c>
      <c r="F676" s="75" t="n">
        <v>70</v>
      </c>
      <c r="G676" s="75" t="s">
        <v>2304</v>
      </c>
      <c r="H676" s="75" t="s">
        <v>2305</v>
      </c>
    </row>
    <row r="677" customFormat="false" ht="15" hidden="false" customHeight="true" outlineLevel="0" collapsed="false">
      <c r="A677" s="72" t="n">
        <v>2975040</v>
      </c>
      <c r="B677" s="72" t="s">
        <v>2306</v>
      </c>
      <c r="C677" s="72" t="n">
        <v>2026</v>
      </c>
      <c r="D677" s="73" t="n">
        <v>4.99</v>
      </c>
      <c r="E677" s="74" t="n">
        <v>249</v>
      </c>
      <c r="F677" s="72" t="n">
        <v>91</v>
      </c>
      <c r="G677" s="72" t="s">
        <v>2307</v>
      </c>
      <c r="H677" s="72" t="s">
        <v>2308</v>
      </c>
    </row>
    <row r="678" customFormat="false" ht="15" hidden="false" customHeight="true" outlineLevel="0" collapsed="false">
      <c r="A678" s="75" t="n">
        <v>4023970</v>
      </c>
      <c r="B678" s="75" t="s">
        <v>2309</v>
      </c>
      <c r="C678" s="75" t="n">
        <v>2026</v>
      </c>
      <c r="D678" s="76" t="n">
        <v>7.99</v>
      </c>
      <c r="E678" s="77" t="n">
        <v>246</v>
      </c>
      <c r="F678" s="75" t="n">
        <v>100</v>
      </c>
      <c r="G678" s="75" t="s">
        <v>2310</v>
      </c>
      <c r="H678" s="75" t="s">
        <v>2311</v>
      </c>
    </row>
    <row r="679" customFormat="false" ht="15" hidden="false" customHeight="true" outlineLevel="0" collapsed="false">
      <c r="A679" s="72" t="n">
        <v>3813260</v>
      </c>
      <c r="B679" s="72" t="s">
        <v>2312</v>
      </c>
      <c r="C679" s="72" t="n">
        <v>2025</v>
      </c>
      <c r="D679" s="73" t="n">
        <v>2.99</v>
      </c>
      <c r="E679" s="74" t="n">
        <v>245</v>
      </c>
      <c r="F679" s="72" t="n">
        <v>94</v>
      </c>
      <c r="G679" s="72" t="s">
        <v>2313</v>
      </c>
      <c r="H679" s="72" t="s">
        <v>2314</v>
      </c>
    </row>
    <row r="680" customFormat="false" ht="15" hidden="false" customHeight="true" outlineLevel="0" collapsed="false">
      <c r="A680" s="75" t="n">
        <v>3232520</v>
      </c>
      <c r="B680" s="75" t="s">
        <v>2315</v>
      </c>
      <c r="C680" s="75" t="n">
        <v>2025</v>
      </c>
      <c r="D680" s="76" t="n">
        <v>7.99</v>
      </c>
      <c r="E680" s="77" t="n">
        <v>240</v>
      </c>
      <c r="F680" s="75" t="n">
        <v>77</v>
      </c>
      <c r="G680" s="75" t="s">
        <v>2316</v>
      </c>
      <c r="H680" s="75" t="s">
        <v>2317</v>
      </c>
    </row>
    <row r="681" customFormat="false" ht="15" hidden="false" customHeight="true" outlineLevel="0" collapsed="false">
      <c r="A681" s="72" t="n">
        <v>2117960</v>
      </c>
      <c r="B681" s="72" t="s">
        <v>2318</v>
      </c>
      <c r="C681" s="72" t="n">
        <v>2022</v>
      </c>
      <c r="D681" s="73" t="n">
        <v>5.99</v>
      </c>
      <c r="E681" s="74" t="n">
        <v>240</v>
      </c>
      <c r="F681" s="72" t="n">
        <v>82</v>
      </c>
      <c r="G681" s="72" t="s">
        <v>2319</v>
      </c>
      <c r="H681" s="72" t="s">
        <v>2320</v>
      </c>
    </row>
    <row r="682" customFormat="false" ht="15" hidden="false" customHeight="true" outlineLevel="0" collapsed="false">
      <c r="A682" s="75" t="n">
        <v>4529660</v>
      </c>
      <c r="B682" s="75" t="s">
        <v>2321</v>
      </c>
      <c r="C682" s="75" t="n">
        <v>2026</v>
      </c>
      <c r="D682" s="76" t="n">
        <v>7.99</v>
      </c>
      <c r="E682" s="77" t="n">
        <v>238</v>
      </c>
      <c r="F682" s="75" t="n">
        <v>100</v>
      </c>
      <c r="G682" s="75" t="s">
        <v>2322</v>
      </c>
      <c r="H682" s="75" t="s">
        <v>2323</v>
      </c>
    </row>
    <row r="683" customFormat="false" ht="15" hidden="false" customHeight="true" outlineLevel="0" collapsed="false">
      <c r="A683" s="72" t="n">
        <v>3327710</v>
      </c>
      <c r="B683" s="72" t="s">
        <v>2324</v>
      </c>
      <c r="C683" s="72" t="n">
        <v>2026</v>
      </c>
      <c r="D683" s="73" t="n">
        <v>14.99</v>
      </c>
      <c r="E683" s="74" t="n">
        <v>236</v>
      </c>
      <c r="F683" s="72" t="n">
        <v>50</v>
      </c>
      <c r="G683" s="72" t="s">
        <v>2325</v>
      </c>
      <c r="H683" s="72" t="s">
        <v>2326</v>
      </c>
    </row>
    <row r="684" customFormat="false" ht="15" hidden="false" customHeight="true" outlineLevel="0" collapsed="false">
      <c r="A684" s="75" t="n">
        <v>2259380</v>
      </c>
      <c r="B684" s="75" t="s">
        <v>2327</v>
      </c>
      <c r="C684" s="75" t="n">
        <v>2024</v>
      </c>
      <c r="D684" s="76" t="n">
        <v>2.99</v>
      </c>
      <c r="E684" s="77" t="n">
        <v>236</v>
      </c>
      <c r="F684" s="75" t="n">
        <v>17</v>
      </c>
      <c r="G684" s="75" t="s">
        <v>2328</v>
      </c>
      <c r="H684" s="75" t="s">
        <v>2329</v>
      </c>
    </row>
    <row r="685" customFormat="false" ht="15" hidden="false" customHeight="true" outlineLevel="0" collapsed="false">
      <c r="A685" s="72" t="n">
        <v>3822720</v>
      </c>
      <c r="B685" s="72" t="s">
        <v>2330</v>
      </c>
      <c r="C685" s="72" t="n">
        <v>2025</v>
      </c>
      <c r="D685" s="73" t="n">
        <v>4.99</v>
      </c>
      <c r="E685" s="74" t="n">
        <v>235</v>
      </c>
      <c r="F685" s="72" t="n">
        <v>75</v>
      </c>
      <c r="G685" s="72" t="s">
        <v>2331</v>
      </c>
      <c r="H685" s="72" t="s">
        <v>2332</v>
      </c>
    </row>
    <row r="686" customFormat="false" ht="15" hidden="false" customHeight="true" outlineLevel="0" collapsed="false">
      <c r="A686" s="75" t="n">
        <v>3909120</v>
      </c>
      <c r="B686" s="75" t="s">
        <v>2333</v>
      </c>
      <c r="C686" s="75" t="n">
        <v>2025</v>
      </c>
      <c r="D686" s="76" t="n">
        <v>6.99</v>
      </c>
      <c r="E686" s="77" t="n">
        <v>234</v>
      </c>
      <c r="F686" s="75" t="n">
        <v>100</v>
      </c>
      <c r="G686" s="75" t="s">
        <v>2334</v>
      </c>
      <c r="H686" s="75" t="s">
        <v>2335</v>
      </c>
    </row>
    <row r="687" customFormat="false" ht="15" hidden="false" customHeight="true" outlineLevel="0" collapsed="false">
      <c r="A687" s="72" t="n">
        <v>1371220</v>
      </c>
      <c r="B687" s="72" t="s">
        <v>2336</v>
      </c>
      <c r="C687" s="72" t="n">
        <v>2020</v>
      </c>
      <c r="D687" s="73" t="n">
        <v>4.99</v>
      </c>
      <c r="E687" s="74" t="n">
        <v>233</v>
      </c>
      <c r="F687" s="72" t="n">
        <v>70</v>
      </c>
      <c r="G687" s="72" t="s">
        <v>2337</v>
      </c>
      <c r="H687" s="72" t="s">
        <v>2338</v>
      </c>
    </row>
    <row r="688" customFormat="false" ht="15" hidden="false" customHeight="true" outlineLevel="0" collapsed="false">
      <c r="A688" s="75" t="n">
        <v>2271110</v>
      </c>
      <c r="B688" s="75" t="s">
        <v>323</v>
      </c>
      <c r="C688" s="75" t="n">
        <v>2025</v>
      </c>
      <c r="D688" s="76" t="n">
        <v>6.99</v>
      </c>
      <c r="E688" s="77" t="n">
        <v>231</v>
      </c>
      <c r="F688" s="75" t="n">
        <v>91</v>
      </c>
      <c r="G688" s="75" t="s">
        <v>1368</v>
      </c>
      <c r="H688" s="75" t="s">
        <v>2339</v>
      </c>
    </row>
    <row r="689" customFormat="false" ht="15" hidden="false" customHeight="true" outlineLevel="0" collapsed="false">
      <c r="A689" s="72" t="n">
        <v>2183210</v>
      </c>
      <c r="B689" s="72" t="s">
        <v>2340</v>
      </c>
      <c r="C689" s="72" t="n">
        <v>2022</v>
      </c>
      <c r="D689" s="73" t="n">
        <v>9.99</v>
      </c>
      <c r="E689" s="74" t="n">
        <v>230</v>
      </c>
      <c r="F689" s="72" t="n">
        <v>80</v>
      </c>
      <c r="G689" s="72" t="s">
        <v>2341</v>
      </c>
      <c r="H689" s="72" t="s">
        <v>2342</v>
      </c>
    </row>
    <row r="690" customFormat="false" ht="15" hidden="false" customHeight="true" outlineLevel="0" collapsed="false">
      <c r="A690" s="75" t="n">
        <v>2939570</v>
      </c>
      <c r="B690" s="75" t="s">
        <v>2343</v>
      </c>
      <c r="C690" s="75" t="n">
        <v>2024</v>
      </c>
      <c r="D690" s="76" t="n">
        <v>4.99</v>
      </c>
      <c r="E690" s="77" t="n">
        <v>230</v>
      </c>
      <c r="F690" s="75" t="n">
        <v>94</v>
      </c>
      <c r="G690" s="75" t="s">
        <v>2344</v>
      </c>
      <c r="H690" s="75" t="s">
        <v>2345</v>
      </c>
    </row>
    <row r="691" customFormat="false" ht="15" hidden="false" customHeight="true" outlineLevel="0" collapsed="false">
      <c r="A691" s="72" t="n">
        <v>3054470</v>
      </c>
      <c r="B691" s="72" t="s">
        <v>2346</v>
      </c>
      <c r="C691" s="72" t="n">
        <v>2025</v>
      </c>
      <c r="D691" s="73" t="n">
        <v>19.99</v>
      </c>
      <c r="E691" s="74" t="n">
        <v>224</v>
      </c>
      <c r="F691" s="72" t="n">
        <v>91</v>
      </c>
      <c r="G691" s="72" t="s">
        <v>2347</v>
      </c>
      <c r="H691" s="72" t="s">
        <v>2348</v>
      </c>
    </row>
    <row r="692" customFormat="false" ht="15" hidden="false" customHeight="true" outlineLevel="0" collapsed="false">
      <c r="A692" s="75" t="n">
        <v>3824090</v>
      </c>
      <c r="B692" s="75" t="s">
        <v>2349</v>
      </c>
      <c r="C692" s="75" t="n">
        <v>2026</v>
      </c>
      <c r="D692" s="76" t="n">
        <v>2.99</v>
      </c>
      <c r="E692" s="77" t="n">
        <v>221</v>
      </c>
      <c r="F692" s="75" t="n">
        <v>14</v>
      </c>
      <c r="G692" s="75" t="s">
        <v>2350</v>
      </c>
      <c r="H692" s="75" t="s">
        <v>2351</v>
      </c>
    </row>
    <row r="693" customFormat="false" ht="15" hidden="false" customHeight="true" outlineLevel="0" collapsed="false">
      <c r="A693" s="72" t="n">
        <v>3737550</v>
      </c>
      <c r="B693" s="72" t="s">
        <v>2352</v>
      </c>
      <c r="C693" s="72" t="n">
        <v>2026</v>
      </c>
      <c r="D693" s="73" t="n">
        <v>5.99</v>
      </c>
      <c r="E693" s="74" t="n">
        <v>218</v>
      </c>
      <c r="F693" s="72" t="n">
        <v>100</v>
      </c>
      <c r="G693" s="72" t="s">
        <v>2126</v>
      </c>
      <c r="H693" s="72" t="s">
        <v>2353</v>
      </c>
    </row>
    <row r="694" customFormat="false" ht="15" hidden="false" customHeight="true" outlineLevel="0" collapsed="false">
      <c r="A694" s="75" t="n">
        <v>3225940</v>
      </c>
      <c r="B694" s="75" t="s">
        <v>2354</v>
      </c>
      <c r="C694" s="75" t="n">
        <v>2026</v>
      </c>
      <c r="D694" s="76" t="n">
        <v>6.99</v>
      </c>
      <c r="E694" s="77" t="n">
        <v>216</v>
      </c>
      <c r="F694" s="75" t="n">
        <v>93</v>
      </c>
      <c r="G694" s="75" t="s">
        <v>2355</v>
      </c>
      <c r="H694" s="75" t="s">
        <v>2356</v>
      </c>
    </row>
    <row r="695" customFormat="false" ht="15" hidden="false" customHeight="true" outlineLevel="0" collapsed="false">
      <c r="A695" s="72" t="n">
        <v>4776160</v>
      </c>
      <c r="B695" s="72" t="s">
        <v>2357</v>
      </c>
      <c r="C695" s="72" t="n">
        <v>2026</v>
      </c>
      <c r="D695" s="73" t="n">
        <v>14.99</v>
      </c>
      <c r="E695" s="74" t="n">
        <v>213</v>
      </c>
      <c r="F695" s="72" t="n">
        <v>100</v>
      </c>
      <c r="G695" s="72" t="s">
        <v>2358</v>
      </c>
      <c r="H695" s="72" t="s">
        <v>2359</v>
      </c>
    </row>
    <row r="696" customFormat="false" ht="15" hidden="false" customHeight="true" outlineLevel="0" collapsed="false">
      <c r="A696" s="75" t="n">
        <v>2125490</v>
      </c>
      <c r="B696" s="75" t="s">
        <v>2360</v>
      </c>
      <c r="C696" s="75" t="n">
        <v>2026</v>
      </c>
      <c r="D696" s="76" t="n">
        <v>7.99</v>
      </c>
      <c r="E696" s="77" t="n">
        <v>208</v>
      </c>
      <c r="F696" s="75" t="n">
        <v>100</v>
      </c>
      <c r="G696" s="75" t="s">
        <v>2361</v>
      </c>
      <c r="H696" s="75" t="s">
        <v>2362</v>
      </c>
    </row>
    <row r="697" customFormat="false" ht="15" hidden="false" customHeight="true" outlineLevel="0" collapsed="false">
      <c r="A697" s="72" t="n">
        <v>4827940</v>
      </c>
      <c r="B697" s="72" t="s">
        <v>2363</v>
      </c>
      <c r="C697" s="72" t="n">
        <v>2026</v>
      </c>
      <c r="D697" s="73" t="n">
        <v>9.99</v>
      </c>
      <c r="E697" s="74" t="n">
        <v>207</v>
      </c>
      <c r="F697" s="72" t="n">
        <v>100</v>
      </c>
      <c r="G697" s="72" t="s">
        <v>2364</v>
      </c>
      <c r="H697" s="72" t="s">
        <v>2365</v>
      </c>
    </row>
    <row r="698" customFormat="false" ht="15" hidden="false" customHeight="true" outlineLevel="0" collapsed="false">
      <c r="A698" s="75" t="n">
        <v>2748770</v>
      </c>
      <c r="B698" s="75" t="s">
        <v>409</v>
      </c>
      <c r="C698" s="75" t="n">
        <v>2026</v>
      </c>
      <c r="D698" s="76" t="n">
        <v>7.99</v>
      </c>
      <c r="E698" s="77" t="n">
        <v>207</v>
      </c>
      <c r="F698" s="75" t="n">
        <v>100</v>
      </c>
      <c r="G698" s="75" t="s">
        <v>2366</v>
      </c>
      <c r="H698" s="75" t="s">
        <v>2367</v>
      </c>
    </row>
    <row r="699" customFormat="false" ht="15" hidden="false" customHeight="true" outlineLevel="0" collapsed="false">
      <c r="A699" s="72" t="n">
        <v>4236830</v>
      </c>
      <c r="B699" s="72" t="s">
        <v>2368</v>
      </c>
      <c r="C699" s="72" t="n">
        <v>2026</v>
      </c>
      <c r="D699" s="73" t="n">
        <v>0</v>
      </c>
      <c r="E699" s="74" t="n">
        <v>207</v>
      </c>
      <c r="F699" s="72" t="n">
        <v>90</v>
      </c>
      <c r="G699" s="72" t="s">
        <v>2369</v>
      </c>
      <c r="H699" s="72" t="s">
        <v>2370</v>
      </c>
    </row>
    <row r="700" customFormat="false" ht="15" hidden="false" customHeight="true" outlineLevel="0" collapsed="false">
      <c r="A700" s="75" t="n">
        <v>4638590</v>
      </c>
      <c r="B700" s="75" t="s">
        <v>438</v>
      </c>
      <c r="C700" s="75" t="n">
        <v>2026</v>
      </c>
      <c r="D700" s="76" t="n">
        <v>9.99</v>
      </c>
      <c r="E700" s="77" t="n">
        <v>206</v>
      </c>
      <c r="F700" s="75" t="n">
        <v>93</v>
      </c>
      <c r="G700" s="75" t="s">
        <v>2371</v>
      </c>
      <c r="H700" s="75" t="s">
        <v>2372</v>
      </c>
    </row>
    <row r="701" customFormat="false" ht="15" hidden="false" customHeight="true" outlineLevel="0" collapsed="false">
      <c r="A701" s="72" t="n">
        <v>4810320</v>
      </c>
      <c r="B701" s="72" t="s">
        <v>2373</v>
      </c>
      <c r="C701" s="72" t="n">
        <v>2026</v>
      </c>
      <c r="D701" s="73" t="n">
        <v>14.99</v>
      </c>
      <c r="E701" s="74" t="n">
        <v>205</v>
      </c>
      <c r="F701" s="72" t="n">
        <v>95</v>
      </c>
      <c r="G701" s="72" t="s">
        <v>2374</v>
      </c>
      <c r="H701" s="72" t="s">
        <v>2375</v>
      </c>
    </row>
    <row r="702" customFormat="false" ht="15" hidden="false" customHeight="true" outlineLevel="0" collapsed="false">
      <c r="A702" s="75" t="n">
        <v>2065870</v>
      </c>
      <c r="B702" s="75" t="s">
        <v>372</v>
      </c>
      <c r="C702" s="75" t="n">
        <v>2024</v>
      </c>
      <c r="D702" s="76" t="n">
        <v>11.99</v>
      </c>
      <c r="E702" s="77" t="n">
        <v>205</v>
      </c>
      <c r="F702" s="75" t="n">
        <v>100</v>
      </c>
      <c r="G702" s="75" t="s">
        <v>2376</v>
      </c>
      <c r="H702" s="75" t="s">
        <v>2377</v>
      </c>
    </row>
    <row r="703" customFormat="false" ht="15" hidden="false" customHeight="true" outlineLevel="0" collapsed="false">
      <c r="A703" s="72" t="n">
        <v>4157070</v>
      </c>
      <c r="B703" s="72" t="s">
        <v>2378</v>
      </c>
      <c r="C703" s="72" t="n">
        <v>2026</v>
      </c>
      <c r="D703" s="73" t="n">
        <v>4.99</v>
      </c>
      <c r="E703" s="74" t="n">
        <v>203</v>
      </c>
      <c r="F703" s="72" t="n">
        <v>100</v>
      </c>
      <c r="G703" s="72" t="s">
        <v>2379</v>
      </c>
      <c r="H703" s="72" t="s">
        <v>2380</v>
      </c>
    </row>
    <row r="704" customFormat="false" ht="15" hidden="false" customHeight="true" outlineLevel="0" collapsed="false">
      <c r="A704" s="75" t="n">
        <v>3725870</v>
      </c>
      <c r="B704" s="75" t="s">
        <v>2381</v>
      </c>
      <c r="C704" s="75" t="n">
        <v>2026</v>
      </c>
      <c r="D704" s="76" t="n">
        <v>0</v>
      </c>
      <c r="E704" s="77" t="n">
        <v>201</v>
      </c>
      <c r="F704" s="75" t="n">
        <v>75</v>
      </c>
      <c r="G704" s="75" t="s">
        <v>2382</v>
      </c>
      <c r="H704" s="75" t="s">
        <v>2383</v>
      </c>
    </row>
    <row r="705" customFormat="false" ht="15" hidden="false" customHeight="true" outlineLevel="0" collapsed="false">
      <c r="A705" s="72" t="n">
        <v>1909260</v>
      </c>
      <c r="B705" s="72" t="s">
        <v>308</v>
      </c>
      <c r="C705" s="72" t="n">
        <v>2022</v>
      </c>
      <c r="D705" s="73" t="n">
        <v>4.99</v>
      </c>
      <c r="E705" s="74" t="n">
        <v>200</v>
      </c>
      <c r="F705" s="72" t="n">
        <v>100</v>
      </c>
      <c r="G705" s="72" t="s">
        <v>2384</v>
      </c>
      <c r="H705" s="72" t="s">
        <v>2385</v>
      </c>
    </row>
    <row r="706" customFormat="false" ht="15" hidden="false" customHeight="true" outlineLevel="0" collapsed="false">
      <c r="A706" s="75" t="n">
        <v>2958670</v>
      </c>
      <c r="B706" s="75" t="s">
        <v>2386</v>
      </c>
      <c r="C706" s="75" t="n">
        <v>2024</v>
      </c>
      <c r="D706" s="76" t="n">
        <v>0.99</v>
      </c>
      <c r="E706" s="77" t="n">
        <v>199</v>
      </c>
      <c r="F706" s="75" t="n">
        <v>70</v>
      </c>
      <c r="G706" s="75" t="s">
        <v>2387</v>
      </c>
      <c r="H706" s="75" t="s">
        <v>2388</v>
      </c>
    </row>
    <row r="707" customFormat="false" ht="15" hidden="false" customHeight="true" outlineLevel="0" collapsed="false">
      <c r="A707" s="72" t="n">
        <v>4415040</v>
      </c>
      <c r="B707" s="72" t="s">
        <v>2389</v>
      </c>
      <c r="C707" s="72" t="n">
        <v>2026</v>
      </c>
      <c r="D707" s="73" t="n">
        <v>9.99</v>
      </c>
      <c r="E707" s="74" t="n">
        <v>196</v>
      </c>
      <c r="F707" s="72" t="n">
        <v>100</v>
      </c>
      <c r="G707" s="72" t="s">
        <v>2390</v>
      </c>
      <c r="H707" s="72" t="s">
        <v>2391</v>
      </c>
    </row>
    <row r="708" customFormat="false" ht="15" hidden="false" customHeight="true" outlineLevel="0" collapsed="false">
      <c r="A708" s="75" t="n">
        <v>4291760</v>
      </c>
      <c r="B708" s="75" t="s">
        <v>2392</v>
      </c>
      <c r="C708" s="75" t="n">
        <v>2026</v>
      </c>
      <c r="D708" s="76" t="n">
        <v>0.99</v>
      </c>
      <c r="E708" s="77" t="n">
        <v>195</v>
      </c>
      <c r="F708" s="75" t="n">
        <v>100</v>
      </c>
      <c r="G708" s="75" t="s">
        <v>2393</v>
      </c>
      <c r="H708" s="75" t="s">
        <v>2394</v>
      </c>
    </row>
    <row r="709" customFormat="false" ht="15" hidden="false" customHeight="true" outlineLevel="0" collapsed="false">
      <c r="A709" s="72" t="n">
        <v>4246340</v>
      </c>
      <c r="B709" s="72" t="s">
        <v>2395</v>
      </c>
      <c r="C709" s="72" t="n">
        <v>2026</v>
      </c>
      <c r="D709" s="73" t="n">
        <v>0</v>
      </c>
      <c r="E709" s="74" t="n">
        <v>193</v>
      </c>
      <c r="F709" s="72" t="n">
        <v>50</v>
      </c>
      <c r="G709" s="72" t="s">
        <v>2396</v>
      </c>
      <c r="H709" s="72" t="s">
        <v>2397</v>
      </c>
    </row>
    <row r="710" customFormat="false" ht="15" hidden="false" customHeight="true" outlineLevel="0" collapsed="false">
      <c r="A710" s="75" t="n">
        <v>3930110</v>
      </c>
      <c r="B710" s="75" t="s">
        <v>2398</v>
      </c>
      <c r="C710" s="75" t="n">
        <v>2026</v>
      </c>
      <c r="D710" s="76" t="n">
        <v>7.99</v>
      </c>
      <c r="E710" s="77" t="n">
        <v>190</v>
      </c>
      <c r="F710" s="75" t="n">
        <v>91</v>
      </c>
      <c r="G710" s="75" t="s">
        <v>2399</v>
      </c>
      <c r="H710" s="75" t="s">
        <v>2400</v>
      </c>
    </row>
    <row r="711" customFormat="false" ht="15" hidden="false" customHeight="true" outlineLevel="0" collapsed="false">
      <c r="A711" s="72" t="n">
        <v>2632650</v>
      </c>
      <c r="B711" s="72" t="s">
        <v>334</v>
      </c>
      <c r="C711" s="72" t="n">
        <v>2025</v>
      </c>
      <c r="D711" s="73" t="n">
        <v>9.99</v>
      </c>
      <c r="E711" s="74" t="n">
        <v>190</v>
      </c>
      <c r="F711" s="72" t="n">
        <v>0</v>
      </c>
      <c r="G711" s="72" t="s">
        <v>2401</v>
      </c>
      <c r="H711" s="72" t="s">
        <v>2402</v>
      </c>
    </row>
    <row r="712" customFormat="false" ht="15" hidden="false" customHeight="true" outlineLevel="0" collapsed="false">
      <c r="A712" s="75" t="n">
        <v>4245340</v>
      </c>
      <c r="B712" s="75" t="s">
        <v>2403</v>
      </c>
      <c r="C712" s="75" t="n">
        <v>2026</v>
      </c>
      <c r="D712" s="76" t="n">
        <v>11.99</v>
      </c>
      <c r="E712" s="77" t="n">
        <v>188</v>
      </c>
      <c r="F712" s="75" t="n">
        <v>100</v>
      </c>
      <c r="G712" s="75" t="s">
        <v>2404</v>
      </c>
      <c r="H712" s="75" t="s">
        <v>2405</v>
      </c>
    </row>
    <row r="713" customFormat="false" ht="15" hidden="false" customHeight="true" outlineLevel="0" collapsed="false">
      <c r="A713" s="72" t="n">
        <v>2990670</v>
      </c>
      <c r="B713" s="72" t="s">
        <v>2406</v>
      </c>
      <c r="C713" s="72" t="n">
        <v>2025</v>
      </c>
      <c r="D713" s="73" t="n">
        <v>9.99</v>
      </c>
      <c r="E713" s="74" t="n">
        <v>188</v>
      </c>
      <c r="F713" s="72" t="n">
        <v>100</v>
      </c>
      <c r="G713" s="72" t="s">
        <v>2407</v>
      </c>
      <c r="H713" s="72" t="s">
        <v>2408</v>
      </c>
    </row>
    <row r="714" customFormat="false" ht="15" hidden="false" customHeight="true" outlineLevel="0" collapsed="false">
      <c r="A714" s="75" t="n">
        <v>3167610</v>
      </c>
      <c r="B714" s="75" t="s">
        <v>2409</v>
      </c>
      <c r="C714" s="75" t="n">
        <v>2026</v>
      </c>
      <c r="D714" s="76" t="n">
        <v>2.99</v>
      </c>
      <c r="E714" s="77" t="n">
        <v>187</v>
      </c>
      <c r="F714" s="75" t="n">
        <v>73</v>
      </c>
      <c r="G714" s="75" t="s">
        <v>2410</v>
      </c>
      <c r="H714" s="75" t="s">
        <v>2411</v>
      </c>
    </row>
    <row r="715" customFormat="false" ht="15" hidden="false" customHeight="true" outlineLevel="0" collapsed="false">
      <c r="A715" s="72" t="n">
        <v>3778620</v>
      </c>
      <c r="B715" s="72" t="s">
        <v>2412</v>
      </c>
      <c r="C715" s="72" t="n">
        <v>2026</v>
      </c>
      <c r="D715" s="73" t="n">
        <v>10.99</v>
      </c>
      <c r="E715" s="74" t="n">
        <v>185</v>
      </c>
      <c r="F715" s="72" t="n">
        <v>100</v>
      </c>
      <c r="G715" s="72" t="s">
        <v>2413</v>
      </c>
      <c r="H715" s="72" t="s">
        <v>2414</v>
      </c>
    </row>
    <row r="716" customFormat="false" ht="15" hidden="false" customHeight="true" outlineLevel="0" collapsed="false">
      <c r="A716" s="75" t="n">
        <v>4529430</v>
      </c>
      <c r="B716" s="75" t="s">
        <v>2415</v>
      </c>
      <c r="C716" s="75" t="n">
        <v>2026</v>
      </c>
      <c r="D716" s="76" t="n">
        <v>9.99</v>
      </c>
      <c r="E716" s="77" t="n">
        <v>183</v>
      </c>
      <c r="F716" s="75" t="n">
        <v>100</v>
      </c>
      <c r="G716" s="75" t="s">
        <v>1537</v>
      </c>
      <c r="H716" s="75" t="s">
        <v>2416</v>
      </c>
    </row>
    <row r="717" customFormat="false" ht="15" hidden="false" customHeight="true" outlineLevel="0" collapsed="false">
      <c r="A717" s="72" t="n">
        <v>3718740</v>
      </c>
      <c r="B717" s="72" t="s">
        <v>2417</v>
      </c>
      <c r="C717" s="72" t="n">
        <v>2026</v>
      </c>
      <c r="D717" s="73" t="n">
        <v>7.99</v>
      </c>
      <c r="E717" s="74" t="n">
        <v>183</v>
      </c>
      <c r="F717" s="72" t="n">
        <v>100</v>
      </c>
      <c r="G717" s="72" t="s">
        <v>2418</v>
      </c>
      <c r="H717" s="72" t="s">
        <v>2419</v>
      </c>
    </row>
    <row r="718" customFormat="false" ht="15" hidden="false" customHeight="true" outlineLevel="0" collapsed="false">
      <c r="A718" s="75" t="n">
        <v>3425390</v>
      </c>
      <c r="B718" s="75" t="s">
        <v>2420</v>
      </c>
      <c r="C718" s="75" t="n">
        <v>2025</v>
      </c>
      <c r="D718" s="76" t="n">
        <v>4.99</v>
      </c>
      <c r="E718" s="77" t="n">
        <v>174</v>
      </c>
      <c r="F718" s="75" t="n">
        <v>100</v>
      </c>
      <c r="G718" s="75" t="s">
        <v>2421</v>
      </c>
      <c r="H718" s="75" t="s">
        <v>2422</v>
      </c>
    </row>
    <row r="719" customFormat="false" ht="15" hidden="false" customHeight="true" outlineLevel="0" collapsed="false">
      <c r="A719" s="72" t="n">
        <v>2284530</v>
      </c>
      <c r="B719" s="72" t="s">
        <v>2423</v>
      </c>
      <c r="C719" s="72" t="n">
        <v>2023</v>
      </c>
      <c r="D719" s="73" t="n">
        <v>6.99</v>
      </c>
      <c r="E719" s="74" t="n">
        <v>172</v>
      </c>
      <c r="F719" s="72" t="n">
        <v>67</v>
      </c>
      <c r="G719" s="72" t="s">
        <v>2424</v>
      </c>
      <c r="H719" s="72" t="s">
        <v>2425</v>
      </c>
    </row>
    <row r="720" customFormat="false" ht="15" hidden="false" customHeight="true" outlineLevel="0" collapsed="false">
      <c r="A720" s="75" t="n">
        <v>3835670</v>
      </c>
      <c r="B720" s="75" t="s">
        <v>385</v>
      </c>
      <c r="C720" s="75" t="n">
        <v>2026</v>
      </c>
      <c r="D720" s="76" t="n">
        <v>11.99</v>
      </c>
      <c r="E720" s="77" t="n">
        <v>171</v>
      </c>
      <c r="F720" s="75" t="n">
        <v>100</v>
      </c>
      <c r="G720" s="75" t="s">
        <v>2426</v>
      </c>
      <c r="H720" s="75" t="s">
        <v>2427</v>
      </c>
    </row>
    <row r="721" customFormat="false" ht="15" hidden="false" customHeight="true" outlineLevel="0" collapsed="false">
      <c r="A721" s="72" t="n">
        <v>5020530</v>
      </c>
      <c r="B721" s="72" t="s">
        <v>2428</v>
      </c>
      <c r="C721" s="72" t="n">
        <v>2026</v>
      </c>
      <c r="D721" s="73" t="n">
        <v>0</v>
      </c>
      <c r="E721" s="74" t="n">
        <v>171</v>
      </c>
      <c r="F721" s="72" t="n">
        <v>38</v>
      </c>
      <c r="G721" s="72" t="s">
        <v>2429</v>
      </c>
      <c r="H721" s="72" t="s">
        <v>2430</v>
      </c>
    </row>
    <row r="722" customFormat="false" ht="15" hidden="false" customHeight="true" outlineLevel="0" collapsed="false">
      <c r="A722" s="75" t="n">
        <v>4018280</v>
      </c>
      <c r="B722" s="75" t="s">
        <v>2431</v>
      </c>
      <c r="C722" s="75" t="n">
        <v>2026</v>
      </c>
      <c r="D722" s="76" t="n">
        <v>9.99</v>
      </c>
      <c r="E722" s="77" t="n">
        <v>170</v>
      </c>
      <c r="F722" s="75" t="n">
        <v>92</v>
      </c>
      <c r="G722" s="75" t="s">
        <v>1947</v>
      </c>
      <c r="H722" s="75" t="s">
        <v>2432</v>
      </c>
    </row>
    <row r="723" customFormat="false" ht="15" hidden="false" customHeight="true" outlineLevel="0" collapsed="false">
      <c r="A723" s="72" t="n">
        <v>3964490</v>
      </c>
      <c r="B723" s="72" t="s">
        <v>2433</v>
      </c>
      <c r="C723" s="72" t="n">
        <v>2025</v>
      </c>
      <c r="D723" s="73" t="n">
        <v>9.99</v>
      </c>
      <c r="E723" s="74" t="n">
        <v>169</v>
      </c>
      <c r="F723" s="72" t="n">
        <v>100</v>
      </c>
      <c r="G723" s="72" t="s">
        <v>2434</v>
      </c>
      <c r="H723" s="72" t="s">
        <v>2435</v>
      </c>
    </row>
    <row r="724" customFormat="false" ht="15" hidden="false" customHeight="true" outlineLevel="0" collapsed="false">
      <c r="A724" s="75" t="n">
        <v>5306270</v>
      </c>
      <c r="B724" s="75" t="s">
        <v>2436</v>
      </c>
      <c r="C724" s="75" t="n">
        <v>2026</v>
      </c>
      <c r="D724" s="76" t="n">
        <v>0</v>
      </c>
      <c r="E724" s="77" t="n">
        <v>169</v>
      </c>
      <c r="F724" s="75" t="n">
        <v>67</v>
      </c>
      <c r="G724" s="75" t="s">
        <v>2437</v>
      </c>
      <c r="H724" s="75" t="s">
        <v>2438</v>
      </c>
    </row>
    <row r="725" customFormat="false" ht="15" hidden="false" customHeight="true" outlineLevel="0" collapsed="false">
      <c r="A725" s="72" t="n">
        <v>1863170</v>
      </c>
      <c r="B725" s="72" t="s">
        <v>375</v>
      </c>
      <c r="C725" s="72" t="n">
        <v>2022</v>
      </c>
      <c r="D725" s="73" t="n">
        <v>6.99</v>
      </c>
      <c r="E725" s="74" t="n">
        <v>168</v>
      </c>
      <c r="F725" s="72" t="n">
        <v>63</v>
      </c>
      <c r="G725" s="72" t="s">
        <v>2439</v>
      </c>
      <c r="H725" s="72" t="s">
        <v>2440</v>
      </c>
    </row>
    <row r="726" customFormat="false" ht="15" hidden="false" customHeight="true" outlineLevel="0" collapsed="false">
      <c r="A726" s="75" t="n">
        <v>2216700</v>
      </c>
      <c r="B726" s="75" t="s">
        <v>435</v>
      </c>
      <c r="C726" s="75" t="n">
        <v>2023</v>
      </c>
      <c r="D726" s="76" t="n">
        <v>19.99</v>
      </c>
      <c r="E726" s="77" t="n">
        <v>166</v>
      </c>
      <c r="F726" s="75" t="n">
        <v>13</v>
      </c>
      <c r="G726" s="75" t="s">
        <v>2441</v>
      </c>
      <c r="H726" s="75" t="s">
        <v>2442</v>
      </c>
    </row>
    <row r="727" customFormat="false" ht="15" hidden="false" customHeight="true" outlineLevel="0" collapsed="false">
      <c r="A727" s="72" t="n">
        <v>2683590</v>
      </c>
      <c r="B727" s="72" t="s">
        <v>2443</v>
      </c>
      <c r="C727" s="72" t="n">
        <v>2025</v>
      </c>
      <c r="D727" s="73" t="n">
        <v>9.99</v>
      </c>
      <c r="E727" s="74" t="n">
        <v>165</v>
      </c>
      <c r="F727" s="72" t="n">
        <v>91</v>
      </c>
      <c r="G727" s="72" t="s">
        <v>2444</v>
      </c>
      <c r="H727" s="72" t="s">
        <v>2445</v>
      </c>
    </row>
    <row r="728" customFormat="false" ht="15" hidden="false" customHeight="true" outlineLevel="0" collapsed="false">
      <c r="A728" s="75" t="n">
        <v>2209560</v>
      </c>
      <c r="B728" s="75" t="s">
        <v>462</v>
      </c>
      <c r="C728" s="75" t="n">
        <v>2023</v>
      </c>
      <c r="D728" s="76" t="n">
        <v>24.99</v>
      </c>
      <c r="E728" s="77" t="n">
        <v>163</v>
      </c>
      <c r="F728" s="75" t="n">
        <v>58</v>
      </c>
      <c r="G728" s="75" t="s">
        <v>2446</v>
      </c>
      <c r="H728" s="75" t="s">
        <v>2447</v>
      </c>
    </row>
    <row r="729" customFormat="false" ht="15" hidden="false" customHeight="true" outlineLevel="0" collapsed="false">
      <c r="A729" s="72" t="n">
        <v>4718270</v>
      </c>
      <c r="B729" s="72" t="s">
        <v>420</v>
      </c>
      <c r="C729" s="72" t="n">
        <v>2026</v>
      </c>
      <c r="D729" s="73" t="n">
        <v>7.99</v>
      </c>
      <c r="E729" s="74" t="n">
        <v>161</v>
      </c>
      <c r="F729" s="72" t="n">
        <v>78</v>
      </c>
      <c r="G729" s="72" t="s">
        <v>2448</v>
      </c>
      <c r="H729" s="72" t="s">
        <v>2449</v>
      </c>
    </row>
    <row r="730" customFormat="false" ht="15" hidden="false" customHeight="true" outlineLevel="0" collapsed="false">
      <c r="A730" s="75" t="n">
        <v>3691940</v>
      </c>
      <c r="B730" s="75" t="s">
        <v>2450</v>
      </c>
      <c r="C730" s="75" t="n">
        <v>2025</v>
      </c>
      <c r="D730" s="76" t="n">
        <v>9.99</v>
      </c>
      <c r="E730" s="77" t="n">
        <v>154</v>
      </c>
      <c r="F730" s="75" t="n">
        <v>60</v>
      </c>
      <c r="G730" s="75" t="s">
        <v>1983</v>
      </c>
      <c r="H730" s="75" t="s">
        <v>2451</v>
      </c>
    </row>
    <row r="731" customFormat="false" ht="15" hidden="false" customHeight="true" outlineLevel="0" collapsed="false">
      <c r="A731" s="72" t="n">
        <v>1408730</v>
      </c>
      <c r="B731" s="72" t="s">
        <v>463</v>
      </c>
      <c r="C731" s="72" t="n">
        <v>2025</v>
      </c>
      <c r="D731" s="73" t="n">
        <v>14.99</v>
      </c>
      <c r="E731" s="74" t="n">
        <v>153</v>
      </c>
      <c r="F731" s="72" t="n">
        <v>86</v>
      </c>
      <c r="G731" s="72" t="s">
        <v>2452</v>
      </c>
      <c r="H731" s="72" t="s">
        <v>2453</v>
      </c>
    </row>
    <row r="732" customFormat="false" ht="15" hidden="false" customHeight="true" outlineLevel="0" collapsed="false">
      <c r="A732" s="75" t="n">
        <v>3505230</v>
      </c>
      <c r="B732" s="75" t="s">
        <v>2454</v>
      </c>
      <c r="C732" s="75" t="n">
        <v>2026</v>
      </c>
      <c r="D732" s="76" t="n">
        <v>13.99</v>
      </c>
      <c r="E732" s="77" t="n">
        <v>152</v>
      </c>
      <c r="F732" s="75" t="n">
        <v>100</v>
      </c>
      <c r="G732" s="75" t="s">
        <v>2455</v>
      </c>
      <c r="H732" s="75" t="s">
        <v>2456</v>
      </c>
    </row>
    <row r="733" customFormat="false" ht="15" hidden="false" customHeight="true" outlineLevel="0" collapsed="false">
      <c r="A733" s="72" t="n">
        <v>4306590</v>
      </c>
      <c r="B733" s="72" t="s">
        <v>2457</v>
      </c>
      <c r="C733" s="72" t="n">
        <v>2026</v>
      </c>
      <c r="D733" s="73" t="n">
        <v>7.99</v>
      </c>
      <c r="E733" s="74" t="n">
        <v>152</v>
      </c>
      <c r="F733" s="72" t="n">
        <v>91</v>
      </c>
      <c r="G733" s="72" t="s">
        <v>2458</v>
      </c>
      <c r="H733" s="72" t="s">
        <v>2459</v>
      </c>
    </row>
    <row r="734" customFormat="false" ht="15" hidden="false" customHeight="true" outlineLevel="0" collapsed="false">
      <c r="A734" s="75" t="n">
        <v>4274210</v>
      </c>
      <c r="B734" s="75" t="s">
        <v>2460</v>
      </c>
      <c r="C734" s="75" t="n">
        <v>2026</v>
      </c>
      <c r="D734" s="76" t="n">
        <v>7.99</v>
      </c>
      <c r="E734" s="77" t="n">
        <v>151</v>
      </c>
      <c r="F734" s="75" t="n">
        <v>100</v>
      </c>
      <c r="G734" s="75" t="s">
        <v>2227</v>
      </c>
      <c r="H734" s="75" t="s">
        <v>2461</v>
      </c>
    </row>
    <row r="735" customFormat="false" ht="15" hidden="false" customHeight="true" outlineLevel="0" collapsed="false">
      <c r="A735" s="72" t="n">
        <v>2338040</v>
      </c>
      <c r="B735" s="72" t="s">
        <v>2462</v>
      </c>
      <c r="C735" s="72" t="n">
        <v>2024</v>
      </c>
      <c r="D735" s="73" t="n">
        <v>9.99</v>
      </c>
      <c r="E735" s="74" t="n">
        <v>150</v>
      </c>
      <c r="F735" s="72" t="n">
        <v>69</v>
      </c>
      <c r="G735" s="72" t="s">
        <v>2126</v>
      </c>
      <c r="H735" s="72" t="s">
        <v>2463</v>
      </c>
    </row>
    <row r="736" customFormat="false" ht="15" hidden="false" customHeight="true" outlineLevel="0" collapsed="false">
      <c r="A736" s="75" t="n">
        <v>2764200</v>
      </c>
      <c r="B736" s="75" t="s">
        <v>2464</v>
      </c>
      <c r="C736" s="75" t="n">
        <v>2024</v>
      </c>
      <c r="D736" s="76" t="n">
        <v>4.19</v>
      </c>
      <c r="E736" s="77" t="n">
        <v>148</v>
      </c>
      <c r="F736" s="75" t="n">
        <v>90</v>
      </c>
      <c r="G736" s="75" t="s">
        <v>2465</v>
      </c>
      <c r="H736" s="75" t="s">
        <v>2466</v>
      </c>
    </row>
    <row r="737" customFormat="false" ht="15" hidden="false" customHeight="true" outlineLevel="0" collapsed="false">
      <c r="A737" s="72" t="n">
        <v>2846800</v>
      </c>
      <c r="B737" s="72" t="s">
        <v>2467</v>
      </c>
      <c r="C737" s="72" t="n">
        <v>2026</v>
      </c>
      <c r="D737" s="73" t="n">
        <v>10.99</v>
      </c>
      <c r="E737" s="74" t="n">
        <v>145</v>
      </c>
      <c r="F737" s="72" t="n">
        <v>100</v>
      </c>
      <c r="G737" s="72" t="s">
        <v>2468</v>
      </c>
      <c r="H737" s="72" t="s">
        <v>2469</v>
      </c>
    </row>
    <row r="738" customFormat="false" ht="15" hidden="false" customHeight="true" outlineLevel="0" collapsed="false">
      <c r="A738" s="75" t="n">
        <v>1997120</v>
      </c>
      <c r="B738" s="75" t="s">
        <v>2470</v>
      </c>
      <c r="C738" s="75" t="n">
        <v>2023</v>
      </c>
      <c r="D738" s="76" t="n">
        <v>4.99</v>
      </c>
      <c r="E738" s="77" t="n">
        <v>135</v>
      </c>
      <c r="F738" s="75" t="n">
        <v>100</v>
      </c>
      <c r="G738" s="75" t="s">
        <v>2471</v>
      </c>
      <c r="H738" s="75" t="s">
        <v>2472</v>
      </c>
    </row>
    <row r="739" customFormat="false" ht="15" hidden="false" customHeight="true" outlineLevel="0" collapsed="false">
      <c r="A739" s="72" t="n">
        <v>2714910</v>
      </c>
      <c r="B739" s="72" t="s">
        <v>2473</v>
      </c>
      <c r="C739" s="72" t="n">
        <v>2024</v>
      </c>
      <c r="D739" s="73" t="n">
        <v>4.99</v>
      </c>
      <c r="E739" s="74" t="n">
        <v>133</v>
      </c>
      <c r="F739" s="72" t="n">
        <v>92</v>
      </c>
      <c r="G739" s="72" t="s">
        <v>1257</v>
      </c>
      <c r="H739" s="72" t="s">
        <v>2474</v>
      </c>
    </row>
    <row r="740" customFormat="false" ht="15" hidden="false" customHeight="true" outlineLevel="0" collapsed="false">
      <c r="A740" s="75" t="n">
        <v>1447590</v>
      </c>
      <c r="B740" s="75" t="s">
        <v>2475</v>
      </c>
      <c r="C740" s="75" t="n">
        <v>2023</v>
      </c>
      <c r="D740" s="76" t="n">
        <v>4.99</v>
      </c>
      <c r="E740" s="77" t="n">
        <v>131</v>
      </c>
      <c r="F740" s="75" t="n">
        <v>71</v>
      </c>
      <c r="G740" s="75" t="s">
        <v>2476</v>
      </c>
      <c r="H740" s="75" t="s">
        <v>2477</v>
      </c>
    </row>
    <row r="741" customFormat="false" ht="15" hidden="false" customHeight="true" outlineLevel="0" collapsed="false">
      <c r="A741" s="72" t="n">
        <v>3553150</v>
      </c>
      <c r="B741" s="72" t="s">
        <v>2478</v>
      </c>
      <c r="C741" s="72" t="n">
        <v>2026</v>
      </c>
      <c r="D741" s="73" t="n">
        <v>10.99</v>
      </c>
      <c r="E741" s="74" t="n">
        <v>130</v>
      </c>
      <c r="F741" s="72" t="n">
        <v>70</v>
      </c>
      <c r="G741" s="72" t="s">
        <v>2479</v>
      </c>
      <c r="H741" s="72" t="s">
        <v>2480</v>
      </c>
    </row>
    <row r="742" customFormat="false" ht="15" hidden="false" customHeight="true" outlineLevel="0" collapsed="false">
      <c r="A742" s="75" t="n">
        <v>4474960</v>
      </c>
      <c r="B742" s="75" t="s">
        <v>2481</v>
      </c>
      <c r="C742" s="75" t="n">
        <v>2026</v>
      </c>
      <c r="D742" s="76" t="n">
        <v>5.79</v>
      </c>
      <c r="E742" s="77" t="n">
        <v>130</v>
      </c>
      <c r="F742" s="75" t="n">
        <v>100</v>
      </c>
      <c r="G742" s="75" t="s">
        <v>2482</v>
      </c>
      <c r="H742" s="75" t="s">
        <v>2483</v>
      </c>
    </row>
    <row r="743" customFormat="false" ht="15" hidden="false" customHeight="true" outlineLevel="0" collapsed="false">
      <c r="A743" s="72" t="n">
        <v>3320370</v>
      </c>
      <c r="B743" s="72" t="s">
        <v>367</v>
      </c>
      <c r="C743" s="72" t="n">
        <v>2025</v>
      </c>
      <c r="D743" s="73" t="n">
        <v>9.99</v>
      </c>
      <c r="E743" s="74" t="n">
        <v>129</v>
      </c>
      <c r="F743" s="72" t="n">
        <v>67</v>
      </c>
      <c r="G743" s="72" t="s">
        <v>2484</v>
      </c>
      <c r="H743" s="72" t="s">
        <v>2485</v>
      </c>
    </row>
    <row r="744" customFormat="false" ht="15" hidden="false" customHeight="true" outlineLevel="0" collapsed="false">
      <c r="A744" s="75" t="n">
        <v>3139270</v>
      </c>
      <c r="B744" s="75" t="s">
        <v>2486</v>
      </c>
      <c r="C744" s="75" t="n">
        <v>2024</v>
      </c>
      <c r="D744" s="76" t="n">
        <v>4.99</v>
      </c>
      <c r="E744" s="77" t="n">
        <v>128</v>
      </c>
      <c r="F744" s="75" t="n">
        <v>100</v>
      </c>
      <c r="G744" s="75" t="s">
        <v>2487</v>
      </c>
      <c r="H744" s="75" t="s">
        <v>2488</v>
      </c>
    </row>
    <row r="745" customFormat="false" ht="15" hidden="false" customHeight="true" outlineLevel="0" collapsed="false">
      <c r="A745" s="72" t="n">
        <v>3963750</v>
      </c>
      <c r="B745" s="72" t="s">
        <v>406</v>
      </c>
      <c r="C745" s="72" t="n">
        <v>2025</v>
      </c>
      <c r="D745" s="73" t="n">
        <v>4.99</v>
      </c>
      <c r="E745" s="74" t="n">
        <v>120</v>
      </c>
      <c r="F745" s="72" t="n">
        <v>100</v>
      </c>
      <c r="G745" s="72" t="s">
        <v>2489</v>
      </c>
      <c r="H745" s="72" t="s">
        <v>2490</v>
      </c>
    </row>
    <row r="746" customFormat="false" ht="15" hidden="false" customHeight="true" outlineLevel="0" collapsed="false">
      <c r="A746" s="75" t="n">
        <v>1540740</v>
      </c>
      <c r="B746" s="75" t="s">
        <v>2491</v>
      </c>
      <c r="C746" s="75" t="n">
        <v>2021</v>
      </c>
      <c r="D746" s="76" t="n">
        <v>9.99</v>
      </c>
      <c r="E746" s="77" t="n">
        <v>118</v>
      </c>
      <c r="F746" s="75" t="n">
        <v>88</v>
      </c>
      <c r="G746" s="75" t="s">
        <v>2492</v>
      </c>
      <c r="H746" s="75" t="s">
        <v>2493</v>
      </c>
    </row>
    <row r="747" customFormat="false" ht="15" hidden="false" customHeight="true" outlineLevel="0" collapsed="false">
      <c r="A747" s="72" t="n">
        <v>2942160</v>
      </c>
      <c r="B747" s="72" t="s">
        <v>2494</v>
      </c>
      <c r="C747" s="72" t="n">
        <v>2024</v>
      </c>
      <c r="D747" s="73" t="n">
        <v>7.99</v>
      </c>
      <c r="E747" s="74" t="n">
        <v>117</v>
      </c>
      <c r="F747" s="72" t="n">
        <v>67</v>
      </c>
      <c r="G747" s="72" t="s">
        <v>2495</v>
      </c>
      <c r="H747" s="72" t="s">
        <v>2496</v>
      </c>
    </row>
    <row r="748" customFormat="false" ht="15" hidden="false" customHeight="true" outlineLevel="0" collapsed="false">
      <c r="A748" s="75" t="n">
        <v>2243070</v>
      </c>
      <c r="B748" s="75" t="s">
        <v>458</v>
      </c>
      <c r="C748" s="75" t="n">
        <v>2023</v>
      </c>
      <c r="D748" s="76" t="n">
        <v>10.99</v>
      </c>
      <c r="E748" s="77" t="n">
        <v>116</v>
      </c>
      <c r="F748" s="75" t="n">
        <v>83</v>
      </c>
      <c r="G748" s="75" t="s">
        <v>2497</v>
      </c>
      <c r="H748" s="75" t="s">
        <v>2498</v>
      </c>
    </row>
    <row r="749" customFormat="false" ht="15" hidden="false" customHeight="true" outlineLevel="0" collapsed="false">
      <c r="A749" s="72" t="n">
        <v>4486090</v>
      </c>
      <c r="B749" s="72" t="s">
        <v>2499</v>
      </c>
      <c r="C749" s="72" t="n">
        <v>2026</v>
      </c>
      <c r="D749" s="73" t="n">
        <v>6.99</v>
      </c>
      <c r="E749" s="74" t="n">
        <v>112</v>
      </c>
      <c r="F749" s="72" t="n">
        <v>33</v>
      </c>
      <c r="G749" s="72" t="s">
        <v>1459</v>
      </c>
      <c r="H749" s="72" t="s">
        <v>2500</v>
      </c>
    </row>
    <row r="750" customFormat="false" ht="15" hidden="false" customHeight="true" outlineLevel="0" collapsed="false">
      <c r="A750" s="75" t="n">
        <v>4603750</v>
      </c>
      <c r="B750" s="75" t="s">
        <v>2501</v>
      </c>
      <c r="C750" s="75" t="n">
        <v>2026</v>
      </c>
      <c r="D750" s="76" t="n">
        <v>9.99</v>
      </c>
      <c r="E750" s="77" t="n">
        <v>112</v>
      </c>
      <c r="F750" s="75" t="n">
        <v>100</v>
      </c>
      <c r="G750" s="75" t="s">
        <v>2502</v>
      </c>
      <c r="H750" s="75" t="s">
        <v>2503</v>
      </c>
    </row>
    <row r="751" customFormat="false" ht="15" hidden="false" customHeight="true" outlineLevel="0" collapsed="false">
      <c r="A751" s="72" t="n">
        <v>3532340</v>
      </c>
      <c r="B751" s="72" t="s">
        <v>2504</v>
      </c>
      <c r="C751" s="72" t="n">
        <v>2026</v>
      </c>
      <c r="D751" s="73" t="n">
        <v>6.99</v>
      </c>
      <c r="E751" s="74" t="n">
        <v>110</v>
      </c>
      <c r="F751" s="72" t="n">
        <v>92</v>
      </c>
      <c r="G751" s="72" t="s">
        <v>2505</v>
      </c>
      <c r="H751" s="72" t="s">
        <v>2506</v>
      </c>
    </row>
    <row r="752" customFormat="false" ht="15" hidden="false" customHeight="true" outlineLevel="0" collapsed="false">
      <c r="A752" s="75" t="n">
        <v>4295100</v>
      </c>
      <c r="B752" s="75" t="s">
        <v>373</v>
      </c>
      <c r="C752" s="75" t="n">
        <v>2026</v>
      </c>
      <c r="D752" s="76" t="n">
        <v>6.99</v>
      </c>
      <c r="E752" s="77" t="n">
        <v>110</v>
      </c>
      <c r="F752" s="75" t="n">
        <v>100</v>
      </c>
      <c r="G752" s="75" t="s">
        <v>2507</v>
      </c>
      <c r="H752" s="75" t="s">
        <v>2508</v>
      </c>
    </row>
    <row r="753" customFormat="false" ht="15" hidden="false" customHeight="true" outlineLevel="0" collapsed="false">
      <c r="A753" s="72" t="n">
        <v>4610000</v>
      </c>
      <c r="B753" s="72" t="s">
        <v>2509</v>
      </c>
      <c r="C753" s="72" t="n">
        <v>2026</v>
      </c>
      <c r="D753" s="73" t="n">
        <v>9.99</v>
      </c>
      <c r="E753" s="74" t="n">
        <v>109</v>
      </c>
      <c r="F753" s="72" t="n">
        <v>100</v>
      </c>
      <c r="G753" s="72" t="s">
        <v>2510</v>
      </c>
      <c r="H753" s="72" t="s">
        <v>2511</v>
      </c>
    </row>
    <row r="754" customFormat="false" ht="15" hidden="false" customHeight="true" outlineLevel="0" collapsed="false">
      <c r="A754" s="75" t="n">
        <v>3764530</v>
      </c>
      <c r="B754" s="75" t="s">
        <v>2512</v>
      </c>
      <c r="C754" s="75" t="n">
        <v>2025</v>
      </c>
      <c r="D754" s="76" t="n">
        <v>11.99</v>
      </c>
      <c r="E754" s="77" t="n">
        <v>109</v>
      </c>
      <c r="F754" s="75" t="n">
        <v>100</v>
      </c>
      <c r="G754" s="75" t="s">
        <v>2513</v>
      </c>
      <c r="H754" s="75" t="s">
        <v>2514</v>
      </c>
    </row>
    <row r="755" customFormat="false" ht="15" hidden="false" customHeight="true" outlineLevel="0" collapsed="false">
      <c r="A755" s="72" t="n">
        <v>4996780</v>
      </c>
      <c r="B755" s="72" t="s">
        <v>2515</v>
      </c>
      <c r="C755" s="72" t="n">
        <v>2026</v>
      </c>
      <c r="D755" s="73" t="n">
        <v>8.99</v>
      </c>
      <c r="E755" s="74" t="n">
        <v>108</v>
      </c>
      <c r="F755" s="72" t="n">
        <v>67</v>
      </c>
      <c r="G755" s="72" t="s">
        <v>2516</v>
      </c>
      <c r="H755" s="72" t="s">
        <v>2517</v>
      </c>
    </row>
    <row r="756" customFormat="false" ht="15" hidden="false" customHeight="true" outlineLevel="0" collapsed="false">
      <c r="A756" s="75" t="n">
        <v>3670600</v>
      </c>
      <c r="B756" s="75" t="s">
        <v>2518</v>
      </c>
      <c r="C756" s="75" t="n">
        <v>2025</v>
      </c>
      <c r="D756" s="76" t="n">
        <v>14.99</v>
      </c>
      <c r="E756" s="77" t="n">
        <v>104</v>
      </c>
      <c r="F756" s="75" t="n">
        <v>100</v>
      </c>
      <c r="G756" s="75" t="s">
        <v>2519</v>
      </c>
      <c r="H756" s="75" t="s">
        <v>2520</v>
      </c>
    </row>
    <row r="757" customFormat="false" ht="15" hidden="false" customHeight="true" outlineLevel="0" collapsed="false">
      <c r="A757" s="72" t="n">
        <v>3100640</v>
      </c>
      <c r="B757" s="72" t="s">
        <v>2521</v>
      </c>
      <c r="C757" s="72" t="n">
        <v>2024</v>
      </c>
      <c r="D757" s="73" t="n">
        <v>3.99</v>
      </c>
      <c r="E757" s="74" t="n">
        <v>104</v>
      </c>
      <c r="F757" s="72" t="n">
        <v>57</v>
      </c>
      <c r="G757" s="72" t="s">
        <v>2522</v>
      </c>
      <c r="H757" s="72" t="s">
        <v>2523</v>
      </c>
    </row>
    <row r="758" customFormat="false" ht="15" hidden="false" customHeight="true" outlineLevel="0" collapsed="false">
      <c r="A758" s="75" t="n">
        <v>1602030</v>
      </c>
      <c r="B758" s="75" t="s">
        <v>2524</v>
      </c>
      <c r="C758" s="75" t="n">
        <v>2026</v>
      </c>
      <c r="D758" s="76" t="n">
        <v>13.99</v>
      </c>
      <c r="E758" s="77" t="n">
        <v>103</v>
      </c>
      <c r="F758" s="75" t="n">
        <v>100</v>
      </c>
      <c r="G758" s="75" t="s">
        <v>2525</v>
      </c>
      <c r="H758" s="75" t="s">
        <v>2526</v>
      </c>
    </row>
    <row r="759" customFormat="false" ht="15" hidden="false" customHeight="true" outlineLevel="0" collapsed="false">
      <c r="A759" s="72" t="n">
        <v>4482350</v>
      </c>
      <c r="B759" s="72" t="s">
        <v>2527</v>
      </c>
      <c r="C759" s="72" t="n">
        <v>2026</v>
      </c>
      <c r="D759" s="73" t="n">
        <v>11.99</v>
      </c>
      <c r="E759" s="74" t="n">
        <v>103</v>
      </c>
      <c r="F759" s="72" t="n">
        <v>100</v>
      </c>
      <c r="G759" s="72" t="s">
        <v>2528</v>
      </c>
      <c r="H759" s="72" t="s">
        <v>2529</v>
      </c>
    </row>
    <row r="760" customFormat="false" ht="15" hidden="false" customHeight="true" outlineLevel="0" collapsed="false">
      <c r="A760" s="75" t="n">
        <v>3106070</v>
      </c>
      <c r="B760" s="75" t="s">
        <v>2530</v>
      </c>
      <c r="C760" s="75" t="n">
        <v>2024</v>
      </c>
      <c r="D760" s="76" t="n">
        <v>2.99</v>
      </c>
      <c r="E760" s="77" t="n">
        <v>101</v>
      </c>
      <c r="F760" s="75" t="n">
        <v>80</v>
      </c>
      <c r="G760" s="75" t="s">
        <v>2531</v>
      </c>
      <c r="H760" s="75" t="s">
        <v>2532</v>
      </c>
    </row>
    <row r="761" customFormat="false" ht="15" hidden="false" customHeight="true" outlineLevel="0" collapsed="false">
      <c r="A761" s="72" t="n">
        <v>2490310</v>
      </c>
      <c r="B761" s="72" t="s">
        <v>362</v>
      </c>
      <c r="C761" s="72" t="n">
        <v>2024</v>
      </c>
      <c r="D761" s="73" t="n">
        <v>4.99</v>
      </c>
      <c r="E761" s="74" t="n">
        <v>97</v>
      </c>
      <c r="F761" s="72" t="n">
        <v>40</v>
      </c>
      <c r="G761" s="72" t="s">
        <v>2533</v>
      </c>
      <c r="H761" s="72" t="s">
        <v>2534</v>
      </c>
    </row>
    <row r="762" customFormat="false" ht="15" hidden="false" customHeight="true" outlineLevel="0" collapsed="false">
      <c r="A762" s="75" t="n">
        <v>3964420</v>
      </c>
      <c r="B762" s="75" t="s">
        <v>2535</v>
      </c>
      <c r="C762" s="75" t="n">
        <v>2026</v>
      </c>
      <c r="D762" s="76" t="n">
        <v>14.99</v>
      </c>
      <c r="E762" s="77" t="n">
        <v>95</v>
      </c>
      <c r="F762" s="75" t="n">
        <v>60</v>
      </c>
      <c r="G762" s="75" t="s">
        <v>2536</v>
      </c>
      <c r="H762" s="75" t="s">
        <v>2537</v>
      </c>
    </row>
    <row r="763" customFormat="false" ht="15" hidden="false" customHeight="true" outlineLevel="0" collapsed="false">
      <c r="A763" s="72" t="n">
        <v>3481360</v>
      </c>
      <c r="B763" s="72" t="s">
        <v>2538</v>
      </c>
      <c r="C763" s="72" t="n">
        <v>2025</v>
      </c>
      <c r="D763" s="73" t="n">
        <v>9.99</v>
      </c>
      <c r="E763" s="74" t="n">
        <v>95</v>
      </c>
      <c r="F763" s="72" t="n">
        <v>88</v>
      </c>
      <c r="G763" s="72" t="s">
        <v>2539</v>
      </c>
      <c r="H763" s="72" t="s">
        <v>2540</v>
      </c>
    </row>
    <row r="764" customFormat="false" ht="15" hidden="false" customHeight="true" outlineLevel="0" collapsed="false">
      <c r="A764" s="75" t="n">
        <v>5248520</v>
      </c>
      <c r="B764" s="75" t="s">
        <v>2541</v>
      </c>
      <c r="C764" s="75" t="n">
        <v>2026</v>
      </c>
      <c r="D764" s="76" t="n">
        <v>9.99</v>
      </c>
      <c r="E764" s="77" t="n">
        <v>93</v>
      </c>
      <c r="F764" s="75" t="n">
        <v>100</v>
      </c>
      <c r="G764" s="75" t="s">
        <v>2542</v>
      </c>
      <c r="H764" s="75" t="s">
        <v>2543</v>
      </c>
    </row>
    <row r="765" customFormat="false" ht="15" hidden="false" customHeight="true" outlineLevel="0" collapsed="false">
      <c r="A765" s="72" t="n">
        <v>2650340</v>
      </c>
      <c r="B765" s="72" t="s">
        <v>2544</v>
      </c>
      <c r="C765" s="72" t="n">
        <v>2026</v>
      </c>
      <c r="D765" s="73" t="n">
        <v>13.99</v>
      </c>
      <c r="E765" s="74" t="n">
        <v>91</v>
      </c>
      <c r="F765" s="72" t="n">
        <v>67</v>
      </c>
      <c r="G765" s="72" t="s">
        <v>2545</v>
      </c>
      <c r="H765" s="72" t="s">
        <v>2546</v>
      </c>
    </row>
    <row r="766" customFormat="false" ht="15" hidden="false" customHeight="true" outlineLevel="0" collapsed="false">
      <c r="A766" s="75" t="n">
        <v>3558240</v>
      </c>
      <c r="B766" s="75" t="s">
        <v>2547</v>
      </c>
      <c r="C766" s="75" t="n">
        <v>2025</v>
      </c>
      <c r="D766" s="76" t="n">
        <v>4.99</v>
      </c>
      <c r="E766" s="77" t="n">
        <v>91</v>
      </c>
      <c r="F766" s="75" t="n">
        <v>80</v>
      </c>
      <c r="G766" s="75" t="s">
        <v>2548</v>
      </c>
      <c r="H766" s="75" t="s">
        <v>2549</v>
      </c>
    </row>
    <row r="767" customFormat="false" ht="15" hidden="false" customHeight="true" outlineLevel="0" collapsed="false">
      <c r="A767" s="72" t="n">
        <v>2515520</v>
      </c>
      <c r="B767" s="72" t="s">
        <v>2550</v>
      </c>
      <c r="C767" s="72" t="n">
        <v>2023</v>
      </c>
      <c r="D767" s="73" t="n">
        <v>4.99</v>
      </c>
      <c r="E767" s="74" t="n">
        <v>90</v>
      </c>
      <c r="F767" s="72" t="n">
        <v>75</v>
      </c>
      <c r="G767" s="72" t="s">
        <v>2551</v>
      </c>
      <c r="H767" s="72" t="s">
        <v>2552</v>
      </c>
    </row>
    <row r="768" customFormat="false" ht="15" hidden="false" customHeight="true" outlineLevel="0" collapsed="false">
      <c r="A768" s="75" t="n">
        <v>867470</v>
      </c>
      <c r="B768" s="75" t="s">
        <v>2553</v>
      </c>
      <c r="C768" s="75" t="n">
        <v>2019</v>
      </c>
      <c r="D768" s="76" t="n">
        <v>24.99</v>
      </c>
      <c r="E768" s="77" t="n">
        <v>88</v>
      </c>
      <c r="F768" s="75" t="n">
        <v>86</v>
      </c>
      <c r="G768" s="75" t="s">
        <v>2554</v>
      </c>
      <c r="H768" s="75" t="s">
        <v>2555</v>
      </c>
    </row>
    <row r="769" customFormat="false" ht="15" hidden="false" customHeight="true" outlineLevel="0" collapsed="false">
      <c r="A769" s="72" t="n">
        <v>4642650</v>
      </c>
      <c r="B769" s="72" t="s">
        <v>2556</v>
      </c>
      <c r="C769" s="72" t="n">
        <v>2026</v>
      </c>
      <c r="D769" s="73" t="n">
        <v>4.99</v>
      </c>
      <c r="E769" s="74" t="n">
        <v>88</v>
      </c>
      <c r="F769" s="72" t="n">
        <v>60</v>
      </c>
      <c r="G769" s="72" t="s">
        <v>2557</v>
      </c>
      <c r="H769" s="72" t="s">
        <v>2558</v>
      </c>
    </row>
    <row r="770" customFormat="false" ht="15" hidden="false" customHeight="true" outlineLevel="0" collapsed="false">
      <c r="A770" s="75" t="n">
        <v>4637960</v>
      </c>
      <c r="B770" s="75" t="s">
        <v>430</v>
      </c>
      <c r="C770" s="75" t="n">
        <v>2026</v>
      </c>
      <c r="D770" s="76" t="n">
        <v>13.99</v>
      </c>
      <c r="E770" s="77" t="n">
        <v>85</v>
      </c>
      <c r="F770" s="75" t="n">
        <v>100</v>
      </c>
      <c r="G770" s="75" t="s">
        <v>2559</v>
      </c>
      <c r="H770" s="75" t="s">
        <v>2560</v>
      </c>
    </row>
    <row r="771" customFormat="false" ht="15" hidden="false" customHeight="true" outlineLevel="0" collapsed="false">
      <c r="A771" s="72" t="n">
        <v>3070040</v>
      </c>
      <c r="B771" s="72" t="s">
        <v>340</v>
      </c>
      <c r="C771" s="72" t="n">
        <v>2024</v>
      </c>
      <c r="D771" s="73" t="n">
        <v>15.99</v>
      </c>
      <c r="E771" s="74" t="n">
        <v>83</v>
      </c>
      <c r="F771" s="72" t="n">
        <v>100</v>
      </c>
      <c r="G771" s="72" t="s">
        <v>2396</v>
      </c>
      <c r="H771" s="72" t="s">
        <v>2561</v>
      </c>
    </row>
    <row r="772" customFormat="false" ht="15" hidden="false" customHeight="true" outlineLevel="0" collapsed="false">
      <c r="A772" s="75" t="n">
        <v>4224320</v>
      </c>
      <c r="B772" s="75" t="s">
        <v>394</v>
      </c>
      <c r="C772" s="75" t="n">
        <v>2026</v>
      </c>
      <c r="D772" s="76" t="n">
        <v>6.99</v>
      </c>
      <c r="E772" s="77" t="n">
        <v>82</v>
      </c>
      <c r="F772" s="75" t="n">
        <v>100</v>
      </c>
      <c r="G772" s="75" t="s">
        <v>2562</v>
      </c>
      <c r="H772" s="75" t="s">
        <v>2563</v>
      </c>
    </row>
    <row r="773" customFormat="false" ht="15" hidden="false" customHeight="true" outlineLevel="0" collapsed="false">
      <c r="A773" s="72" t="n">
        <v>2483630</v>
      </c>
      <c r="B773" s="72" t="s">
        <v>2564</v>
      </c>
      <c r="C773" s="72" t="n">
        <v>2024</v>
      </c>
      <c r="D773" s="73" t="n">
        <v>4.99</v>
      </c>
      <c r="E773" s="74" t="n">
        <v>82</v>
      </c>
      <c r="F773" s="72" t="n">
        <v>100</v>
      </c>
      <c r="G773" s="72" t="s">
        <v>2565</v>
      </c>
      <c r="H773" s="72" t="s">
        <v>2566</v>
      </c>
    </row>
    <row r="774" customFormat="false" ht="15" hidden="false" customHeight="true" outlineLevel="0" collapsed="false">
      <c r="A774" s="75" t="n">
        <v>3312330</v>
      </c>
      <c r="B774" s="75" t="s">
        <v>2567</v>
      </c>
      <c r="C774" s="75" t="n">
        <v>2026</v>
      </c>
      <c r="D774" s="76" t="n">
        <v>4.99</v>
      </c>
      <c r="E774" s="77" t="n">
        <v>81</v>
      </c>
      <c r="F774" s="75" t="n">
        <v>40</v>
      </c>
      <c r="G774" s="75" t="s">
        <v>2568</v>
      </c>
      <c r="H774" s="75" t="s">
        <v>2569</v>
      </c>
    </row>
    <row r="775" customFormat="false" ht="15" hidden="false" customHeight="true" outlineLevel="0" collapsed="false">
      <c r="A775" s="72" t="n">
        <v>3679070</v>
      </c>
      <c r="B775" s="72" t="s">
        <v>2570</v>
      </c>
      <c r="C775" s="72" t="n">
        <v>2025</v>
      </c>
      <c r="D775" s="73" t="n">
        <v>12.99</v>
      </c>
      <c r="E775" s="74" t="n">
        <v>80</v>
      </c>
      <c r="F775" s="72" t="n">
        <v>71</v>
      </c>
      <c r="G775" s="72" t="s">
        <v>2571</v>
      </c>
      <c r="H775" s="72" t="s">
        <v>2572</v>
      </c>
    </row>
    <row r="776" customFormat="false" ht="15" hidden="false" customHeight="true" outlineLevel="0" collapsed="false">
      <c r="A776" s="75" t="n">
        <v>3302460</v>
      </c>
      <c r="B776" s="75" t="s">
        <v>2573</v>
      </c>
      <c r="C776" s="75" t="n">
        <v>2025</v>
      </c>
      <c r="D776" s="76" t="n">
        <v>4.99</v>
      </c>
      <c r="E776" s="77" t="n">
        <v>79</v>
      </c>
      <c r="F776" s="75" t="n">
        <v>75</v>
      </c>
      <c r="G776" s="75" t="s">
        <v>2574</v>
      </c>
      <c r="H776" s="75" t="s">
        <v>2575</v>
      </c>
    </row>
    <row r="777" customFormat="false" ht="15" hidden="false" customHeight="true" outlineLevel="0" collapsed="false">
      <c r="A777" s="72" t="n">
        <v>2289550</v>
      </c>
      <c r="B777" s="72" t="s">
        <v>2576</v>
      </c>
      <c r="C777" s="72" t="n">
        <v>2023</v>
      </c>
      <c r="D777" s="73" t="n">
        <v>2.99</v>
      </c>
      <c r="E777" s="74" t="n">
        <v>79</v>
      </c>
      <c r="F777" s="72" t="n">
        <v>91</v>
      </c>
      <c r="G777" s="72" t="s">
        <v>2577</v>
      </c>
      <c r="H777" s="72" t="s">
        <v>2578</v>
      </c>
    </row>
    <row r="778" customFormat="false" ht="15" hidden="false" customHeight="true" outlineLevel="0" collapsed="false">
      <c r="A778" s="75" t="n">
        <v>2142040</v>
      </c>
      <c r="B778" s="75" t="s">
        <v>2579</v>
      </c>
      <c r="C778" s="75" t="n">
        <v>2023</v>
      </c>
      <c r="D778" s="76" t="n">
        <v>11.99</v>
      </c>
      <c r="E778" s="77" t="n">
        <v>77</v>
      </c>
      <c r="F778" s="75" t="n">
        <v>20</v>
      </c>
      <c r="G778" s="75" t="s">
        <v>2580</v>
      </c>
      <c r="H778" s="75" t="s">
        <v>2581</v>
      </c>
    </row>
    <row r="779" customFormat="false" ht="15" hidden="false" customHeight="true" outlineLevel="0" collapsed="false">
      <c r="A779" s="72" t="n">
        <v>1135860</v>
      </c>
      <c r="B779" s="72" t="s">
        <v>2582</v>
      </c>
      <c r="C779" s="72" t="n">
        <v>2019</v>
      </c>
      <c r="D779" s="73" t="n">
        <v>4.99</v>
      </c>
      <c r="E779" s="74" t="n">
        <v>77</v>
      </c>
      <c r="F779" s="72" t="n">
        <v>100</v>
      </c>
      <c r="G779" s="72" t="s">
        <v>2583</v>
      </c>
      <c r="H779" s="72" t="s">
        <v>2584</v>
      </c>
    </row>
    <row r="780" customFormat="false" ht="15" hidden="false" customHeight="true" outlineLevel="0" collapsed="false">
      <c r="A780" s="75" t="n">
        <v>5020610</v>
      </c>
      <c r="B780" s="75" t="s">
        <v>2585</v>
      </c>
      <c r="C780" s="75" t="n">
        <v>2026</v>
      </c>
      <c r="D780" s="76" t="n">
        <v>4.99</v>
      </c>
      <c r="E780" s="77" t="n">
        <v>77</v>
      </c>
      <c r="F780" s="75" t="n">
        <v>100</v>
      </c>
      <c r="G780" s="75" t="s">
        <v>2586</v>
      </c>
      <c r="H780" s="75" t="s">
        <v>2587</v>
      </c>
    </row>
    <row r="781" customFormat="false" ht="15" hidden="false" customHeight="true" outlineLevel="0" collapsed="false">
      <c r="A781" s="72" t="n">
        <v>1880310</v>
      </c>
      <c r="B781" s="72" t="s">
        <v>2588</v>
      </c>
      <c r="C781" s="72" t="n">
        <v>2022</v>
      </c>
      <c r="D781" s="73" t="n">
        <v>19.99</v>
      </c>
      <c r="E781" s="74" t="n">
        <v>75</v>
      </c>
      <c r="F781" s="72" t="n">
        <v>67</v>
      </c>
      <c r="G781" s="72" t="s">
        <v>2589</v>
      </c>
      <c r="H781" s="72" t="s">
        <v>2590</v>
      </c>
    </row>
    <row r="782" customFormat="false" ht="15" hidden="false" customHeight="true" outlineLevel="0" collapsed="false">
      <c r="A782" s="75" t="n">
        <v>3212290</v>
      </c>
      <c r="B782" s="75" t="s">
        <v>2591</v>
      </c>
      <c r="C782" s="75" t="n">
        <v>2026</v>
      </c>
      <c r="D782" s="76" t="n">
        <v>7.99</v>
      </c>
      <c r="E782" s="77" t="n">
        <v>73</v>
      </c>
      <c r="F782" s="75" t="n">
        <v>100</v>
      </c>
      <c r="G782" s="75" t="s">
        <v>2592</v>
      </c>
      <c r="H782" s="75" t="s">
        <v>2593</v>
      </c>
    </row>
    <row r="783" customFormat="false" ht="15" hidden="false" customHeight="true" outlineLevel="0" collapsed="false">
      <c r="A783" s="72" t="n">
        <v>2469890</v>
      </c>
      <c r="B783" s="72" t="s">
        <v>2594</v>
      </c>
      <c r="C783" s="72" t="n">
        <v>2023</v>
      </c>
      <c r="D783" s="73" t="n">
        <v>0.99</v>
      </c>
      <c r="E783" s="74" t="n">
        <v>73</v>
      </c>
      <c r="F783" s="72" t="n">
        <v>67</v>
      </c>
      <c r="G783" s="72" t="s">
        <v>2595</v>
      </c>
      <c r="H783" s="72" t="s">
        <v>2596</v>
      </c>
    </row>
    <row r="784" customFormat="false" ht="15" hidden="false" customHeight="true" outlineLevel="0" collapsed="false">
      <c r="A784" s="75" t="n">
        <v>1966810</v>
      </c>
      <c r="B784" s="75" t="s">
        <v>2597</v>
      </c>
      <c r="C784" s="75" t="n">
        <v>2025</v>
      </c>
      <c r="D784" s="76" t="n">
        <v>10.99</v>
      </c>
      <c r="E784" s="77" t="n">
        <v>72</v>
      </c>
      <c r="F784" s="75" t="n">
        <v>100</v>
      </c>
      <c r="G784" s="75" t="s">
        <v>2598</v>
      </c>
      <c r="H784" s="75" t="s">
        <v>2599</v>
      </c>
    </row>
    <row r="785" customFormat="false" ht="15" hidden="false" customHeight="true" outlineLevel="0" collapsed="false">
      <c r="A785" s="72" t="n">
        <v>4251280</v>
      </c>
      <c r="B785" s="72" t="s">
        <v>2600</v>
      </c>
      <c r="C785" s="72" t="n">
        <v>2026</v>
      </c>
      <c r="D785" s="73" t="n">
        <v>10.99</v>
      </c>
      <c r="E785" s="74" t="n">
        <v>71</v>
      </c>
      <c r="F785" s="72" t="n">
        <v>75</v>
      </c>
      <c r="G785" s="72" t="s">
        <v>2601</v>
      </c>
      <c r="H785" s="72" t="s">
        <v>2602</v>
      </c>
    </row>
    <row r="786" customFormat="false" ht="15" hidden="false" customHeight="true" outlineLevel="0" collapsed="false">
      <c r="A786" s="75" t="n">
        <v>3402160</v>
      </c>
      <c r="B786" s="75" t="s">
        <v>2603</v>
      </c>
      <c r="C786" s="75" t="n">
        <v>2025</v>
      </c>
      <c r="D786" s="76" t="n">
        <v>9.99</v>
      </c>
      <c r="E786" s="77" t="n">
        <v>71</v>
      </c>
      <c r="F786" s="75" t="n">
        <v>67</v>
      </c>
      <c r="G786" s="75" t="s">
        <v>2604</v>
      </c>
      <c r="H786" s="75" t="s">
        <v>2605</v>
      </c>
    </row>
    <row r="787" customFormat="false" ht="15" hidden="false" customHeight="true" outlineLevel="0" collapsed="false">
      <c r="A787" s="72" t="n">
        <v>2479070</v>
      </c>
      <c r="B787" s="72" t="s">
        <v>2606</v>
      </c>
      <c r="C787" s="72" t="n">
        <v>2023</v>
      </c>
      <c r="D787" s="73" t="n">
        <v>0.99</v>
      </c>
      <c r="E787" s="74" t="n">
        <v>70</v>
      </c>
      <c r="F787" s="72" t="n">
        <v>50</v>
      </c>
      <c r="G787" s="72" t="s">
        <v>2607</v>
      </c>
      <c r="H787" s="72" t="s">
        <v>2608</v>
      </c>
    </row>
    <row r="788" customFormat="false" ht="15" hidden="false" customHeight="true" outlineLevel="0" collapsed="false">
      <c r="A788" s="75" t="n">
        <v>3217480</v>
      </c>
      <c r="B788" s="75" t="s">
        <v>355</v>
      </c>
      <c r="C788" s="75" t="n">
        <v>2025</v>
      </c>
      <c r="D788" s="76" t="n">
        <v>17.99</v>
      </c>
      <c r="E788" s="77" t="n">
        <v>68</v>
      </c>
      <c r="F788" s="75" t="n">
        <v>80</v>
      </c>
      <c r="G788" s="75" t="s">
        <v>2609</v>
      </c>
      <c r="H788" s="75" t="s">
        <v>2610</v>
      </c>
    </row>
    <row r="789" customFormat="false" ht="15" hidden="false" customHeight="true" outlineLevel="0" collapsed="false">
      <c r="A789" s="72" t="n">
        <v>3980980</v>
      </c>
      <c r="B789" s="72" t="s">
        <v>2611</v>
      </c>
      <c r="C789" s="72" t="n">
        <v>2026</v>
      </c>
      <c r="D789" s="73" t="n">
        <v>4.99</v>
      </c>
      <c r="E789" s="74" t="n">
        <v>68</v>
      </c>
      <c r="F789" s="72" t="n">
        <v>100</v>
      </c>
      <c r="G789" s="72" t="s">
        <v>2074</v>
      </c>
      <c r="H789" s="72" t="s">
        <v>2612</v>
      </c>
    </row>
    <row r="790" customFormat="false" ht="15" hidden="false" customHeight="true" outlineLevel="0" collapsed="false">
      <c r="A790" s="75" t="n">
        <v>5343970</v>
      </c>
      <c r="B790" s="75" t="s">
        <v>2613</v>
      </c>
      <c r="C790" s="75" t="n">
        <v>2026</v>
      </c>
      <c r="D790" s="76" t="n">
        <v>0</v>
      </c>
      <c r="E790" s="77" t="n">
        <v>68</v>
      </c>
      <c r="F790" s="75" t="n">
        <v>100</v>
      </c>
      <c r="G790" s="75" t="s">
        <v>2614</v>
      </c>
      <c r="H790" s="75" t="s">
        <v>2615</v>
      </c>
    </row>
    <row r="791" customFormat="false" ht="15" hidden="false" customHeight="true" outlineLevel="0" collapsed="false">
      <c r="A791" s="72" t="n">
        <v>2880080</v>
      </c>
      <c r="B791" s="72" t="s">
        <v>2616</v>
      </c>
      <c r="C791" s="72" t="n">
        <v>2024</v>
      </c>
      <c r="D791" s="73" t="n">
        <v>4.99</v>
      </c>
      <c r="E791" s="74" t="n">
        <v>66</v>
      </c>
      <c r="F791" s="72" t="n">
        <v>89</v>
      </c>
      <c r="G791" s="72" t="s">
        <v>2617</v>
      </c>
      <c r="H791" s="72" t="s">
        <v>2618</v>
      </c>
    </row>
    <row r="792" customFormat="false" ht="15" hidden="false" customHeight="true" outlineLevel="0" collapsed="false">
      <c r="A792" s="75" t="n">
        <v>2720540</v>
      </c>
      <c r="B792" s="75" t="s">
        <v>2619</v>
      </c>
      <c r="C792" s="75" t="n">
        <v>2024</v>
      </c>
      <c r="D792" s="76" t="n">
        <v>2.99</v>
      </c>
      <c r="E792" s="77" t="n">
        <v>66</v>
      </c>
      <c r="F792" s="75" t="n">
        <v>100</v>
      </c>
      <c r="G792" s="75" t="s">
        <v>2620</v>
      </c>
      <c r="H792" s="75" t="s">
        <v>2621</v>
      </c>
    </row>
    <row r="793" customFormat="false" ht="15" hidden="false" customHeight="true" outlineLevel="0" collapsed="false">
      <c r="A793" s="72" t="n">
        <v>2360440</v>
      </c>
      <c r="B793" s="72" t="s">
        <v>2622</v>
      </c>
      <c r="C793" s="72" t="n">
        <v>2025</v>
      </c>
      <c r="D793" s="73" t="n">
        <v>4.99</v>
      </c>
      <c r="E793" s="74" t="n">
        <v>65</v>
      </c>
      <c r="F793" s="72" t="n">
        <v>89</v>
      </c>
      <c r="G793" s="72" t="s">
        <v>2623</v>
      </c>
      <c r="H793" s="72" t="s">
        <v>2624</v>
      </c>
    </row>
    <row r="794" customFormat="false" ht="15" hidden="false" customHeight="true" outlineLevel="0" collapsed="false">
      <c r="A794" s="75" t="n">
        <v>3665300</v>
      </c>
      <c r="B794" s="75" t="s">
        <v>2625</v>
      </c>
      <c r="C794" s="75" t="n">
        <v>2025</v>
      </c>
      <c r="D794" s="76" t="n">
        <v>2.99</v>
      </c>
      <c r="E794" s="77" t="n">
        <v>65</v>
      </c>
      <c r="F794" s="75" t="n">
        <v>100</v>
      </c>
      <c r="G794" s="75" t="s">
        <v>2626</v>
      </c>
      <c r="H794" s="75" t="s">
        <v>2627</v>
      </c>
    </row>
    <row r="795" customFormat="false" ht="15" hidden="false" customHeight="true" outlineLevel="0" collapsed="false">
      <c r="A795" s="72" t="n">
        <v>3292920</v>
      </c>
      <c r="B795" s="72" t="s">
        <v>2628</v>
      </c>
      <c r="C795" s="72" t="n">
        <v>2025</v>
      </c>
      <c r="D795" s="73" t="n">
        <v>7.99</v>
      </c>
      <c r="E795" s="74" t="n">
        <v>64</v>
      </c>
      <c r="F795" s="72" t="n">
        <v>67</v>
      </c>
      <c r="G795" s="72" t="s">
        <v>2629</v>
      </c>
      <c r="H795" s="72" t="s">
        <v>2630</v>
      </c>
    </row>
    <row r="796" customFormat="false" ht="15" hidden="false" customHeight="true" outlineLevel="0" collapsed="false">
      <c r="A796" s="75" t="n">
        <v>3878980</v>
      </c>
      <c r="B796" s="75" t="s">
        <v>2631</v>
      </c>
      <c r="C796" s="75" t="n">
        <v>2026</v>
      </c>
      <c r="D796" s="76" t="n">
        <v>4.99</v>
      </c>
      <c r="E796" s="77" t="n">
        <v>64</v>
      </c>
      <c r="F796" s="75" t="n">
        <v>100</v>
      </c>
      <c r="G796" s="75" t="s">
        <v>2632</v>
      </c>
      <c r="H796" s="75" t="s">
        <v>2633</v>
      </c>
    </row>
    <row r="797" customFormat="false" ht="15" hidden="false" customHeight="true" outlineLevel="0" collapsed="false">
      <c r="A797" s="72" t="n">
        <v>4575140</v>
      </c>
      <c r="B797" s="72" t="s">
        <v>2634</v>
      </c>
      <c r="C797" s="72" t="n">
        <v>2026</v>
      </c>
      <c r="D797" s="73" t="n">
        <v>3.99</v>
      </c>
      <c r="E797" s="74" t="n">
        <v>63</v>
      </c>
      <c r="F797" s="72" t="n">
        <v>60</v>
      </c>
      <c r="G797" s="72" t="s">
        <v>2635</v>
      </c>
      <c r="H797" s="72" t="s">
        <v>2636</v>
      </c>
    </row>
    <row r="798" customFormat="false" ht="15" hidden="false" customHeight="true" outlineLevel="0" collapsed="false">
      <c r="A798" s="75" t="n">
        <v>4458510</v>
      </c>
      <c r="B798" s="75" t="s">
        <v>2637</v>
      </c>
      <c r="C798" s="75" t="n">
        <v>2026</v>
      </c>
      <c r="D798" s="76" t="n">
        <v>4.99</v>
      </c>
      <c r="E798" s="77" t="n">
        <v>63</v>
      </c>
      <c r="F798" s="75" t="n">
        <v>50</v>
      </c>
      <c r="G798" s="75" t="s">
        <v>2638</v>
      </c>
      <c r="H798" s="75" t="s">
        <v>2639</v>
      </c>
    </row>
    <row r="799" customFormat="false" ht="15" hidden="false" customHeight="true" outlineLevel="0" collapsed="false">
      <c r="A799" s="72" t="n">
        <v>2798690</v>
      </c>
      <c r="B799" s="72" t="s">
        <v>2640</v>
      </c>
      <c r="C799" s="72" t="n">
        <v>2025</v>
      </c>
      <c r="D799" s="73" t="n">
        <v>4.99</v>
      </c>
      <c r="E799" s="74" t="n">
        <v>62</v>
      </c>
      <c r="F799" s="72" t="n">
        <v>100</v>
      </c>
      <c r="G799" s="72" t="s">
        <v>2641</v>
      </c>
      <c r="H799" s="72" t="s">
        <v>2642</v>
      </c>
    </row>
    <row r="800" customFormat="false" ht="15" hidden="false" customHeight="true" outlineLevel="0" collapsed="false">
      <c r="A800" s="75" t="n">
        <v>4026180</v>
      </c>
      <c r="B800" s="75" t="s">
        <v>2643</v>
      </c>
      <c r="C800" s="75" t="n">
        <v>2025</v>
      </c>
      <c r="D800" s="76" t="n">
        <v>9.99</v>
      </c>
      <c r="E800" s="77" t="n">
        <v>61</v>
      </c>
      <c r="F800" s="75" t="n">
        <v>25</v>
      </c>
      <c r="G800" s="75" t="s">
        <v>2644</v>
      </c>
      <c r="H800" s="75" t="s">
        <v>2645</v>
      </c>
    </row>
    <row r="801" customFormat="false" ht="15" hidden="false" customHeight="true" outlineLevel="0" collapsed="false">
      <c r="A801" s="72" t="n">
        <v>4262070</v>
      </c>
      <c r="B801" s="72" t="s">
        <v>2646</v>
      </c>
      <c r="C801" s="72" t="n">
        <v>2026</v>
      </c>
      <c r="D801" s="73" t="n">
        <v>6.99</v>
      </c>
      <c r="E801" s="74" t="n">
        <v>56</v>
      </c>
      <c r="F801" s="72" t="n">
        <v>100</v>
      </c>
      <c r="G801" s="72" t="s">
        <v>2647</v>
      </c>
      <c r="H801" s="72" t="s">
        <v>2648</v>
      </c>
    </row>
    <row r="802" customFormat="false" ht="15" hidden="false" customHeight="true" outlineLevel="0" collapsed="false">
      <c r="A802" s="75" t="n">
        <v>4397160</v>
      </c>
      <c r="B802" s="75" t="s">
        <v>2649</v>
      </c>
      <c r="C802" s="75" t="n">
        <v>2026</v>
      </c>
      <c r="D802" s="76" t="n">
        <v>1.99</v>
      </c>
      <c r="E802" s="77" t="n">
        <v>56</v>
      </c>
      <c r="F802" s="75" t="n">
        <v>33</v>
      </c>
      <c r="G802" s="75" t="s">
        <v>2650</v>
      </c>
      <c r="H802" s="75" t="s">
        <v>2651</v>
      </c>
    </row>
    <row r="803" customFormat="false" ht="15" hidden="false" customHeight="true" outlineLevel="0" collapsed="false">
      <c r="A803" s="72" t="n">
        <v>3941130</v>
      </c>
      <c r="B803" s="72" t="s">
        <v>365</v>
      </c>
      <c r="C803" s="72" t="n">
        <v>2026</v>
      </c>
      <c r="D803" s="73" t="n">
        <v>4.99</v>
      </c>
      <c r="E803" s="74" t="n">
        <v>53</v>
      </c>
      <c r="F803" s="72" t="n">
        <v>100</v>
      </c>
      <c r="G803" s="72" t="s">
        <v>2652</v>
      </c>
      <c r="H803" s="72" t="s">
        <v>2653</v>
      </c>
    </row>
    <row r="804" customFormat="false" ht="15" hidden="false" customHeight="true" outlineLevel="0" collapsed="false">
      <c r="A804" s="75" t="n">
        <v>1954440</v>
      </c>
      <c r="B804" s="75" t="s">
        <v>2654</v>
      </c>
      <c r="C804" s="75" t="n">
        <v>2022</v>
      </c>
      <c r="D804" s="76" t="n">
        <v>7.99</v>
      </c>
      <c r="E804" s="77" t="n">
        <v>50</v>
      </c>
      <c r="F804" s="75" t="n">
        <v>100</v>
      </c>
      <c r="G804" s="75" t="s">
        <v>2655</v>
      </c>
      <c r="H804" s="75" t="s">
        <v>2656</v>
      </c>
    </row>
    <row r="805" customFormat="false" ht="15" hidden="false" customHeight="true" outlineLevel="0" collapsed="false">
      <c r="A805" s="72" t="n">
        <v>4380280</v>
      </c>
      <c r="B805" s="72" t="s">
        <v>2657</v>
      </c>
      <c r="C805" s="72" t="n">
        <v>2026</v>
      </c>
      <c r="D805" s="73" t="n">
        <v>9.99</v>
      </c>
      <c r="E805" s="74" t="n">
        <v>50</v>
      </c>
      <c r="F805" s="72" t="n">
        <v>100</v>
      </c>
      <c r="G805" s="72" t="s">
        <v>2658</v>
      </c>
      <c r="H805" s="72" t="s">
        <v>2659</v>
      </c>
    </row>
    <row r="806" customFormat="false" ht="15" hidden="false" customHeight="true" outlineLevel="0" collapsed="false">
      <c r="A806" s="75" t="n">
        <v>2117190</v>
      </c>
      <c r="B806" s="75" t="s">
        <v>2660</v>
      </c>
      <c r="C806" s="75" t="n">
        <v>2022</v>
      </c>
      <c r="D806" s="76" t="n">
        <v>6.99</v>
      </c>
      <c r="E806" s="77" t="n">
        <v>50</v>
      </c>
      <c r="F806" s="75" t="n">
        <v>100</v>
      </c>
      <c r="G806" s="75" t="s">
        <v>2661</v>
      </c>
      <c r="H806" s="75" t="s">
        <v>2662</v>
      </c>
    </row>
    <row r="807" customFormat="false" ht="15" hidden="false" customHeight="true" outlineLevel="0" collapsed="false">
      <c r="A807" s="72" t="n">
        <v>4571100</v>
      </c>
      <c r="B807" s="72" t="s">
        <v>432</v>
      </c>
      <c r="C807" s="72" t="n">
        <v>2026</v>
      </c>
      <c r="D807" s="73" t="n">
        <v>6.99</v>
      </c>
      <c r="E807" s="74" t="n">
        <v>49</v>
      </c>
      <c r="F807" s="72" t="n">
        <v>80</v>
      </c>
      <c r="G807" s="72" t="s">
        <v>2663</v>
      </c>
      <c r="H807" s="72" t="s">
        <v>2664</v>
      </c>
    </row>
    <row r="808" customFormat="false" ht="15" hidden="false" customHeight="true" outlineLevel="0" collapsed="false">
      <c r="A808" s="75" t="n">
        <v>4676400</v>
      </c>
      <c r="B808" s="75" t="s">
        <v>2665</v>
      </c>
      <c r="C808" s="75" t="n">
        <v>2026</v>
      </c>
      <c r="D808" s="76" t="n">
        <v>3.99</v>
      </c>
      <c r="E808" s="77" t="n">
        <v>46</v>
      </c>
      <c r="F808" s="75" t="n">
        <v>50</v>
      </c>
      <c r="G808" s="75" t="s">
        <v>2666</v>
      </c>
      <c r="H808" s="75" t="s">
        <v>2667</v>
      </c>
    </row>
    <row r="809" customFormat="false" ht="15" hidden="false" customHeight="true" outlineLevel="0" collapsed="false">
      <c r="A809" s="72" t="n">
        <v>5312040</v>
      </c>
      <c r="B809" s="72" t="s">
        <v>2668</v>
      </c>
      <c r="C809" s="72" t="n">
        <v>2026</v>
      </c>
      <c r="D809" s="73" t="n">
        <v>6.99</v>
      </c>
      <c r="E809" s="74" t="n">
        <v>45</v>
      </c>
      <c r="F809" s="72" t="n">
        <v>100</v>
      </c>
      <c r="G809" s="72" t="s">
        <v>2669</v>
      </c>
      <c r="H809" s="72" t="s">
        <v>2670</v>
      </c>
    </row>
    <row r="810" customFormat="false" ht="15" hidden="false" customHeight="true" outlineLevel="0" collapsed="false">
      <c r="A810" s="75" t="n">
        <v>2141180</v>
      </c>
      <c r="B810" s="75" t="s">
        <v>2671</v>
      </c>
      <c r="C810" s="75" t="n">
        <v>2023</v>
      </c>
      <c r="D810" s="76" t="n">
        <v>2.99</v>
      </c>
      <c r="E810" s="77" t="n">
        <v>44</v>
      </c>
      <c r="F810" s="75" t="n">
        <v>100</v>
      </c>
      <c r="G810" s="75" t="s">
        <v>2672</v>
      </c>
      <c r="H810" s="75" t="s">
        <v>2673</v>
      </c>
    </row>
    <row r="811" customFormat="false" ht="15" hidden="false" customHeight="true" outlineLevel="0" collapsed="false">
      <c r="A811" s="72" t="n">
        <v>2458370</v>
      </c>
      <c r="B811" s="72" t="s">
        <v>2674</v>
      </c>
      <c r="C811" s="72" t="n">
        <v>2026</v>
      </c>
      <c r="D811" s="73" t="n">
        <v>14.99</v>
      </c>
      <c r="E811" s="74" t="n">
        <v>43</v>
      </c>
      <c r="F811" s="72" t="n">
        <v>100</v>
      </c>
      <c r="G811" s="72" t="s">
        <v>2675</v>
      </c>
      <c r="H811" s="72" t="s">
        <v>2676</v>
      </c>
    </row>
    <row r="812" customFormat="false" ht="15" hidden="false" customHeight="true" outlineLevel="0" collapsed="false">
      <c r="A812" s="75" t="n">
        <v>4127450</v>
      </c>
      <c r="B812" s="75" t="s">
        <v>2677</v>
      </c>
      <c r="C812" s="75" t="n">
        <v>2026</v>
      </c>
      <c r="D812" s="76" t="n">
        <v>1.99</v>
      </c>
      <c r="E812" s="77" t="n">
        <v>43</v>
      </c>
      <c r="F812" s="75" t="n">
        <v>100</v>
      </c>
      <c r="G812" s="75" t="s">
        <v>2678</v>
      </c>
      <c r="H812" s="75" t="s">
        <v>2679</v>
      </c>
    </row>
    <row r="813" customFormat="false" ht="15" hidden="false" customHeight="true" outlineLevel="0" collapsed="false">
      <c r="A813" s="72" t="n">
        <v>3870620</v>
      </c>
      <c r="B813" s="72" t="s">
        <v>2680</v>
      </c>
      <c r="C813" s="72" t="n">
        <v>2026</v>
      </c>
      <c r="D813" s="73" t="n">
        <v>7.99</v>
      </c>
      <c r="E813" s="74" t="n">
        <v>42</v>
      </c>
      <c r="F813" s="72" t="n">
        <v>100</v>
      </c>
      <c r="G813" s="72" t="s">
        <v>2681</v>
      </c>
      <c r="H813" s="72" t="s">
        <v>2682</v>
      </c>
    </row>
    <row r="814" customFormat="false" ht="15" hidden="false" customHeight="true" outlineLevel="0" collapsed="false">
      <c r="A814" s="75" t="n">
        <v>4556750</v>
      </c>
      <c r="B814" s="75" t="s">
        <v>2683</v>
      </c>
      <c r="C814" s="75" t="n">
        <v>2026</v>
      </c>
      <c r="D814" s="76" t="n">
        <v>5.99</v>
      </c>
      <c r="E814" s="77" t="n">
        <v>41</v>
      </c>
      <c r="F814" s="75" t="n">
        <v>100</v>
      </c>
      <c r="G814" s="75" t="s">
        <v>2684</v>
      </c>
      <c r="H814" s="75" t="s">
        <v>2685</v>
      </c>
    </row>
    <row r="815" customFormat="false" ht="15" hidden="false" customHeight="true" outlineLevel="0" collapsed="false">
      <c r="A815" s="72" t="n">
        <v>4363410</v>
      </c>
      <c r="B815" s="72" t="s">
        <v>2686</v>
      </c>
      <c r="C815" s="72" t="n">
        <v>2026</v>
      </c>
      <c r="D815" s="73" t="n">
        <v>3.99</v>
      </c>
      <c r="E815" s="74" t="n">
        <v>40</v>
      </c>
      <c r="F815" s="72" t="n">
        <v>100</v>
      </c>
      <c r="G815" s="72" t="s">
        <v>2687</v>
      </c>
      <c r="H815" s="72" t="s">
        <v>2688</v>
      </c>
    </row>
    <row r="816" customFormat="false" ht="15" hidden="false" customHeight="true" outlineLevel="0" collapsed="false">
      <c r="A816" s="75" t="n">
        <v>3145680</v>
      </c>
      <c r="B816" s="75" t="s">
        <v>2689</v>
      </c>
      <c r="C816" s="75" t="n">
        <v>2024</v>
      </c>
      <c r="D816" s="76" t="n">
        <v>2.99</v>
      </c>
      <c r="E816" s="77" t="n">
        <v>40</v>
      </c>
      <c r="F816" s="75" t="n">
        <v>100</v>
      </c>
      <c r="G816" s="75" t="s">
        <v>2690</v>
      </c>
      <c r="H816" s="75" t="s">
        <v>2691</v>
      </c>
    </row>
    <row r="817" customFormat="false" ht="15" hidden="false" customHeight="true" outlineLevel="0" collapsed="false">
      <c r="A817" s="72" t="n">
        <v>4982640</v>
      </c>
      <c r="B817" s="72" t="s">
        <v>2692</v>
      </c>
      <c r="C817" s="72" t="n">
        <v>2026</v>
      </c>
      <c r="D817" s="73" t="n">
        <v>1.99</v>
      </c>
      <c r="E817" s="74" t="n">
        <v>39</v>
      </c>
      <c r="F817" s="72" t="n">
        <v>67</v>
      </c>
      <c r="G817" s="72" t="s">
        <v>2693</v>
      </c>
      <c r="H817" s="72" t="s">
        <v>2694</v>
      </c>
    </row>
    <row r="818" customFormat="false" ht="15" hidden="false" customHeight="true" outlineLevel="0" collapsed="false">
      <c r="A818" s="75" t="n">
        <v>4566390</v>
      </c>
      <c r="B818" s="75" t="s">
        <v>2695</v>
      </c>
      <c r="C818" s="75" t="n">
        <v>2026</v>
      </c>
      <c r="D818" s="76" t="n">
        <v>9.99</v>
      </c>
      <c r="E818" s="77" t="n">
        <v>38</v>
      </c>
      <c r="F818" s="75" t="n">
        <v>100</v>
      </c>
      <c r="G818" s="75" t="s">
        <v>2696</v>
      </c>
      <c r="H818" s="75" t="s">
        <v>2697</v>
      </c>
    </row>
    <row r="819" customFormat="false" ht="15" hidden="false" customHeight="true" outlineLevel="0" collapsed="false">
      <c r="A819" s="72" t="n">
        <v>4859440</v>
      </c>
      <c r="B819" s="72" t="s">
        <v>2698</v>
      </c>
      <c r="C819" s="72" t="n">
        <v>2026</v>
      </c>
      <c r="D819" s="73" t="n">
        <v>6.99</v>
      </c>
      <c r="E819" s="74" t="n">
        <v>37</v>
      </c>
      <c r="F819" s="72" t="n">
        <v>100</v>
      </c>
      <c r="G819" s="72" t="s">
        <v>2699</v>
      </c>
      <c r="H819" s="72" t="s">
        <v>2700</v>
      </c>
    </row>
    <row r="820" customFormat="false" ht="15" hidden="false" customHeight="true" outlineLevel="0" collapsed="false">
      <c r="A820" s="75" t="n">
        <v>4957150</v>
      </c>
      <c r="B820" s="75" t="s">
        <v>2701</v>
      </c>
      <c r="C820" s="75" t="n">
        <v>2026</v>
      </c>
      <c r="D820" s="76" t="n">
        <v>4.99</v>
      </c>
      <c r="E820" s="77" t="n">
        <v>37</v>
      </c>
      <c r="F820" s="75" t="n">
        <v>100</v>
      </c>
      <c r="G820" s="75" t="s">
        <v>2702</v>
      </c>
      <c r="H820" s="75" t="s">
        <v>2703</v>
      </c>
    </row>
    <row r="821" customFormat="false" ht="15" hidden="false" customHeight="true" outlineLevel="0" collapsed="false">
      <c r="A821" s="72" t="n">
        <v>5222360</v>
      </c>
      <c r="B821" s="72" t="s">
        <v>2704</v>
      </c>
      <c r="C821" s="72" t="n">
        <v>2026</v>
      </c>
      <c r="D821" s="73" t="n">
        <v>9.99</v>
      </c>
      <c r="E821" s="74" t="n">
        <v>36</v>
      </c>
      <c r="F821" s="72" t="n">
        <v>50</v>
      </c>
      <c r="G821" s="72" t="s">
        <v>2705</v>
      </c>
      <c r="H821" s="72" t="s">
        <v>2706</v>
      </c>
    </row>
    <row r="822" customFormat="false" ht="15" hidden="false" customHeight="true" outlineLevel="0" collapsed="false">
      <c r="A822" s="75" t="n">
        <v>5178000</v>
      </c>
      <c r="B822" s="75" t="s">
        <v>2707</v>
      </c>
      <c r="C822" s="75" t="n">
        <v>2026</v>
      </c>
      <c r="D822" s="76" t="n">
        <v>6.99</v>
      </c>
      <c r="E822" s="77" t="n">
        <v>36</v>
      </c>
      <c r="F822" s="75" t="n">
        <v>50</v>
      </c>
      <c r="G822" s="75" t="s">
        <v>2708</v>
      </c>
      <c r="H822" s="75" t="s">
        <v>2709</v>
      </c>
    </row>
    <row r="823" customFormat="false" ht="15" hidden="false" customHeight="true" outlineLevel="0" collapsed="false">
      <c r="A823" s="72" t="n">
        <v>3953500</v>
      </c>
      <c r="B823" s="72" t="s">
        <v>2710</v>
      </c>
      <c r="C823" s="72" t="n">
        <v>2025</v>
      </c>
      <c r="D823" s="73" t="n">
        <v>5.99</v>
      </c>
      <c r="E823" s="74" t="n">
        <v>36</v>
      </c>
      <c r="F823" s="72" t="n">
        <v>50</v>
      </c>
      <c r="G823" s="72" t="s">
        <v>2711</v>
      </c>
      <c r="H823" s="72" t="s">
        <v>2712</v>
      </c>
    </row>
    <row r="824" customFormat="false" ht="15" hidden="false" customHeight="true" outlineLevel="0" collapsed="false">
      <c r="A824" s="75" t="n">
        <v>4016940</v>
      </c>
      <c r="B824" s="75" t="s">
        <v>2713</v>
      </c>
      <c r="C824" s="75" t="n">
        <v>2026</v>
      </c>
      <c r="D824" s="76" t="n">
        <v>3.99</v>
      </c>
      <c r="E824" s="77" t="n">
        <v>36</v>
      </c>
      <c r="F824" s="75" t="n">
        <v>50</v>
      </c>
      <c r="G824" s="75" t="s">
        <v>2714</v>
      </c>
      <c r="H824" s="75" t="s">
        <v>2715</v>
      </c>
    </row>
    <row r="825" customFormat="false" ht="15" hidden="false" customHeight="true" outlineLevel="0" collapsed="false">
      <c r="A825" s="72" t="n">
        <v>1494780</v>
      </c>
      <c r="B825" s="72" t="s">
        <v>2716</v>
      </c>
      <c r="C825" s="72" t="n">
        <v>2021</v>
      </c>
      <c r="D825" s="73" t="n">
        <v>9.99</v>
      </c>
      <c r="E825" s="74" t="n">
        <v>35</v>
      </c>
      <c r="F825" s="72" t="n">
        <v>100</v>
      </c>
      <c r="G825" s="72" t="s">
        <v>2717</v>
      </c>
      <c r="H825" s="72" t="s">
        <v>2718</v>
      </c>
    </row>
    <row r="826" customFormat="false" ht="15" hidden="false" customHeight="true" outlineLevel="0" collapsed="false">
      <c r="A826" s="75" t="n">
        <v>3968300</v>
      </c>
      <c r="B826" s="75" t="s">
        <v>2719</v>
      </c>
      <c r="C826" s="75" t="n">
        <v>2026</v>
      </c>
      <c r="D826" s="76" t="n">
        <v>9.99</v>
      </c>
      <c r="E826" s="77" t="n">
        <v>34</v>
      </c>
      <c r="F826" s="75" t="n">
        <v>100</v>
      </c>
      <c r="G826" s="75" t="s">
        <v>2720</v>
      </c>
      <c r="H826" s="75" t="s">
        <v>2721</v>
      </c>
    </row>
    <row r="827" customFormat="false" ht="15" hidden="false" customHeight="true" outlineLevel="0" collapsed="false">
      <c r="A827" s="72" t="n">
        <v>3830240</v>
      </c>
      <c r="B827" s="72" t="s">
        <v>337</v>
      </c>
      <c r="C827" s="72" t="n">
        <v>2025</v>
      </c>
      <c r="D827" s="73" t="n">
        <v>4.99</v>
      </c>
      <c r="E827" s="74" t="n">
        <v>34</v>
      </c>
      <c r="F827" s="72" t="n">
        <v>100</v>
      </c>
      <c r="G827" s="72" t="s">
        <v>2722</v>
      </c>
      <c r="H827" s="72" t="s">
        <v>2723</v>
      </c>
    </row>
    <row r="828" customFormat="false" ht="15" hidden="false" customHeight="true" outlineLevel="0" collapsed="false">
      <c r="A828" s="75" t="n">
        <v>2794280</v>
      </c>
      <c r="B828" s="75" t="s">
        <v>2724</v>
      </c>
      <c r="C828" s="75" t="n">
        <v>2025</v>
      </c>
      <c r="D828" s="76" t="n">
        <v>9.99</v>
      </c>
      <c r="E828" s="77" t="n">
        <v>33</v>
      </c>
      <c r="F828" s="75" t="n">
        <v>100</v>
      </c>
      <c r="G828" s="75" t="s">
        <v>2725</v>
      </c>
      <c r="H828" s="75" t="s">
        <v>2726</v>
      </c>
    </row>
    <row r="829" customFormat="false" ht="15" hidden="false" customHeight="true" outlineLevel="0" collapsed="false">
      <c r="A829" s="72" t="n">
        <v>3347610</v>
      </c>
      <c r="B829" s="72" t="s">
        <v>2727</v>
      </c>
      <c r="C829" s="72" t="n">
        <v>2025</v>
      </c>
      <c r="D829" s="73" t="n">
        <v>9.99</v>
      </c>
      <c r="E829" s="74" t="n">
        <v>33</v>
      </c>
      <c r="F829" s="72" t="n">
        <v>100</v>
      </c>
      <c r="G829" s="72" t="s">
        <v>2728</v>
      </c>
      <c r="H829" s="72" t="s">
        <v>2729</v>
      </c>
    </row>
    <row r="830" customFormat="false" ht="15" hidden="false" customHeight="true" outlineLevel="0" collapsed="false">
      <c r="A830" s="75" t="n">
        <v>4744730</v>
      </c>
      <c r="B830" s="75" t="s">
        <v>2730</v>
      </c>
      <c r="C830" s="75" t="n">
        <v>2026</v>
      </c>
      <c r="D830" s="76" t="n">
        <v>0.99</v>
      </c>
      <c r="E830" s="77" t="n">
        <v>33</v>
      </c>
      <c r="F830" s="75" t="n">
        <v>100</v>
      </c>
      <c r="G830" s="75" t="s">
        <v>2731</v>
      </c>
      <c r="H830" s="75" t="s">
        <v>2732</v>
      </c>
    </row>
    <row r="831" customFormat="false" ht="15" hidden="false" customHeight="true" outlineLevel="0" collapsed="false">
      <c r="A831" s="72" t="n">
        <v>3963830</v>
      </c>
      <c r="B831" s="72" t="s">
        <v>2733</v>
      </c>
      <c r="C831" s="72" t="n">
        <v>2025</v>
      </c>
      <c r="D831" s="73" t="n">
        <v>3.99</v>
      </c>
      <c r="E831" s="74" t="n">
        <v>32</v>
      </c>
      <c r="F831" s="72" t="n">
        <v>50</v>
      </c>
      <c r="G831" s="72" t="s">
        <v>2734</v>
      </c>
      <c r="H831" s="72" t="s">
        <v>2735</v>
      </c>
    </row>
    <row r="832" customFormat="false" ht="15" hidden="false" customHeight="true" outlineLevel="0" collapsed="false">
      <c r="A832" s="75" t="n">
        <v>4417700</v>
      </c>
      <c r="B832" s="75" t="s">
        <v>2736</v>
      </c>
      <c r="C832" s="75" t="n">
        <v>2026</v>
      </c>
      <c r="D832" s="76" t="n">
        <v>6.99</v>
      </c>
      <c r="E832" s="77" t="n">
        <v>31</v>
      </c>
      <c r="F832" s="75" t="n">
        <v>100</v>
      </c>
      <c r="G832" s="75" t="s">
        <v>2737</v>
      </c>
      <c r="H832" s="75" t="s">
        <v>2738</v>
      </c>
    </row>
    <row r="833" customFormat="false" ht="15" hidden="false" customHeight="true" outlineLevel="0" collapsed="false">
      <c r="A833" s="72" t="n">
        <v>4334020</v>
      </c>
      <c r="B833" s="72" t="s">
        <v>2739</v>
      </c>
      <c r="C833" s="72" t="n">
        <v>2026</v>
      </c>
      <c r="D833" s="73" t="n">
        <v>5.99</v>
      </c>
      <c r="E833" s="74" t="n">
        <v>31</v>
      </c>
      <c r="F833" s="72" t="n">
        <v>100</v>
      </c>
      <c r="G833" s="72" t="s">
        <v>2740</v>
      </c>
      <c r="H833" s="72" t="s">
        <v>2741</v>
      </c>
    </row>
    <row r="834" customFormat="false" ht="15" hidden="false" customHeight="true" outlineLevel="0" collapsed="false">
      <c r="A834" s="75" t="n">
        <v>2823630</v>
      </c>
      <c r="B834" s="75" t="s">
        <v>2742</v>
      </c>
      <c r="C834" s="75" t="n">
        <v>2024</v>
      </c>
      <c r="D834" s="76" t="n">
        <v>0.99</v>
      </c>
      <c r="E834" s="77" t="n">
        <v>30</v>
      </c>
      <c r="F834" s="75" t="n">
        <v>100</v>
      </c>
      <c r="G834" s="75" t="s">
        <v>2743</v>
      </c>
      <c r="H834" s="75" t="s">
        <v>2744</v>
      </c>
    </row>
    <row r="835" customFormat="false" ht="15" hidden="false" customHeight="true" outlineLevel="0" collapsed="false">
      <c r="A835" s="72" t="n">
        <v>3962850</v>
      </c>
      <c r="B835" s="72" t="s">
        <v>424</v>
      </c>
      <c r="C835" s="72" t="n">
        <v>2026</v>
      </c>
      <c r="D835" s="73" t="n">
        <v>9.99</v>
      </c>
      <c r="E835" s="74" t="n">
        <v>30</v>
      </c>
      <c r="F835" s="72" t="n">
        <v>100</v>
      </c>
      <c r="G835" s="72" t="s">
        <v>2745</v>
      </c>
      <c r="H835" s="72" t="s">
        <v>2746</v>
      </c>
    </row>
    <row r="836" customFormat="false" ht="15" hidden="false" customHeight="true" outlineLevel="0" collapsed="false">
      <c r="A836" s="75" t="n">
        <v>3295430</v>
      </c>
      <c r="B836" s="75" t="s">
        <v>2747</v>
      </c>
      <c r="C836" s="75" t="n">
        <v>2026</v>
      </c>
      <c r="D836" s="76" t="n">
        <v>8.99</v>
      </c>
      <c r="E836" s="77" t="n">
        <v>30</v>
      </c>
      <c r="F836" s="75" t="n">
        <v>100</v>
      </c>
      <c r="G836" s="75" t="s">
        <v>2748</v>
      </c>
      <c r="H836" s="75" t="s">
        <v>2749</v>
      </c>
    </row>
    <row r="837" customFormat="false" ht="15" hidden="false" customHeight="true" outlineLevel="0" collapsed="false">
      <c r="A837" s="72" t="n">
        <v>4617070</v>
      </c>
      <c r="B837" s="72" t="s">
        <v>2750</v>
      </c>
      <c r="C837" s="72" t="n">
        <v>2026</v>
      </c>
      <c r="D837" s="73" t="n">
        <v>9.99</v>
      </c>
      <c r="E837" s="74" t="n">
        <v>30</v>
      </c>
      <c r="F837" s="72" t="n">
        <v>100</v>
      </c>
      <c r="G837" s="72" t="s">
        <v>2751</v>
      </c>
      <c r="H837" s="72" t="s">
        <v>2752</v>
      </c>
    </row>
    <row r="838" customFormat="false" ht="15" hidden="false" customHeight="true" outlineLevel="0" collapsed="false">
      <c r="A838" s="75" t="n">
        <v>3498550</v>
      </c>
      <c r="B838" s="75" t="s">
        <v>442</v>
      </c>
      <c r="C838" s="75" t="n">
        <v>2025</v>
      </c>
      <c r="D838" s="76" t="n">
        <v>9.99</v>
      </c>
      <c r="E838" s="77" t="n">
        <v>30</v>
      </c>
      <c r="F838" s="75" t="n">
        <v>100</v>
      </c>
      <c r="G838" s="75" t="s">
        <v>2753</v>
      </c>
      <c r="H838" s="75" t="s">
        <v>2754</v>
      </c>
    </row>
    <row r="839" customFormat="false" ht="15" hidden="false" customHeight="true" outlineLevel="0" collapsed="false">
      <c r="A839" s="72" t="n">
        <v>2081790</v>
      </c>
      <c r="B839" s="72" t="s">
        <v>2755</v>
      </c>
      <c r="C839" s="72" t="n">
        <v>2026</v>
      </c>
      <c r="D839" s="73" t="n">
        <v>4.99</v>
      </c>
      <c r="E839" s="74" t="n">
        <v>30</v>
      </c>
      <c r="F839" s="72" t="n">
        <v>100</v>
      </c>
      <c r="G839" s="72" t="s">
        <v>2756</v>
      </c>
      <c r="H839" s="72" t="s">
        <v>2757</v>
      </c>
    </row>
    <row r="840" customFormat="false" ht="15" hidden="false" customHeight="true" outlineLevel="0" collapsed="false">
      <c r="A840" s="75" t="n">
        <v>3006780</v>
      </c>
      <c r="B840" s="75" t="s">
        <v>2758</v>
      </c>
      <c r="C840" s="75" t="n">
        <v>2024</v>
      </c>
      <c r="D840" s="76" t="n">
        <v>4.99</v>
      </c>
      <c r="E840" s="77" t="n">
        <v>30</v>
      </c>
      <c r="F840" s="75" t="n">
        <v>100</v>
      </c>
      <c r="G840" s="75" t="s">
        <v>2759</v>
      </c>
      <c r="H840" s="75" t="s">
        <v>2760</v>
      </c>
    </row>
    <row r="841" customFormat="false" ht="15" hidden="false" customHeight="true" outlineLevel="0" collapsed="false">
      <c r="A841" s="72" t="n">
        <v>3290010</v>
      </c>
      <c r="B841" s="72" t="s">
        <v>2761</v>
      </c>
      <c r="C841" s="72" t="n">
        <v>2024</v>
      </c>
      <c r="D841" s="73" t="n">
        <v>7.99</v>
      </c>
      <c r="E841" s="74" t="n">
        <v>30</v>
      </c>
      <c r="F841" s="72" t="n">
        <v>0</v>
      </c>
      <c r="G841" s="72" t="s">
        <v>2762</v>
      </c>
      <c r="H841" s="72" t="s">
        <v>2763</v>
      </c>
    </row>
    <row r="842" customFormat="false" ht="15" hidden="false" customHeight="true" outlineLevel="0" collapsed="false">
      <c r="A842" s="75" t="n">
        <v>3682060</v>
      </c>
      <c r="B842" s="75" t="s">
        <v>2764</v>
      </c>
      <c r="C842" s="75" t="n">
        <v>2026</v>
      </c>
      <c r="D842" s="76" t="n">
        <v>5.99</v>
      </c>
      <c r="E842" s="77" t="n">
        <v>30</v>
      </c>
      <c r="F842" s="75" t="n">
        <v>100</v>
      </c>
      <c r="G842" s="75" t="s">
        <v>2765</v>
      </c>
      <c r="H842" s="75" t="s">
        <v>2766</v>
      </c>
    </row>
    <row r="843" customFormat="false" ht="15" hidden="false" customHeight="true" outlineLevel="0" collapsed="false">
      <c r="A843" s="72" t="n">
        <v>4228900</v>
      </c>
      <c r="B843" s="72" t="s">
        <v>2767</v>
      </c>
      <c r="C843" s="72" t="n">
        <v>2026</v>
      </c>
      <c r="D843" s="73" t="n">
        <v>5</v>
      </c>
      <c r="E843" s="74" t="n">
        <v>30</v>
      </c>
      <c r="F843" s="72" t="n">
        <v>100</v>
      </c>
      <c r="G843" s="72" t="s">
        <v>2768</v>
      </c>
      <c r="H843" s="72" t="s">
        <v>2769</v>
      </c>
    </row>
    <row r="844" customFormat="false" ht="15" hidden="false" customHeight="true" outlineLevel="0" collapsed="false">
      <c r="A844" s="75" t="n">
        <v>4155880</v>
      </c>
      <c r="B844" s="75" t="s">
        <v>2770</v>
      </c>
      <c r="C844" s="75" t="n">
        <v>2026</v>
      </c>
      <c r="D844" s="76" t="n">
        <v>4.99</v>
      </c>
      <c r="E844" s="77" t="n">
        <v>30</v>
      </c>
      <c r="F844" s="75" t="n">
        <v>100</v>
      </c>
      <c r="G844" s="75" t="s">
        <v>2771</v>
      </c>
      <c r="H844" s="75" t="s">
        <v>2772</v>
      </c>
    </row>
    <row r="845" customFormat="false" ht="15" hidden="false" customHeight="true" outlineLevel="0" collapsed="false">
      <c r="A845" s="72" t="n">
        <v>3523760</v>
      </c>
      <c r="B845" s="72" t="s">
        <v>2773</v>
      </c>
      <c r="C845" s="72" t="n">
        <v>2025</v>
      </c>
      <c r="D845" s="73" t="n">
        <v>5.99</v>
      </c>
      <c r="E845" s="74" t="n">
        <v>30</v>
      </c>
      <c r="F845" s="72" t="n">
        <v>100</v>
      </c>
      <c r="G845" s="72" t="s">
        <v>2774</v>
      </c>
      <c r="H845" s="72" t="s">
        <v>2775</v>
      </c>
    </row>
    <row r="846" customFormat="false" ht="15" hidden="false" customHeight="true" outlineLevel="0" collapsed="false">
      <c r="A846" s="75" t="n">
        <v>3381320</v>
      </c>
      <c r="B846" s="75" t="s">
        <v>2776</v>
      </c>
      <c r="C846" s="75" t="n">
        <v>2025</v>
      </c>
      <c r="D846" s="76" t="n">
        <v>3.99</v>
      </c>
      <c r="E846" s="77" t="n">
        <v>30</v>
      </c>
      <c r="F846" s="75" t="n">
        <v>100</v>
      </c>
      <c r="G846" s="75" t="s">
        <v>2777</v>
      </c>
      <c r="H846" s="75" t="s">
        <v>2778</v>
      </c>
    </row>
    <row r="847" customFormat="false" ht="15" hidden="false" customHeight="true" outlineLevel="0" collapsed="false">
      <c r="A847" s="72" t="n">
        <v>2738210</v>
      </c>
      <c r="B847" s="72" t="s">
        <v>2779</v>
      </c>
      <c r="C847" s="72" t="n">
        <v>2024</v>
      </c>
      <c r="D847" s="73" t="n">
        <v>4.99</v>
      </c>
      <c r="E847" s="74" t="n">
        <v>30</v>
      </c>
      <c r="F847" s="72" t="n">
        <v>100</v>
      </c>
      <c r="G847" s="72" t="s">
        <v>2780</v>
      </c>
      <c r="H847" s="72" t="s">
        <v>2781</v>
      </c>
    </row>
    <row r="848" customFormat="false" ht="15" hidden="false" customHeight="true" outlineLevel="0" collapsed="false">
      <c r="A848" s="75" t="n">
        <v>5079550</v>
      </c>
      <c r="B848" s="75" t="s">
        <v>2782</v>
      </c>
      <c r="C848" s="75" t="n">
        <v>2026</v>
      </c>
      <c r="D848" s="76" t="n">
        <v>2.99</v>
      </c>
      <c r="E848" s="77" t="n">
        <v>30</v>
      </c>
      <c r="F848" s="75" t="n">
        <v>100</v>
      </c>
      <c r="G848" s="75" t="s">
        <v>2783</v>
      </c>
      <c r="H848" s="75" t="s">
        <v>2784</v>
      </c>
    </row>
    <row r="849" customFormat="false" ht="15" hidden="false" customHeight="true" outlineLevel="0" collapsed="false">
      <c r="A849" s="72" t="n">
        <v>4926770</v>
      </c>
      <c r="B849" s="72" t="s">
        <v>2785</v>
      </c>
      <c r="C849" s="72" t="n">
        <v>2026</v>
      </c>
      <c r="D849" s="73" t="n">
        <v>2.99</v>
      </c>
      <c r="E849" s="74" t="n">
        <v>30</v>
      </c>
      <c r="F849" s="72" t="n">
        <v>100</v>
      </c>
      <c r="G849" s="72" t="s">
        <v>2786</v>
      </c>
      <c r="H849" s="72" t="s">
        <v>2787</v>
      </c>
    </row>
    <row r="850" customFormat="false" ht="15" hidden="false" customHeight="true" outlineLevel="0" collapsed="false">
      <c r="A850" s="75" t="n">
        <v>4248890</v>
      </c>
      <c r="B850" s="75" t="s">
        <v>2788</v>
      </c>
      <c r="C850" s="75" t="n">
        <v>2026</v>
      </c>
      <c r="D850" s="76" t="n">
        <v>4.99</v>
      </c>
      <c r="E850" s="77" t="n">
        <v>30</v>
      </c>
      <c r="F850" s="75" t="n">
        <v>100</v>
      </c>
      <c r="G850" s="75" t="s">
        <v>2789</v>
      </c>
      <c r="H850" s="75" t="s">
        <v>2790</v>
      </c>
    </row>
    <row r="851" customFormat="false" ht="15" hidden="false" customHeight="true" outlineLevel="0" collapsed="false">
      <c r="A851" s="72" t="n">
        <v>3879180</v>
      </c>
      <c r="B851" s="72" t="s">
        <v>2791</v>
      </c>
      <c r="C851" s="72" t="n">
        <v>2026</v>
      </c>
      <c r="D851" s="73" t="n">
        <v>0.99</v>
      </c>
      <c r="E851" s="74" t="n">
        <v>30</v>
      </c>
      <c r="F851" s="72" t="n">
        <v>100</v>
      </c>
      <c r="G851" s="72" t="s">
        <v>2792</v>
      </c>
      <c r="H851" s="72" t="s">
        <v>2793</v>
      </c>
    </row>
    <row r="852" customFormat="false" ht="15" hidden="false" customHeight="true" outlineLevel="0" collapsed="false">
      <c r="A852" s="75" t="n">
        <v>3972900</v>
      </c>
      <c r="B852" s="75" t="s">
        <v>382</v>
      </c>
      <c r="C852" s="75" t="n">
        <v>2026</v>
      </c>
      <c r="D852" s="76" t="n">
        <v>4.99</v>
      </c>
      <c r="E852" s="77" t="n">
        <v>28</v>
      </c>
      <c r="F852" s="75" t="n">
        <v>0</v>
      </c>
      <c r="G852" s="75" t="s">
        <v>2794</v>
      </c>
      <c r="H852" s="75" t="s">
        <v>2795</v>
      </c>
    </row>
    <row r="853" customFormat="false" ht="15" hidden="false" customHeight="true" outlineLevel="0" collapsed="false">
      <c r="A853" s="72" t="n">
        <v>4727440</v>
      </c>
      <c r="B853" s="72" t="s">
        <v>2796</v>
      </c>
      <c r="C853" s="72" t="n">
        <v>2026</v>
      </c>
      <c r="D853" s="73" t="n">
        <v>1.99</v>
      </c>
      <c r="E853" s="74" t="n">
        <v>28</v>
      </c>
      <c r="F853" s="72" t="n">
        <v>100</v>
      </c>
      <c r="G853" s="72" t="s">
        <v>2797</v>
      </c>
      <c r="H853" s="72" t="s">
        <v>2798</v>
      </c>
    </row>
    <row r="854" customFormat="false" ht="15" hidden="false" customHeight="true" outlineLevel="0" collapsed="false">
      <c r="A854" s="75" t="n">
        <v>3212590</v>
      </c>
      <c r="B854" s="75" t="s">
        <v>380</v>
      </c>
      <c r="C854" s="75" t="n">
        <v>2025</v>
      </c>
      <c r="D854" s="76" t="n">
        <v>11.99</v>
      </c>
      <c r="E854" s="77" t="n">
        <v>27</v>
      </c>
      <c r="F854" s="75" t="n">
        <v>100</v>
      </c>
      <c r="G854" s="75" t="s">
        <v>2799</v>
      </c>
      <c r="H854" s="75" t="s">
        <v>2800</v>
      </c>
    </row>
    <row r="855" customFormat="false" ht="15" hidden="false" customHeight="true" outlineLevel="0" collapsed="false">
      <c r="A855" s="72" t="n">
        <v>5061410</v>
      </c>
      <c r="B855" s="72" t="s">
        <v>2801</v>
      </c>
      <c r="C855" s="72" t="n">
        <v>2026</v>
      </c>
      <c r="D855" s="73" t="n">
        <v>6.99</v>
      </c>
      <c r="E855" s="74" t="n">
        <v>27</v>
      </c>
      <c r="F855" s="72" t="n">
        <v>100</v>
      </c>
      <c r="G855" s="72" t="s">
        <v>2802</v>
      </c>
      <c r="H855" s="72" t="s">
        <v>2803</v>
      </c>
    </row>
    <row r="856" customFormat="false" ht="15" hidden="false" customHeight="true" outlineLevel="0" collapsed="false">
      <c r="A856" s="75" t="n">
        <v>3650350</v>
      </c>
      <c r="B856" s="75" t="s">
        <v>396</v>
      </c>
      <c r="C856" s="75" t="n">
        <v>2026</v>
      </c>
      <c r="D856" s="76" t="n">
        <v>22.99</v>
      </c>
      <c r="E856" s="77" t="n">
        <v>23</v>
      </c>
      <c r="F856" s="75" t="n">
        <v>100</v>
      </c>
      <c r="G856" s="75" t="s">
        <v>2804</v>
      </c>
      <c r="H856" s="75" t="s">
        <v>2805</v>
      </c>
    </row>
    <row r="857" customFormat="false" ht="15" hidden="false" customHeight="true" outlineLevel="0" collapsed="false">
      <c r="A857" s="72" t="n">
        <v>3147240</v>
      </c>
      <c r="B857" s="72" t="s">
        <v>2806</v>
      </c>
      <c r="C857" s="72" t="n">
        <v>2024</v>
      </c>
      <c r="D857" s="73" t="n">
        <v>3.99</v>
      </c>
      <c r="E857" s="74" t="n">
        <v>23</v>
      </c>
      <c r="F857" s="72" t="n">
        <v>50</v>
      </c>
      <c r="G857" s="72" t="s">
        <v>2807</v>
      </c>
      <c r="H857" s="72" t="s">
        <v>2808</v>
      </c>
    </row>
    <row r="858" customFormat="false" ht="15" hidden="false" customHeight="true" outlineLevel="0" collapsed="false">
      <c r="A858" s="75" t="n">
        <v>4095030</v>
      </c>
      <c r="B858" s="75" t="s">
        <v>2809</v>
      </c>
      <c r="C858" s="75" t="n">
        <v>2025</v>
      </c>
      <c r="D858" s="76" t="n">
        <v>2.99</v>
      </c>
      <c r="E858" s="77" t="n">
        <v>23</v>
      </c>
      <c r="F858" s="75" t="n">
        <v>50</v>
      </c>
      <c r="G858" s="75" t="s">
        <v>2810</v>
      </c>
      <c r="H858" s="75" t="s">
        <v>2811</v>
      </c>
    </row>
    <row r="859" customFormat="false" ht="15" hidden="false" customHeight="true" outlineLevel="0" collapsed="false">
      <c r="A859" s="72" t="n">
        <v>5022780</v>
      </c>
      <c r="B859" s="72" t="s">
        <v>2812</v>
      </c>
      <c r="C859" s="72" t="n">
        <v>2026</v>
      </c>
      <c r="D859" s="73" t="n">
        <v>4.99</v>
      </c>
      <c r="E859" s="74" t="n">
        <v>23</v>
      </c>
      <c r="F859" s="72" t="n">
        <v>50</v>
      </c>
      <c r="G859" s="72" t="s">
        <v>2813</v>
      </c>
      <c r="H859" s="72" t="s">
        <v>2814</v>
      </c>
    </row>
    <row r="860" customFormat="false" ht="15" hidden="false" customHeight="true" outlineLevel="0" collapsed="false">
      <c r="A860" s="75" t="n">
        <v>5123560</v>
      </c>
      <c r="B860" s="75" t="s">
        <v>2815</v>
      </c>
      <c r="C860" s="75" t="n">
        <v>2026</v>
      </c>
      <c r="D860" s="76" t="n">
        <v>2.99</v>
      </c>
      <c r="E860" s="77" t="n">
        <v>23</v>
      </c>
      <c r="F860" s="75" t="n">
        <v>50</v>
      </c>
      <c r="G860" s="75" t="s">
        <v>2816</v>
      </c>
      <c r="H860" s="75" t="s">
        <v>2817</v>
      </c>
    </row>
    <row r="861" customFormat="false" ht="15" hidden="false" customHeight="true" outlineLevel="0" collapsed="false">
      <c r="A861" s="72" t="n">
        <v>3027790</v>
      </c>
      <c r="B861" s="72" t="s">
        <v>2818</v>
      </c>
      <c r="C861" s="72" t="n">
        <v>2026</v>
      </c>
      <c r="D861" s="73" t="n">
        <v>0.99</v>
      </c>
      <c r="E861" s="74" t="n">
        <v>23</v>
      </c>
      <c r="F861" s="72" t="n">
        <v>50</v>
      </c>
      <c r="G861" s="72" t="s">
        <v>2819</v>
      </c>
      <c r="H861" s="72" t="s">
        <v>2820</v>
      </c>
    </row>
    <row r="862" customFormat="false" ht="15" hidden="false" customHeight="true" outlineLevel="0" collapsed="false">
      <c r="A862" s="75" t="n">
        <v>4415640</v>
      </c>
      <c r="B862" s="75" t="s">
        <v>2821</v>
      </c>
      <c r="C862" s="75" t="n">
        <v>2026</v>
      </c>
      <c r="D862" s="76" t="n">
        <v>4.99</v>
      </c>
      <c r="E862" s="77" t="n">
        <v>22</v>
      </c>
      <c r="F862" s="75" t="n">
        <v>100</v>
      </c>
      <c r="G862" s="75" t="s">
        <v>2822</v>
      </c>
      <c r="H862" s="75" t="s">
        <v>2823</v>
      </c>
    </row>
    <row r="863" customFormat="false" ht="15" hidden="false" customHeight="true" outlineLevel="0" collapsed="false">
      <c r="A863" s="72" t="n">
        <v>4913430</v>
      </c>
      <c r="B863" s="72" t="s">
        <v>2824</v>
      </c>
      <c r="C863" s="72" t="n">
        <v>2026</v>
      </c>
      <c r="D863" s="73" t="n">
        <v>12.99</v>
      </c>
      <c r="E863" s="74" t="n">
        <v>21</v>
      </c>
      <c r="F863" s="72" t="n">
        <v>100</v>
      </c>
      <c r="G863" s="72" t="s">
        <v>2825</v>
      </c>
      <c r="H863" s="72" t="s">
        <v>2826</v>
      </c>
    </row>
    <row r="864" customFormat="false" ht="15" hidden="false" customHeight="true" outlineLevel="0" collapsed="false">
      <c r="A864" s="75" t="n">
        <v>3341140</v>
      </c>
      <c r="B864" s="75" t="s">
        <v>2827</v>
      </c>
      <c r="C864" s="75" t="n">
        <v>2025</v>
      </c>
      <c r="D864" s="76" t="n">
        <v>14.99</v>
      </c>
      <c r="E864" s="77" t="n">
        <v>20</v>
      </c>
      <c r="F864" s="75" t="n">
        <v>0</v>
      </c>
      <c r="G864" s="75" t="s">
        <v>2827</v>
      </c>
      <c r="H864" s="75" t="s">
        <v>2828</v>
      </c>
    </row>
    <row r="865" customFormat="false" ht="15" hidden="false" customHeight="true" outlineLevel="0" collapsed="false">
      <c r="A865" s="72" t="n">
        <v>4980910</v>
      </c>
      <c r="B865" s="72" t="s">
        <v>2829</v>
      </c>
      <c r="C865" s="72" t="n">
        <v>2026</v>
      </c>
      <c r="D865" s="73" t="n">
        <v>14.99</v>
      </c>
      <c r="E865" s="74" t="n">
        <v>20</v>
      </c>
      <c r="F865" s="72" t="n">
        <v>100</v>
      </c>
      <c r="G865" s="72" t="s">
        <v>2830</v>
      </c>
      <c r="H865" s="72" t="s">
        <v>2831</v>
      </c>
    </row>
    <row r="866" customFormat="false" ht="15" hidden="false" customHeight="true" outlineLevel="0" collapsed="false">
      <c r="A866" s="75" t="n">
        <v>3770270</v>
      </c>
      <c r="B866" s="75" t="s">
        <v>2832</v>
      </c>
      <c r="C866" s="75" t="n">
        <v>2026</v>
      </c>
      <c r="D866" s="76" t="n">
        <v>19.99</v>
      </c>
      <c r="E866" s="77" t="n">
        <v>20</v>
      </c>
      <c r="F866" s="75" t="n">
        <v>100</v>
      </c>
      <c r="G866" s="75" t="s">
        <v>2833</v>
      </c>
      <c r="H866" s="75" t="s">
        <v>2834</v>
      </c>
    </row>
    <row r="867" customFormat="false" ht="15" hidden="false" customHeight="true" outlineLevel="0" collapsed="false">
      <c r="A867" s="72" t="n">
        <v>4542800</v>
      </c>
      <c r="B867" s="72" t="s">
        <v>2835</v>
      </c>
      <c r="C867" s="72" t="n">
        <v>2026</v>
      </c>
      <c r="D867" s="73" t="n">
        <v>6.99</v>
      </c>
      <c r="E867" s="74" t="n">
        <v>20</v>
      </c>
      <c r="F867" s="72" t="n">
        <v>100</v>
      </c>
      <c r="G867" s="72" t="s">
        <v>2836</v>
      </c>
      <c r="H867" s="72" t="s">
        <v>2837</v>
      </c>
    </row>
    <row r="868" customFormat="false" ht="15" hidden="false" customHeight="true" outlineLevel="0" collapsed="false">
      <c r="A868" s="75" t="n">
        <v>4577440</v>
      </c>
      <c r="B868" s="75" t="s">
        <v>2838</v>
      </c>
      <c r="C868" s="75" t="n">
        <v>2026</v>
      </c>
      <c r="D868" s="76" t="n">
        <v>2.99</v>
      </c>
      <c r="E868" s="77" t="n">
        <v>20</v>
      </c>
      <c r="F868" s="75" t="n">
        <v>100</v>
      </c>
      <c r="G868" s="75" t="s">
        <v>2839</v>
      </c>
      <c r="H868" s="75" t="s">
        <v>2840</v>
      </c>
    </row>
    <row r="869" customFormat="false" ht="15" hidden="false" customHeight="true" outlineLevel="0" collapsed="false">
      <c r="A869" s="72" t="n">
        <v>4140190</v>
      </c>
      <c r="B869" s="72" t="s">
        <v>2841</v>
      </c>
      <c r="C869" s="72" t="n">
        <v>2026</v>
      </c>
      <c r="D869" s="73" t="n">
        <v>5.4</v>
      </c>
      <c r="E869" s="74" t="n">
        <v>20</v>
      </c>
      <c r="F869" s="72" t="n">
        <v>100</v>
      </c>
      <c r="G869" s="72" t="s">
        <v>2842</v>
      </c>
      <c r="H869" s="72" t="s">
        <v>2843</v>
      </c>
    </row>
    <row r="870" customFormat="false" ht="15" hidden="false" customHeight="true" outlineLevel="0" collapsed="false">
      <c r="A870" s="75" t="n">
        <v>2560320</v>
      </c>
      <c r="B870" s="75" t="s">
        <v>2844</v>
      </c>
      <c r="C870" s="75" t="n">
        <v>2023</v>
      </c>
      <c r="D870" s="76" t="n">
        <v>1.99</v>
      </c>
      <c r="E870" s="77" t="n">
        <v>20</v>
      </c>
      <c r="F870" s="75" t="n">
        <v>100</v>
      </c>
      <c r="G870" s="75" t="s">
        <v>2845</v>
      </c>
      <c r="H870" s="75" t="s">
        <v>2846</v>
      </c>
    </row>
    <row r="871" customFormat="false" ht="15" hidden="false" customHeight="true" outlineLevel="0" collapsed="false">
      <c r="A871" s="72" t="n">
        <v>4218330</v>
      </c>
      <c r="B871" s="72" t="s">
        <v>2847</v>
      </c>
      <c r="C871" s="72" t="n">
        <v>2026</v>
      </c>
      <c r="D871" s="73" t="n">
        <v>2.99</v>
      </c>
      <c r="E871" s="74" t="n">
        <v>19</v>
      </c>
      <c r="F871" s="72" t="n">
        <v>100</v>
      </c>
      <c r="G871" s="72" t="s">
        <v>2848</v>
      </c>
      <c r="H871" s="72" t="s">
        <v>2849</v>
      </c>
    </row>
    <row r="872" customFormat="false" ht="15" hidden="false" customHeight="true" outlineLevel="0" collapsed="false">
      <c r="A872" s="75" t="n">
        <v>3860690</v>
      </c>
      <c r="B872" s="75" t="s">
        <v>2850</v>
      </c>
      <c r="C872" s="75" t="n">
        <v>2026</v>
      </c>
      <c r="D872" s="76" t="n">
        <v>7.45</v>
      </c>
      <c r="E872" s="77" t="n">
        <v>18</v>
      </c>
      <c r="F872" s="75" t="n">
        <v>100</v>
      </c>
      <c r="G872" s="75" t="s">
        <v>2278</v>
      </c>
      <c r="H872" s="75" t="s">
        <v>2851</v>
      </c>
    </row>
    <row r="873" customFormat="false" ht="15" hidden="false" customHeight="true" outlineLevel="0" collapsed="false">
      <c r="A873" s="72" t="n">
        <v>4159190</v>
      </c>
      <c r="B873" s="72" t="s">
        <v>2852</v>
      </c>
      <c r="C873" s="72" t="n">
        <v>2026</v>
      </c>
      <c r="D873" s="73" t="n">
        <v>6</v>
      </c>
      <c r="E873" s="74" t="n">
        <v>18</v>
      </c>
      <c r="F873" s="72" t="n">
        <v>100</v>
      </c>
      <c r="G873" s="72" t="s">
        <v>2728</v>
      </c>
      <c r="H873" s="72" t="s">
        <v>2853</v>
      </c>
    </row>
    <row r="874" customFormat="false" ht="15" hidden="false" customHeight="true" outlineLevel="0" collapsed="false">
      <c r="A874" s="75" t="n">
        <v>2954750</v>
      </c>
      <c r="B874" s="75" t="s">
        <v>2854</v>
      </c>
      <c r="C874" s="75" t="n">
        <v>2026</v>
      </c>
      <c r="D874" s="76" t="n">
        <v>14.99</v>
      </c>
      <c r="E874" s="77" t="n">
        <v>15</v>
      </c>
      <c r="F874" s="75" t="n">
        <v>100</v>
      </c>
      <c r="G874" s="75" t="s">
        <v>2855</v>
      </c>
      <c r="H874" s="75" t="s">
        <v>2856</v>
      </c>
    </row>
    <row r="875" customFormat="false" ht="15" hidden="false" customHeight="true" outlineLevel="0" collapsed="false">
      <c r="A875" s="72" t="n">
        <v>4884380</v>
      </c>
      <c r="B875" s="72" t="s">
        <v>2857</v>
      </c>
      <c r="C875" s="72" t="n">
        <v>2026</v>
      </c>
      <c r="D875" s="73" t="n">
        <v>14.99</v>
      </c>
      <c r="E875" s="74" t="n">
        <v>15</v>
      </c>
      <c r="F875" s="72" t="n">
        <v>0</v>
      </c>
      <c r="G875" s="72" t="s">
        <v>2858</v>
      </c>
      <c r="H875" s="72" t="s">
        <v>2859</v>
      </c>
    </row>
    <row r="876" customFormat="false" ht="15" hidden="false" customHeight="true" outlineLevel="0" collapsed="false">
      <c r="A876" s="75" t="n">
        <v>3432200</v>
      </c>
      <c r="B876" s="75" t="s">
        <v>2860</v>
      </c>
      <c r="C876" s="75" t="n">
        <v>2026</v>
      </c>
      <c r="D876" s="76" t="n">
        <v>11.99</v>
      </c>
      <c r="E876" s="77" t="n">
        <v>15</v>
      </c>
      <c r="F876" s="75" t="n">
        <v>0</v>
      </c>
      <c r="G876" s="75" t="s">
        <v>2861</v>
      </c>
      <c r="H876" s="75" t="s">
        <v>2862</v>
      </c>
    </row>
    <row r="877" customFormat="false" ht="15" hidden="false" customHeight="true" outlineLevel="0" collapsed="false">
      <c r="A877" s="72" t="n">
        <v>4535170</v>
      </c>
      <c r="B877" s="72" t="s">
        <v>2863</v>
      </c>
      <c r="C877" s="72" t="n">
        <v>2026</v>
      </c>
      <c r="D877" s="73" t="n">
        <v>9.99</v>
      </c>
      <c r="E877" s="74" t="n">
        <v>15</v>
      </c>
      <c r="F877" s="72" t="n">
        <v>0</v>
      </c>
      <c r="G877" s="72" t="s">
        <v>2864</v>
      </c>
      <c r="H877" s="72" t="s">
        <v>2865</v>
      </c>
    </row>
    <row r="878" customFormat="false" ht="15" hidden="false" customHeight="true" outlineLevel="0" collapsed="false">
      <c r="A878" s="75" t="n">
        <v>3795370</v>
      </c>
      <c r="B878" s="75" t="s">
        <v>2866</v>
      </c>
      <c r="C878" s="75" t="n">
        <v>2025</v>
      </c>
      <c r="D878" s="76" t="n">
        <v>7.99</v>
      </c>
      <c r="E878" s="77" t="n">
        <v>15</v>
      </c>
      <c r="F878" s="75" t="n">
        <v>100</v>
      </c>
      <c r="G878" s="75" t="s">
        <v>2867</v>
      </c>
      <c r="H878" s="75" t="s">
        <v>2868</v>
      </c>
    </row>
    <row r="879" customFormat="false" ht="15" hidden="false" customHeight="true" outlineLevel="0" collapsed="false">
      <c r="A879" s="72" t="n">
        <v>5324490</v>
      </c>
      <c r="B879" s="72" t="s">
        <v>2869</v>
      </c>
      <c r="C879" s="72" t="n">
        <v>2026</v>
      </c>
      <c r="D879" s="73" t="n">
        <v>9.99</v>
      </c>
      <c r="E879" s="74" t="n">
        <v>15</v>
      </c>
      <c r="F879" s="72" t="n">
        <v>100</v>
      </c>
      <c r="G879" s="72" t="s">
        <v>2870</v>
      </c>
      <c r="H879" s="72" t="s">
        <v>2871</v>
      </c>
    </row>
    <row r="880" customFormat="false" ht="15" hidden="false" customHeight="true" outlineLevel="0" collapsed="false">
      <c r="A880" s="75" t="n">
        <v>4939440</v>
      </c>
      <c r="B880" s="75" t="s">
        <v>2872</v>
      </c>
      <c r="C880" s="75" t="n">
        <v>2026</v>
      </c>
      <c r="D880" s="76" t="n">
        <v>6.99</v>
      </c>
      <c r="E880" s="77" t="n">
        <v>15</v>
      </c>
      <c r="F880" s="75" t="n">
        <v>100</v>
      </c>
      <c r="G880" s="75" t="s">
        <v>2873</v>
      </c>
      <c r="H880" s="75" t="s">
        <v>2874</v>
      </c>
    </row>
    <row r="881" customFormat="false" ht="15" hidden="false" customHeight="true" outlineLevel="0" collapsed="false">
      <c r="A881" s="72" t="n">
        <v>4167840</v>
      </c>
      <c r="B881" s="72" t="s">
        <v>2875</v>
      </c>
      <c r="C881" s="72" t="n">
        <v>2026</v>
      </c>
      <c r="D881" s="73" t="n">
        <v>11.99</v>
      </c>
      <c r="E881" s="74" t="n">
        <v>15</v>
      </c>
      <c r="F881" s="72" t="n">
        <v>100</v>
      </c>
      <c r="G881" s="72" t="s">
        <v>2876</v>
      </c>
      <c r="H881" s="72" t="s">
        <v>2877</v>
      </c>
    </row>
    <row r="882" customFormat="false" ht="15" hidden="false" customHeight="true" outlineLevel="0" collapsed="false">
      <c r="A882" s="75" t="n">
        <v>3933080</v>
      </c>
      <c r="B882" s="75" t="s">
        <v>2878</v>
      </c>
      <c r="C882" s="75" t="n">
        <v>2026</v>
      </c>
      <c r="D882" s="76" t="n">
        <v>6.99</v>
      </c>
      <c r="E882" s="77" t="n">
        <v>15</v>
      </c>
      <c r="F882" s="75" t="n">
        <v>100</v>
      </c>
      <c r="G882" s="75" t="s">
        <v>2879</v>
      </c>
      <c r="H882" s="75" t="s">
        <v>2880</v>
      </c>
    </row>
    <row r="883" customFormat="false" ht="15" hidden="false" customHeight="true" outlineLevel="0" collapsed="false">
      <c r="A883" s="72" t="n">
        <v>3298780</v>
      </c>
      <c r="B883" s="72" t="s">
        <v>357</v>
      </c>
      <c r="C883" s="72" t="n">
        <v>2026</v>
      </c>
      <c r="D883" s="73" t="n">
        <v>6.99</v>
      </c>
      <c r="E883" s="74" t="n">
        <v>15</v>
      </c>
      <c r="F883" s="72" t="n">
        <v>100</v>
      </c>
      <c r="G883" s="72" t="s">
        <v>2881</v>
      </c>
      <c r="H883" s="72" t="s">
        <v>2882</v>
      </c>
    </row>
    <row r="884" customFormat="false" ht="15" hidden="false" customHeight="true" outlineLevel="0" collapsed="false">
      <c r="A884" s="75" t="n">
        <v>3007890</v>
      </c>
      <c r="B884" s="75" t="s">
        <v>2883</v>
      </c>
      <c r="C884" s="75" t="n">
        <v>2025</v>
      </c>
      <c r="D884" s="76" t="n">
        <v>7</v>
      </c>
      <c r="E884" s="77" t="n">
        <v>15</v>
      </c>
      <c r="F884" s="75" t="n">
        <v>100</v>
      </c>
      <c r="G884" s="75" t="s">
        <v>2884</v>
      </c>
      <c r="H884" s="75" t="s">
        <v>2885</v>
      </c>
    </row>
    <row r="885" customFormat="false" ht="15" hidden="false" customHeight="true" outlineLevel="0" collapsed="false">
      <c r="A885" s="72" t="n">
        <v>4729480</v>
      </c>
      <c r="B885" s="72" t="s">
        <v>2886</v>
      </c>
      <c r="C885" s="72" t="n">
        <v>2026</v>
      </c>
      <c r="D885" s="73" t="n">
        <v>4.99</v>
      </c>
      <c r="E885" s="74" t="n">
        <v>15</v>
      </c>
      <c r="F885" s="72" t="n">
        <v>0</v>
      </c>
      <c r="G885" s="72" t="s">
        <v>2886</v>
      </c>
      <c r="H885" s="72" t="s">
        <v>2887</v>
      </c>
    </row>
    <row r="886" customFormat="false" ht="15" hidden="false" customHeight="true" outlineLevel="0" collapsed="false">
      <c r="A886" s="75" t="n">
        <v>5222500</v>
      </c>
      <c r="B886" s="75" t="s">
        <v>439</v>
      </c>
      <c r="C886" s="75" t="n">
        <v>2026</v>
      </c>
      <c r="D886" s="76" t="n">
        <v>4.99</v>
      </c>
      <c r="E886" s="77" t="n">
        <v>15</v>
      </c>
      <c r="F886" s="75" t="n">
        <v>100</v>
      </c>
      <c r="G886" s="75" t="s">
        <v>2888</v>
      </c>
      <c r="H886" s="75" t="s">
        <v>2889</v>
      </c>
    </row>
    <row r="887" customFormat="false" ht="15" hidden="false" customHeight="true" outlineLevel="0" collapsed="false">
      <c r="A887" s="72" t="n">
        <v>3995830</v>
      </c>
      <c r="B887" s="72" t="s">
        <v>2890</v>
      </c>
      <c r="C887" s="72" t="n">
        <v>2026</v>
      </c>
      <c r="D887" s="73" t="n">
        <v>4.99</v>
      </c>
      <c r="E887" s="74" t="n">
        <v>15</v>
      </c>
      <c r="F887" s="72" t="n">
        <v>100</v>
      </c>
      <c r="G887" s="72" t="s">
        <v>2891</v>
      </c>
      <c r="H887" s="72" t="s">
        <v>2892</v>
      </c>
    </row>
    <row r="888" customFormat="false" ht="15" hidden="false" customHeight="true" outlineLevel="0" collapsed="false">
      <c r="A888" s="75" t="n">
        <v>3350960</v>
      </c>
      <c r="B888" s="75" t="s">
        <v>2893</v>
      </c>
      <c r="C888" s="75" t="n">
        <v>2026</v>
      </c>
      <c r="D888" s="76" t="n">
        <v>4.99</v>
      </c>
      <c r="E888" s="77" t="n">
        <v>15</v>
      </c>
      <c r="F888" s="75" t="n">
        <v>100</v>
      </c>
      <c r="G888" s="75" t="s">
        <v>2894</v>
      </c>
      <c r="H888" s="75" t="s">
        <v>2895</v>
      </c>
    </row>
    <row r="889" customFormat="false" ht="15" hidden="false" customHeight="true" outlineLevel="0" collapsed="false">
      <c r="A889" s="72" t="n">
        <v>4246710</v>
      </c>
      <c r="B889" s="72" t="s">
        <v>2896</v>
      </c>
      <c r="C889" s="72" t="n">
        <v>2026</v>
      </c>
      <c r="D889" s="73" t="n">
        <v>4.99</v>
      </c>
      <c r="E889" s="74" t="n">
        <v>15</v>
      </c>
      <c r="F889" s="72" t="n">
        <v>100</v>
      </c>
      <c r="G889" s="72" t="s">
        <v>2897</v>
      </c>
      <c r="H889" s="72" t="s">
        <v>2898</v>
      </c>
    </row>
    <row r="890" customFormat="false" ht="15" hidden="false" customHeight="true" outlineLevel="0" collapsed="false">
      <c r="A890" s="75" t="n">
        <v>3139550</v>
      </c>
      <c r="B890" s="75" t="s">
        <v>2899</v>
      </c>
      <c r="C890" s="75" t="n">
        <v>2026</v>
      </c>
      <c r="D890" s="76" t="n">
        <v>4.99</v>
      </c>
      <c r="E890" s="77" t="n">
        <v>15</v>
      </c>
      <c r="F890" s="75" t="n">
        <v>0</v>
      </c>
      <c r="G890" s="75" t="s">
        <v>2900</v>
      </c>
      <c r="H890" s="75" t="s">
        <v>2901</v>
      </c>
    </row>
    <row r="891" customFormat="false" ht="15" hidden="false" customHeight="true" outlineLevel="0" collapsed="false">
      <c r="A891" s="72" t="n">
        <v>3470920</v>
      </c>
      <c r="B891" s="72" t="s">
        <v>2902</v>
      </c>
      <c r="C891" s="72" t="n">
        <v>2025</v>
      </c>
      <c r="D891" s="73" t="n">
        <v>3.99</v>
      </c>
      <c r="E891" s="74" t="n">
        <v>15</v>
      </c>
      <c r="F891" s="72" t="n">
        <v>100</v>
      </c>
      <c r="G891" s="72" t="s">
        <v>2903</v>
      </c>
      <c r="H891" s="72" t="s">
        <v>2904</v>
      </c>
    </row>
    <row r="892" customFormat="false" ht="15" hidden="false" customHeight="true" outlineLevel="0" collapsed="false">
      <c r="A892" s="75" t="n">
        <v>2246070</v>
      </c>
      <c r="B892" s="75" t="s">
        <v>2905</v>
      </c>
      <c r="C892" s="75" t="n">
        <v>2023</v>
      </c>
      <c r="D892" s="76" t="n">
        <v>4.99</v>
      </c>
      <c r="E892" s="77" t="n">
        <v>15</v>
      </c>
      <c r="F892" s="75" t="n">
        <v>100</v>
      </c>
      <c r="G892" s="75" t="s">
        <v>2906</v>
      </c>
      <c r="H892" s="75" t="s">
        <v>2907</v>
      </c>
    </row>
    <row r="893" customFormat="false" ht="15" hidden="false" customHeight="true" outlineLevel="0" collapsed="false">
      <c r="A893" s="72" t="n">
        <v>3810920</v>
      </c>
      <c r="B893" s="72" t="s">
        <v>2908</v>
      </c>
      <c r="C893" s="72" t="n">
        <v>2025</v>
      </c>
      <c r="D893" s="73" t="n">
        <v>2.99</v>
      </c>
      <c r="E893" s="74" t="n">
        <v>15</v>
      </c>
      <c r="F893" s="72" t="n">
        <v>0</v>
      </c>
      <c r="G893" s="72" t="s">
        <v>2909</v>
      </c>
      <c r="H893" s="72" t="s">
        <v>2910</v>
      </c>
    </row>
    <row r="894" customFormat="false" ht="15" hidden="false" customHeight="true" outlineLevel="0" collapsed="false">
      <c r="A894" s="75" t="n">
        <v>5040300</v>
      </c>
      <c r="B894" s="75" t="s">
        <v>2911</v>
      </c>
      <c r="C894" s="75" t="n">
        <v>2026</v>
      </c>
      <c r="D894" s="76" t="n">
        <v>2.99</v>
      </c>
      <c r="E894" s="77" t="n">
        <v>15</v>
      </c>
      <c r="F894" s="75" t="n">
        <v>100</v>
      </c>
      <c r="G894" s="75" t="s">
        <v>2912</v>
      </c>
      <c r="H894" s="75" t="s">
        <v>2913</v>
      </c>
    </row>
    <row r="895" customFormat="false" ht="15" hidden="false" customHeight="true" outlineLevel="0" collapsed="false">
      <c r="A895" s="72" t="n">
        <v>2557950</v>
      </c>
      <c r="B895" s="72" t="s">
        <v>2914</v>
      </c>
      <c r="C895" s="72" t="n">
        <v>2024</v>
      </c>
      <c r="D895" s="73" t="n">
        <v>2.99</v>
      </c>
      <c r="E895" s="74" t="n">
        <v>15</v>
      </c>
      <c r="F895" s="72" t="n">
        <v>100</v>
      </c>
      <c r="G895" s="72" t="s">
        <v>2915</v>
      </c>
      <c r="H895" s="72" t="s">
        <v>2916</v>
      </c>
    </row>
    <row r="896" customFormat="false" ht="15" hidden="false" customHeight="true" outlineLevel="0" collapsed="false">
      <c r="A896" s="75" t="n">
        <v>4275540</v>
      </c>
      <c r="B896" s="75" t="s">
        <v>2917</v>
      </c>
      <c r="C896" s="75" t="n">
        <v>2026</v>
      </c>
      <c r="D896" s="76" t="n">
        <v>1.99</v>
      </c>
      <c r="E896" s="77" t="n">
        <v>15</v>
      </c>
      <c r="F896" s="75" t="n">
        <v>100</v>
      </c>
      <c r="G896" s="75" t="s">
        <v>2918</v>
      </c>
      <c r="H896" s="75" t="s">
        <v>2919</v>
      </c>
    </row>
    <row r="897" customFormat="false" ht="15" hidden="false" customHeight="true" outlineLevel="0" collapsed="false">
      <c r="A897" s="72" t="n">
        <v>2129050</v>
      </c>
      <c r="B897" s="72" t="s">
        <v>2920</v>
      </c>
      <c r="C897" s="72" t="n">
        <v>2023</v>
      </c>
      <c r="D897" s="73" t="n">
        <v>0.99</v>
      </c>
      <c r="E897" s="74" t="n">
        <v>15</v>
      </c>
      <c r="F897" s="72" t="n">
        <v>0</v>
      </c>
      <c r="G897" s="72" t="s">
        <v>2921</v>
      </c>
      <c r="H897" s="72" t="s">
        <v>2922</v>
      </c>
    </row>
    <row r="898" customFormat="false" ht="15" hidden="false" customHeight="true" outlineLevel="0" collapsed="false">
      <c r="A898" s="75" t="n">
        <v>3600310</v>
      </c>
      <c r="B898" s="75" t="s">
        <v>2923</v>
      </c>
      <c r="C898" s="75" t="n">
        <v>2026</v>
      </c>
      <c r="D898" s="76" t="n">
        <v>19.99</v>
      </c>
      <c r="E898" s="77" t="n">
        <v>1</v>
      </c>
      <c r="F898" s="75" t="n">
        <v>0</v>
      </c>
      <c r="G898" s="75" t="s">
        <v>2924</v>
      </c>
      <c r="H898" s="75" t="s">
        <v>2925</v>
      </c>
    </row>
    <row r="899" customFormat="false" ht="15" hidden="false" customHeight="true" outlineLevel="0" collapsed="false">
      <c r="A899" s="72" t="n">
        <v>497320</v>
      </c>
      <c r="B899" s="72" t="s">
        <v>2926</v>
      </c>
      <c r="C899" s="72" t="n">
        <v>2026</v>
      </c>
      <c r="D899" s="73" t="n">
        <v>14.99</v>
      </c>
      <c r="E899" s="74" t="n">
        <v>1</v>
      </c>
      <c r="F899" s="72" t="n">
        <v>0</v>
      </c>
      <c r="G899" s="72" t="s">
        <v>2927</v>
      </c>
      <c r="H899" s="72" t="s">
        <v>2928</v>
      </c>
    </row>
    <row r="900" customFormat="false" ht="15" hidden="false" customHeight="true" outlineLevel="0" collapsed="false">
      <c r="A900" s="75" t="n">
        <v>3868620</v>
      </c>
      <c r="B900" s="75" t="s">
        <v>2929</v>
      </c>
      <c r="C900" s="75" t="n">
        <v>2026</v>
      </c>
      <c r="D900" s="76" t="n">
        <v>14.99</v>
      </c>
      <c r="E900" s="77" t="n">
        <v>1</v>
      </c>
      <c r="F900" s="75" t="n">
        <v>100</v>
      </c>
      <c r="G900" s="75" t="s">
        <v>2930</v>
      </c>
      <c r="H900" s="75" t="s">
        <v>2931</v>
      </c>
    </row>
    <row r="901" customFormat="false" ht="15" hidden="false" customHeight="true" outlineLevel="0" collapsed="false">
      <c r="A901" s="72" t="n">
        <v>1217110</v>
      </c>
      <c r="B901" s="72" t="s">
        <v>2932</v>
      </c>
      <c r="C901" s="72" t="n">
        <v>2024</v>
      </c>
      <c r="D901" s="73" t="n">
        <v>13.99</v>
      </c>
      <c r="E901" s="74" t="n">
        <v>1</v>
      </c>
      <c r="F901" s="72" t="n">
        <v>0</v>
      </c>
      <c r="G901" s="72" t="s">
        <v>2933</v>
      </c>
      <c r="H901" s="72" t="s">
        <v>2934</v>
      </c>
    </row>
    <row r="902" customFormat="false" ht="15" hidden="false" customHeight="true" outlineLevel="0" collapsed="false">
      <c r="A902" s="75" t="n">
        <v>4454170</v>
      </c>
      <c r="B902" s="75" t="s">
        <v>2935</v>
      </c>
      <c r="C902" s="75" t="n">
        <v>2026</v>
      </c>
      <c r="D902" s="76" t="n">
        <v>13.99</v>
      </c>
      <c r="E902" s="77" t="n">
        <v>1</v>
      </c>
      <c r="F902" s="75" t="n">
        <v>0</v>
      </c>
      <c r="G902" s="75" t="s">
        <v>2936</v>
      </c>
      <c r="H902" s="75" t="s">
        <v>2937</v>
      </c>
    </row>
    <row r="903" customFormat="false" ht="15" hidden="false" customHeight="true" outlineLevel="0" collapsed="false">
      <c r="A903" s="72" t="n">
        <v>3264570</v>
      </c>
      <c r="B903" s="72" t="s">
        <v>2938</v>
      </c>
      <c r="C903" s="72" t="n">
        <v>2024</v>
      </c>
      <c r="D903" s="73" t="n">
        <v>12.99</v>
      </c>
      <c r="E903" s="74" t="n">
        <v>1</v>
      </c>
      <c r="F903" s="72" t="n">
        <v>100</v>
      </c>
      <c r="G903" s="72" t="s">
        <v>2939</v>
      </c>
      <c r="H903" s="72" t="s">
        <v>2940</v>
      </c>
    </row>
    <row r="904" customFormat="false" ht="15" hidden="false" customHeight="true" outlineLevel="0" collapsed="false">
      <c r="A904" s="75" t="n">
        <v>5259200</v>
      </c>
      <c r="B904" s="75" t="s">
        <v>416</v>
      </c>
      <c r="C904" s="75" t="n">
        <v>2026</v>
      </c>
      <c r="D904" s="76" t="n">
        <v>12.99</v>
      </c>
      <c r="E904" s="77" t="n">
        <v>1</v>
      </c>
      <c r="F904" s="75" t="n">
        <v>0</v>
      </c>
      <c r="G904" s="75" t="s">
        <v>2941</v>
      </c>
      <c r="H904" s="75" t="s">
        <v>2942</v>
      </c>
    </row>
    <row r="905" customFormat="false" ht="15" hidden="false" customHeight="true" outlineLevel="0" collapsed="false">
      <c r="A905" s="72" t="n">
        <v>3267500</v>
      </c>
      <c r="B905" s="72" t="s">
        <v>2943</v>
      </c>
      <c r="C905" s="72" t="n">
        <v>2024</v>
      </c>
      <c r="D905" s="73" t="n">
        <v>11.99</v>
      </c>
      <c r="E905" s="74" t="n">
        <v>1</v>
      </c>
      <c r="F905" s="72" t="n">
        <v>0</v>
      </c>
      <c r="G905" s="72" t="s">
        <v>2944</v>
      </c>
      <c r="H905" s="72" t="s">
        <v>2945</v>
      </c>
    </row>
    <row r="906" customFormat="false" ht="15" hidden="false" customHeight="true" outlineLevel="0" collapsed="false">
      <c r="A906" s="75" t="n">
        <v>4967830</v>
      </c>
      <c r="B906" s="75" t="s">
        <v>2946</v>
      </c>
      <c r="C906" s="75" t="n">
        <v>2026</v>
      </c>
      <c r="D906" s="76" t="n">
        <v>11.11</v>
      </c>
      <c r="E906" s="77" t="n">
        <v>1</v>
      </c>
      <c r="F906" s="75" t="n">
        <v>0</v>
      </c>
      <c r="G906" s="75" t="s">
        <v>2947</v>
      </c>
      <c r="H906" s="75" t="s">
        <v>2948</v>
      </c>
    </row>
    <row r="907" customFormat="false" ht="15" hidden="false" customHeight="true" outlineLevel="0" collapsed="false">
      <c r="A907" s="72" t="n">
        <v>3369700</v>
      </c>
      <c r="B907" s="72" t="s">
        <v>2949</v>
      </c>
      <c r="C907" s="72" t="n">
        <v>2025</v>
      </c>
      <c r="D907" s="73" t="n">
        <v>9.99</v>
      </c>
      <c r="E907" s="74" t="n">
        <v>1</v>
      </c>
      <c r="F907" s="72" t="n">
        <v>0</v>
      </c>
      <c r="G907" s="72" t="s">
        <v>2950</v>
      </c>
      <c r="H907" s="72" t="s">
        <v>2951</v>
      </c>
    </row>
    <row r="908" customFormat="false" ht="15" hidden="false" customHeight="true" outlineLevel="0" collapsed="false">
      <c r="A908" s="75" t="n">
        <v>3935440</v>
      </c>
      <c r="B908" s="75" t="s">
        <v>2952</v>
      </c>
      <c r="C908" s="75" t="n">
        <v>2025</v>
      </c>
      <c r="D908" s="76" t="n">
        <v>8.99</v>
      </c>
      <c r="E908" s="77" t="n">
        <v>1</v>
      </c>
      <c r="F908" s="75" t="n">
        <v>100</v>
      </c>
      <c r="G908" s="75" t="s">
        <v>2953</v>
      </c>
      <c r="H908" s="75" t="s">
        <v>2954</v>
      </c>
    </row>
    <row r="909" customFormat="false" ht="15" hidden="false" customHeight="true" outlineLevel="0" collapsed="false">
      <c r="A909" s="72" t="n">
        <v>3879840</v>
      </c>
      <c r="B909" s="72" t="s">
        <v>427</v>
      </c>
      <c r="C909" s="72" t="n">
        <v>2026</v>
      </c>
      <c r="D909" s="73" t="n">
        <v>9.99</v>
      </c>
      <c r="E909" s="74" t="n">
        <v>1</v>
      </c>
      <c r="F909" s="72" t="n">
        <v>0</v>
      </c>
      <c r="G909" s="72" t="s">
        <v>2955</v>
      </c>
      <c r="H909" s="72" t="s">
        <v>2956</v>
      </c>
    </row>
    <row r="910" customFormat="false" ht="15" hidden="false" customHeight="true" outlineLevel="0" collapsed="false">
      <c r="A910" s="75" t="n">
        <v>4564930</v>
      </c>
      <c r="B910" s="75" t="s">
        <v>2957</v>
      </c>
      <c r="C910" s="75" t="n">
        <v>2026</v>
      </c>
      <c r="D910" s="76" t="n">
        <v>9.99</v>
      </c>
      <c r="E910" s="77" t="n">
        <v>1</v>
      </c>
      <c r="F910" s="75" t="n">
        <v>0</v>
      </c>
      <c r="G910" s="75" t="s">
        <v>2958</v>
      </c>
      <c r="H910" s="75" t="s">
        <v>2959</v>
      </c>
    </row>
    <row r="911" customFormat="false" ht="15" hidden="false" customHeight="true" outlineLevel="0" collapsed="false">
      <c r="A911" s="72" t="n">
        <v>3609280</v>
      </c>
      <c r="B911" s="72" t="s">
        <v>402</v>
      </c>
      <c r="C911" s="72" t="n">
        <v>2026</v>
      </c>
      <c r="D911" s="73" t="n">
        <v>9.99</v>
      </c>
      <c r="E911" s="74" t="n">
        <v>1</v>
      </c>
      <c r="F911" s="72" t="n">
        <v>100</v>
      </c>
      <c r="G911" s="72" t="s">
        <v>2960</v>
      </c>
      <c r="H911" s="72" t="s">
        <v>2961</v>
      </c>
    </row>
    <row r="912" customFormat="false" ht="15" hidden="false" customHeight="true" outlineLevel="0" collapsed="false">
      <c r="A912" s="75" t="n">
        <v>5164100</v>
      </c>
      <c r="B912" s="75" t="s">
        <v>2962</v>
      </c>
      <c r="C912" s="75" t="n">
        <v>2026</v>
      </c>
      <c r="D912" s="76" t="n">
        <v>11.14</v>
      </c>
      <c r="E912" s="77" t="n">
        <v>1</v>
      </c>
      <c r="F912" s="75" t="n">
        <v>100</v>
      </c>
      <c r="G912" s="75" t="s">
        <v>2963</v>
      </c>
      <c r="H912" s="75" t="s">
        <v>2964</v>
      </c>
    </row>
    <row r="913" customFormat="false" ht="15" hidden="false" customHeight="true" outlineLevel="0" collapsed="false">
      <c r="A913" s="72" t="n">
        <v>3723410</v>
      </c>
      <c r="B913" s="72" t="s">
        <v>2965</v>
      </c>
      <c r="C913" s="72" t="n">
        <v>2025</v>
      </c>
      <c r="D913" s="73" t="n">
        <v>7.99</v>
      </c>
      <c r="E913" s="74" t="n">
        <v>1</v>
      </c>
      <c r="F913" s="72" t="n">
        <v>100</v>
      </c>
      <c r="G913" s="72" t="s">
        <v>2966</v>
      </c>
      <c r="H913" s="72" t="s">
        <v>2967</v>
      </c>
    </row>
    <row r="914" customFormat="false" ht="15" hidden="false" customHeight="true" outlineLevel="0" collapsed="false">
      <c r="A914" s="75" t="n">
        <v>4366080</v>
      </c>
      <c r="B914" s="75" t="s">
        <v>2968</v>
      </c>
      <c r="C914" s="75" t="n">
        <v>2026</v>
      </c>
      <c r="D914" s="76" t="n">
        <v>7.99</v>
      </c>
      <c r="E914" s="77" t="n">
        <v>1</v>
      </c>
      <c r="F914" s="75" t="n">
        <v>0</v>
      </c>
      <c r="G914" s="75" t="s">
        <v>2969</v>
      </c>
      <c r="H914" s="75" t="s">
        <v>2970</v>
      </c>
    </row>
    <row r="915" customFormat="false" ht="15" hidden="false" customHeight="true" outlineLevel="0" collapsed="false">
      <c r="A915" s="72" t="n">
        <v>4465730</v>
      </c>
      <c r="B915" s="72" t="s">
        <v>2971</v>
      </c>
      <c r="C915" s="72" t="n">
        <v>2026</v>
      </c>
      <c r="D915" s="73" t="n">
        <v>7.99</v>
      </c>
      <c r="E915" s="74" t="n">
        <v>1</v>
      </c>
      <c r="F915" s="72" t="n">
        <v>0</v>
      </c>
      <c r="G915" s="72" t="s">
        <v>2972</v>
      </c>
      <c r="H915" s="72" t="s">
        <v>2973</v>
      </c>
    </row>
    <row r="916" customFormat="false" ht="15" hidden="false" customHeight="true" outlineLevel="0" collapsed="false">
      <c r="A916" s="75" t="n">
        <v>4719460</v>
      </c>
      <c r="B916" s="75" t="s">
        <v>2974</v>
      </c>
      <c r="C916" s="75" t="n">
        <v>2026</v>
      </c>
      <c r="D916" s="76" t="n">
        <v>8.32</v>
      </c>
      <c r="E916" s="77" t="n">
        <v>1</v>
      </c>
      <c r="F916" s="75" t="n">
        <v>0</v>
      </c>
      <c r="G916" s="75" t="s">
        <v>2975</v>
      </c>
      <c r="H916" s="75" t="s">
        <v>2976</v>
      </c>
    </row>
    <row r="917" customFormat="false" ht="15" hidden="false" customHeight="true" outlineLevel="0" collapsed="false">
      <c r="A917" s="72" t="n">
        <v>4991180</v>
      </c>
      <c r="B917" s="72" t="s">
        <v>2977</v>
      </c>
      <c r="C917" s="72" t="n">
        <v>2026</v>
      </c>
      <c r="D917" s="73" t="n">
        <v>7.99</v>
      </c>
      <c r="E917" s="74" t="n">
        <v>1</v>
      </c>
      <c r="F917" s="72" t="n">
        <v>100</v>
      </c>
      <c r="G917" s="72" t="s">
        <v>2978</v>
      </c>
      <c r="H917" s="72" t="s">
        <v>2979</v>
      </c>
    </row>
    <row r="918" customFormat="false" ht="15" hidden="false" customHeight="true" outlineLevel="0" collapsed="false">
      <c r="A918" s="75" t="n">
        <v>4088570</v>
      </c>
      <c r="B918" s="75" t="s">
        <v>2980</v>
      </c>
      <c r="C918" s="75" t="n">
        <v>2026</v>
      </c>
      <c r="D918" s="76" t="n">
        <v>6.99</v>
      </c>
      <c r="E918" s="77" t="n">
        <v>1</v>
      </c>
      <c r="F918" s="75" t="n">
        <v>100</v>
      </c>
      <c r="G918" s="75" t="s">
        <v>2981</v>
      </c>
      <c r="H918" s="75" t="s">
        <v>2982</v>
      </c>
    </row>
    <row r="919" customFormat="false" ht="15" hidden="false" customHeight="true" outlineLevel="0" collapsed="false">
      <c r="A919" s="72" t="n">
        <v>4540910</v>
      </c>
      <c r="B919" s="72" t="s">
        <v>2983</v>
      </c>
      <c r="C919" s="72" t="n">
        <v>2026</v>
      </c>
      <c r="D919" s="73" t="n">
        <v>6.99</v>
      </c>
      <c r="E919" s="74" t="n">
        <v>1</v>
      </c>
      <c r="F919" s="72" t="n">
        <v>0</v>
      </c>
      <c r="G919" s="72" t="s">
        <v>2984</v>
      </c>
      <c r="H919" s="72" t="s">
        <v>2985</v>
      </c>
    </row>
    <row r="920" customFormat="false" ht="15" hidden="false" customHeight="true" outlineLevel="0" collapsed="false">
      <c r="A920" s="75" t="n">
        <v>4725400</v>
      </c>
      <c r="B920" s="75" t="s">
        <v>2986</v>
      </c>
      <c r="C920" s="75" t="n">
        <v>2026</v>
      </c>
      <c r="D920" s="76" t="n">
        <v>6.99</v>
      </c>
      <c r="E920" s="77" t="n">
        <v>1</v>
      </c>
      <c r="F920" s="75" t="n">
        <v>0</v>
      </c>
      <c r="G920" s="75" t="s">
        <v>2987</v>
      </c>
      <c r="H920" s="75" t="s">
        <v>2988</v>
      </c>
    </row>
    <row r="921" customFormat="false" ht="15" hidden="false" customHeight="true" outlineLevel="0" collapsed="false">
      <c r="A921" s="72" t="n">
        <v>4881390</v>
      </c>
      <c r="B921" s="72" t="s">
        <v>2989</v>
      </c>
      <c r="C921" s="72" t="n">
        <v>2026</v>
      </c>
      <c r="D921" s="73" t="n">
        <v>7.99</v>
      </c>
      <c r="E921" s="74" t="n">
        <v>1</v>
      </c>
      <c r="F921" s="72" t="n">
        <v>100</v>
      </c>
      <c r="G921" s="72" t="s">
        <v>2990</v>
      </c>
      <c r="H921" s="72" t="s">
        <v>2991</v>
      </c>
    </row>
    <row r="922" customFormat="false" ht="15" hidden="false" customHeight="true" outlineLevel="0" collapsed="false">
      <c r="A922" s="75" t="n">
        <v>2935750</v>
      </c>
      <c r="B922" s="75" t="s">
        <v>2992</v>
      </c>
      <c r="C922" s="75" t="n">
        <v>2024</v>
      </c>
      <c r="D922" s="76" t="n">
        <v>5.99</v>
      </c>
      <c r="E922" s="77" t="n">
        <v>1</v>
      </c>
      <c r="F922" s="75" t="n">
        <v>100</v>
      </c>
      <c r="G922" s="75" t="s">
        <v>2993</v>
      </c>
      <c r="H922" s="75" t="s">
        <v>2994</v>
      </c>
    </row>
    <row r="923" customFormat="false" ht="15" hidden="false" customHeight="true" outlineLevel="0" collapsed="false">
      <c r="A923" s="72" t="n">
        <v>4362510</v>
      </c>
      <c r="B923" s="72" t="s">
        <v>2995</v>
      </c>
      <c r="C923" s="72" t="n">
        <v>2026</v>
      </c>
      <c r="D923" s="73" t="n">
        <v>6.99</v>
      </c>
      <c r="E923" s="74" t="n">
        <v>1</v>
      </c>
      <c r="F923" s="72" t="n">
        <v>100</v>
      </c>
      <c r="G923" s="72" t="s">
        <v>2996</v>
      </c>
      <c r="H923" s="72" t="s">
        <v>2997</v>
      </c>
    </row>
    <row r="924" customFormat="false" ht="15" hidden="false" customHeight="true" outlineLevel="0" collapsed="false">
      <c r="A924" s="75" t="n">
        <v>4554420</v>
      </c>
      <c r="B924" s="75" t="s">
        <v>2998</v>
      </c>
      <c r="C924" s="75" t="n">
        <v>2026</v>
      </c>
      <c r="D924" s="76" t="n">
        <v>5.99</v>
      </c>
      <c r="E924" s="77" t="n">
        <v>1</v>
      </c>
      <c r="F924" s="75" t="n">
        <v>0</v>
      </c>
      <c r="G924" s="75" t="s">
        <v>2999</v>
      </c>
      <c r="H924" s="75" t="s">
        <v>3000</v>
      </c>
    </row>
    <row r="925" customFormat="false" ht="15" hidden="false" customHeight="true" outlineLevel="0" collapsed="false">
      <c r="A925" s="72" t="n">
        <v>4812710</v>
      </c>
      <c r="B925" s="72" t="s">
        <v>3001</v>
      </c>
      <c r="C925" s="72" t="n">
        <v>2026</v>
      </c>
      <c r="D925" s="73" t="n">
        <v>6.66</v>
      </c>
      <c r="E925" s="74" t="n">
        <v>1</v>
      </c>
      <c r="F925" s="72" t="n">
        <v>0</v>
      </c>
      <c r="G925" s="72" t="s">
        <v>3002</v>
      </c>
      <c r="H925" s="72" t="s">
        <v>3003</v>
      </c>
    </row>
    <row r="926" customFormat="false" ht="15" hidden="false" customHeight="true" outlineLevel="0" collapsed="false">
      <c r="A926" s="75" t="n">
        <v>4920310</v>
      </c>
      <c r="B926" s="75" t="s">
        <v>346</v>
      </c>
      <c r="C926" s="75" t="n">
        <v>2026</v>
      </c>
      <c r="D926" s="76" t="n">
        <v>5.99</v>
      </c>
      <c r="E926" s="77" t="n">
        <v>1</v>
      </c>
      <c r="F926" s="75" t="n">
        <v>0</v>
      </c>
      <c r="G926" s="75" t="s">
        <v>3004</v>
      </c>
      <c r="H926" s="75" t="s">
        <v>3005</v>
      </c>
    </row>
    <row r="927" customFormat="false" ht="15" hidden="false" customHeight="true" outlineLevel="0" collapsed="false">
      <c r="A927" s="72" t="n">
        <v>2758360</v>
      </c>
      <c r="B927" s="72" t="s">
        <v>3006</v>
      </c>
      <c r="C927" s="72" t="n">
        <v>2024</v>
      </c>
      <c r="D927" s="73" t="n">
        <v>4.99</v>
      </c>
      <c r="E927" s="74" t="n">
        <v>1</v>
      </c>
      <c r="F927" s="72" t="n">
        <v>0</v>
      </c>
      <c r="G927" s="72" t="s">
        <v>3007</v>
      </c>
      <c r="H927" s="72" t="s">
        <v>3008</v>
      </c>
    </row>
    <row r="928" customFormat="false" ht="15" hidden="false" customHeight="true" outlineLevel="0" collapsed="false">
      <c r="A928" s="75" t="n">
        <v>2756460</v>
      </c>
      <c r="B928" s="75" t="s">
        <v>3009</v>
      </c>
      <c r="C928" s="75" t="n">
        <v>2026</v>
      </c>
      <c r="D928" s="76" t="n">
        <v>4.99</v>
      </c>
      <c r="E928" s="77" t="n">
        <v>1</v>
      </c>
      <c r="F928" s="75" t="n">
        <v>0</v>
      </c>
      <c r="G928" s="75" t="s">
        <v>3010</v>
      </c>
      <c r="H928" s="75" t="s">
        <v>3011</v>
      </c>
    </row>
    <row r="929" customFormat="false" ht="15" hidden="false" customHeight="true" outlineLevel="0" collapsed="false">
      <c r="A929" s="72" t="n">
        <v>4266290</v>
      </c>
      <c r="B929" s="72" t="s">
        <v>3012</v>
      </c>
      <c r="C929" s="72" t="n">
        <v>2026</v>
      </c>
      <c r="D929" s="73" t="n">
        <v>4.99</v>
      </c>
      <c r="E929" s="74" t="n">
        <v>1</v>
      </c>
      <c r="F929" s="72" t="n">
        <v>0</v>
      </c>
      <c r="G929" s="72" t="s">
        <v>3013</v>
      </c>
      <c r="H929" s="72" t="s">
        <v>3014</v>
      </c>
    </row>
    <row r="930" customFormat="false" ht="15" hidden="false" customHeight="true" outlineLevel="0" collapsed="false">
      <c r="A930" s="75" t="n">
        <v>4180100</v>
      </c>
      <c r="B930" s="75" t="s">
        <v>3015</v>
      </c>
      <c r="C930" s="75" t="n">
        <v>2026</v>
      </c>
      <c r="D930" s="76" t="n">
        <v>4.99</v>
      </c>
      <c r="E930" s="77" t="n">
        <v>1</v>
      </c>
      <c r="F930" s="75" t="n">
        <v>0</v>
      </c>
      <c r="G930" s="75" t="s">
        <v>3016</v>
      </c>
      <c r="H930" s="75" t="s">
        <v>3017</v>
      </c>
    </row>
    <row r="931" customFormat="false" ht="15" hidden="false" customHeight="true" outlineLevel="0" collapsed="false">
      <c r="A931" s="72" t="n">
        <v>4629170</v>
      </c>
      <c r="B931" s="72" t="s">
        <v>3018</v>
      </c>
      <c r="C931" s="72" t="n">
        <v>2026</v>
      </c>
      <c r="D931" s="73" t="n">
        <v>4.99</v>
      </c>
      <c r="E931" s="74" t="n">
        <v>1</v>
      </c>
      <c r="F931" s="72" t="n">
        <v>0</v>
      </c>
      <c r="G931" s="72" t="s">
        <v>3019</v>
      </c>
      <c r="H931" s="72" t="s">
        <v>3020</v>
      </c>
    </row>
    <row r="932" customFormat="false" ht="15" hidden="false" customHeight="true" outlineLevel="0" collapsed="false">
      <c r="A932" s="75" t="n">
        <v>4775200</v>
      </c>
      <c r="B932" s="75" t="s">
        <v>392</v>
      </c>
      <c r="C932" s="75" t="n">
        <v>2026</v>
      </c>
      <c r="D932" s="76" t="n">
        <v>4.99</v>
      </c>
      <c r="E932" s="77" t="n">
        <v>1</v>
      </c>
      <c r="F932" s="75" t="n">
        <v>0</v>
      </c>
      <c r="G932" s="75" t="s">
        <v>3021</v>
      </c>
      <c r="H932" s="75" t="s">
        <v>3022</v>
      </c>
    </row>
    <row r="933" customFormat="false" ht="15" hidden="false" customHeight="true" outlineLevel="0" collapsed="false">
      <c r="A933" s="72" t="n">
        <v>5092320</v>
      </c>
      <c r="B933" s="72" t="s">
        <v>3023</v>
      </c>
      <c r="C933" s="72" t="n">
        <v>2026</v>
      </c>
      <c r="D933" s="73" t="n">
        <v>4.99</v>
      </c>
      <c r="E933" s="74" t="n">
        <v>1</v>
      </c>
      <c r="F933" s="72" t="n">
        <v>0</v>
      </c>
      <c r="G933" s="72" t="s">
        <v>3024</v>
      </c>
      <c r="H933" s="72" t="s">
        <v>3025</v>
      </c>
    </row>
    <row r="934" customFormat="false" ht="15" hidden="false" customHeight="true" outlineLevel="0" collapsed="false">
      <c r="A934" s="75" t="n">
        <v>5081700</v>
      </c>
      <c r="B934" s="75" t="s">
        <v>3026</v>
      </c>
      <c r="C934" s="75" t="n">
        <v>2026</v>
      </c>
      <c r="D934" s="76" t="n">
        <v>4.99</v>
      </c>
      <c r="E934" s="77" t="n">
        <v>1</v>
      </c>
      <c r="F934" s="75" t="n">
        <v>0</v>
      </c>
      <c r="G934" s="75" t="s">
        <v>3027</v>
      </c>
      <c r="H934" s="75" t="s">
        <v>3028</v>
      </c>
    </row>
    <row r="935" customFormat="false" ht="15" hidden="false" customHeight="true" outlineLevel="0" collapsed="false">
      <c r="A935" s="72" t="n">
        <v>5220610</v>
      </c>
      <c r="B935" s="72" t="s">
        <v>3029</v>
      </c>
      <c r="C935" s="72" t="n">
        <v>2026</v>
      </c>
      <c r="D935" s="73" t="n">
        <v>4.99</v>
      </c>
      <c r="E935" s="74" t="n">
        <v>1</v>
      </c>
      <c r="F935" s="72" t="n">
        <v>0</v>
      </c>
      <c r="G935" s="72" t="s">
        <v>3030</v>
      </c>
      <c r="H935" s="72" t="s">
        <v>3031</v>
      </c>
    </row>
    <row r="936" customFormat="false" ht="15" hidden="false" customHeight="true" outlineLevel="0" collapsed="false">
      <c r="A936" s="75" t="n">
        <v>5294190</v>
      </c>
      <c r="B936" s="75" t="s">
        <v>3032</v>
      </c>
      <c r="C936" s="75" t="n">
        <v>2026</v>
      </c>
      <c r="D936" s="76" t="n">
        <v>4.99</v>
      </c>
      <c r="E936" s="77" t="n">
        <v>1</v>
      </c>
      <c r="F936" s="75" t="n">
        <v>0</v>
      </c>
      <c r="G936" s="75" t="s">
        <v>3033</v>
      </c>
      <c r="H936" s="75" t="s">
        <v>3034</v>
      </c>
    </row>
    <row r="937" customFormat="false" ht="15" hidden="false" customHeight="true" outlineLevel="0" collapsed="false">
      <c r="A937" s="72" t="n">
        <v>5319460</v>
      </c>
      <c r="B937" s="72" t="s">
        <v>3035</v>
      </c>
      <c r="C937" s="72" t="n">
        <v>2026</v>
      </c>
      <c r="D937" s="73" t="n">
        <v>4.99</v>
      </c>
      <c r="E937" s="74" t="n">
        <v>1</v>
      </c>
      <c r="F937" s="72" t="n">
        <v>0</v>
      </c>
      <c r="G937" s="72" t="s">
        <v>3036</v>
      </c>
      <c r="H937" s="72" t="s">
        <v>3037</v>
      </c>
    </row>
    <row r="938" customFormat="false" ht="15" hidden="false" customHeight="true" outlineLevel="0" collapsed="false">
      <c r="A938" s="75" t="n">
        <v>3649910</v>
      </c>
      <c r="B938" s="75" t="s">
        <v>3038</v>
      </c>
      <c r="C938" s="75" t="n">
        <v>2026</v>
      </c>
      <c r="D938" s="76" t="n">
        <v>3.99</v>
      </c>
      <c r="E938" s="77" t="n">
        <v>1</v>
      </c>
      <c r="F938" s="75" t="n">
        <v>0</v>
      </c>
      <c r="G938" s="75" t="s">
        <v>3039</v>
      </c>
      <c r="H938" s="75" t="s">
        <v>3040</v>
      </c>
    </row>
    <row r="939" customFormat="false" ht="15" hidden="false" customHeight="true" outlineLevel="0" collapsed="false">
      <c r="A939" s="72" t="n">
        <v>4118910</v>
      </c>
      <c r="B939" s="72" t="s">
        <v>3041</v>
      </c>
      <c r="C939" s="72" t="n">
        <v>2026</v>
      </c>
      <c r="D939" s="73" t="n">
        <v>4.99</v>
      </c>
      <c r="E939" s="74" t="n">
        <v>1</v>
      </c>
      <c r="F939" s="72" t="n">
        <v>100</v>
      </c>
      <c r="G939" s="72" t="s">
        <v>3042</v>
      </c>
      <c r="H939" s="72" t="s">
        <v>3043</v>
      </c>
    </row>
    <row r="940" customFormat="false" ht="15" hidden="false" customHeight="true" outlineLevel="0" collapsed="false">
      <c r="A940" s="75" t="n">
        <v>4248080</v>
      </c>
      <c r="B940" s="75" t="s">
        <v>3044</v>
      </c>
      <c r="C940" s="75" t="n">
        <v>2026</v>
      </c>
      <c r="D940" s="76" t="n">
        <v>3.99</v>
      </c>
      <c r="E940" s="77" t="n">
        <v>1</v>
      </c>
      <c r="F940" s="75" t="n">
        <v>100</v>
      </c>
      <c r="G940" s="75" t="s">
        <v>2505</v>
      </c>
      <c r="H940" s="75" t="s">
        <v>3045</v>
      </c>
    </row>
    <row r="941" customFormat="false" ht="15" hidden="false" customHeight="true" outlineLevel="0" collapsed="false">
      <c r="A941" s="72" t="n">
        <v>4590990</v>
      </c>
      <c r="B941" s="72" t="s">
        <v>3046</v>
      </c>
      <c r="C941" s="72" t="n">
        <v>2026</v>
      </c>
      <c r="D941" s="73" t="n">
        <v>3.77</v>
      </c>
      <c r="E941" s="74" t="n">
        <v>1</v>
      </c>
      <c r="F941" s="72" t="n">
        <v>0</v>
      </c>
      <c r="G941" s="72" t="s">
        <v>3047</v>
      </c>
      <c r="H941" s="72" t="s">
        <v>3048</v>
      </c>
    </row>
    <row r="942" customFormat="false" ht="15" hidden="false" customHeight="true" outlineLevel="0" collapsed="false">
      <c r="A942" s="75" t="n">
        <v>5180900</v>
      </c>
      <c r="B942" s="75" t="s">
        <v>3049</v>
      </c>
      <c r="C942" s="75" t="n">
        <v>2026</v>
      </c>
      <c r="D942" s="76" t="n">
        <v>4.99</v>
      </c>
      <c r="E942" s="77" t="n">
        <v>1</v>
      </c>
      <c r="F942" s="75" t="n">
        <v>100</v>
      </c>
      <c r="G942" s="75" t="s">
        <v>3050</v>
      </c>
      <c r="H942" s="75" t="s">
        <v>3051</v>
      </c>
    </row>
    <row r="943" customFormat="false" ht="15" hidden="false" customHeight="true" outlineLevel="0" collapsed="false">
      <c r="A943" s="72" t="n">
        <v>4459090</v>
      </c>
      <c r="B943" s="72" t="s">
        <v>3052</v>
      </c>
      <c r="C943" s="72" t="n">
        <v>2026</v>
      </c>
      <c r="D943" s="73" t="n">
        <v>2.99</v>
      </c>
      <c r="E943" s="74" t="n">
        <v>1</v>
      </c>
      <c r="F943" s="72" t="n">
        <v>0</v>
      </c>
      <c r="G943" s="72" t="s">
        <v>3053</v>
      </c>
      <c r="H943" s="72" t="s">
        <v>3054</v>
      </c>
    </row>
    <row r="944" customFormat="false" ht="15" hidden="false" customHeight="true" outlineLevel="0" collapsed="false">
      <c r="A944" s="75" t="n">
        <v>4625170</v>
      </c>
      <c r="B944" s="75" t="s">
        <v>3055</v>
      </c>
      <c r="C944" s="75" t="n">
        <v>2026</v>
      </c>
      <c r="D944" s="76" t="n">
        <v>3</v>
      </c>
      <c r="E944" s="77" t="n">
        <v>1</v>
      </c>
      <c r="F944" s="75" t="n">
        <v>0</v>
      </c>
      <c r="G944" s="75" t="s">
        <v>3056</v>
      </c>
      <c r="H944" s="75" t="s">
        <v>3057</v>
      </c>
    </row>
    <row r="945" customFormat="false" ht="15" hidden="false" customHeight="true" outlineLevel="0" collapsed="false">
      <c r="A945" s="72" t="n">
        <v>5284650</v>
      </c>
      <c r="B945" s="72" t="s">
        <v>3058</v>
      </c>
      <c r="C945" s="72" t="n">
        <v>2026</v>
      </c>
      <c r="D945" s="73" t="n">
        <v>2.99</v>
      </c>
      <c r="E945" s="74" t="n">
        <v>1</v>
      </c>
      <c r="F945" s="72" t="n">
        <v>0</v>
      </c>
      <c r="G945" s="72" t="s">
        <v>3059</v>
      </c>
      <c r="H945" s="72" t="s">
        <v>3060</v>
      </c>
    </row>
    <row r="946" customFormat="false" ht="15" hidden="false" customHeight="true" outlineLevel="0" collapsed="false">
      <c r="A946" s="75" t="n">
        <v>5308770</v>
      </c>
      <c r="B946" s="75" t="s">
        <v>3061</v>
      </c>
      <c r="C946" s="75" t="n">
        <v>2026</v>
      </c>
      <c r="D946" s="76" t="n">
        <v>2.99</v>
      </c>
      <c r="E946" s="77" t="n">
        <v>1</v>
      </c>
      <c r="F946" s="75" t="n">
        <v>0</v>
      </c>
      <c r="G946" s="75" t="s">
        <v>3062</v>
      </c>
      <c r="H946" s="75" t="s">
        <v>3063</v>
      </c>
    </row>
    <row r="947" customFormat="false" ht="15" hidden="false" customHeight="true" outlineLevel="0" collapsed="false">
      <c r="A947" s="72" t="n">
        <v>4317710</v>
      </c>
      <c r="B947" s="72" t="s">
        <v>3064</v>
      </c>
      <c r="C947" s="72" t="n">
        <v>2026</v>
      </c>
      <c r="D947" s="73" t="n">
        <v>1.99</v>
      </c>
      <c r="E947" s="74" t="n">
        <v>1</v>
      </c>
      <c r="F947" s="72" t="n">
        <v>0</v>
      </c>
      <c r="G947" s="72" t="s">
        <v>3065</v>
      </c>
      <c r="H947" s="72" t="s">
        <v>3066</v>
      </c>
    </row>
    <row r="948" customFormat="false" ht="15" hidden="false" customHeight="true" outlineLevel="0" collapsed="false">
      <c r="A948" s="75" t="n">
        <v>2335510</v>
      </c>
      <c r="B948" s="75" t="s">
        <v>3067</v>
      </c>
      <c r="C948" s="75" t="n">
        <v>2026</v>
      </c>
      <c r="D948" s="76" t="n">
        <v>0.99</v>
      </c>
      <c r="E948" s="77" t="n">
        <v>1</v>
      </c>
      <c r="F948" s="75" t="n">
        <v>0</v>
      </c>
      <c r="G948" s="75" t="s">
        <v>3068</v>
      </c>
      <c r="H948" s="75" t="s">
        <v>3069</v>
      </c>
    </row>
    <row r="949" customFormat="false" ht="15" hidden="false" customHeight="true" outlineLevel="0" collapsed="false">
      <c r="A949" s="72" t="n">
        <v>2758970</v>
      </c>
      <c r="B949" s="72" t="s">
        <v>3070</v>
      </c>
      <c r="C949" s="72" t="n">
        <v>2026</v>
      </c>
      <c r="D949" s="73" t="n">
        <v>0.99</v>
      </c>
      <c r="E949" s="74" t="n">
        <v>1</v>
      </c>
      <c r="F949" s="72" t="n">
        <v>0</v>
      </c>
      <c r="G949" s="72" t="s">
        <v>3071</v>
      </c>
      <c r="H949" s="72" t="s">
        <v>3072</v>
      </c>
    </row>
    <row r="950" customFormat="false" ht="15" hidden="false" customHeight="true" outlineLevel="0" collapsed="false">
      <c r="A950" s="75" t="n">
        <v>2940560</v>
      </c>
      <c r="B950" s="75" t="s">
        <v>3073</v>
      </c>
      <c r="C950" s="75" t="n">
        <v>2024</v>
      </c>
      <c r="D950" s="76" t="n">
        <v>14.99</v>
      </c>
      <c r="E950" s="77" t="n">
        <v>1</v>
      </c>
      <c r="F950" s="75" t="n">
        <v>50</v>
      </c>
      <c r="G950" s="75" t="s">
        <v>3074</v>
      </c>
      <c r="H950" s="75" t="s">
        <v>3075</v>
      </c>
    </row>
    <row r="951" customFormat="false" ht="15" hidden="false" customHeight="true" outlineLevel="0" collapsed="false">
      <c r="A951" s="72" t="n">
        <v>3129790</v>
      </c>
      <c r="B951" s="72" t="s">
        <v>3076</v>
      </c>
      <c r="C951" s="72" t="n">
        <v>2025</v>
      </c>
      <c r="D951" s="73" t="n">
        <v>0</v>
      </c>
      <c r="E951" s="74" t="n">
        <v>1</v>
      </c>
      <c r="F951" s="72" t="n">
        <v>0</v>
      </c>
      <c r="G951" s="72" t="s">
        <v>3077</v>
      </c>
      <c r="H951" s="72" t="s">
        <v>3078</v>
      </c>
    </row>
    <row r="952" customFormat="false" ht="15" hidden="false" customHeight="true" outlineLevel="0" collapsed="false">
      <c r="A952" s="75" t="n">
        <v>3966150</v>
      </c>
      <c r="B952" s="75" t="s">
        <v>3079</v>
      </c>
      <c r="C952" s="75" t="n">
        <v>2026</v>
      </c>
      <c r="D952" s="76" t="n">
        <v>0</v>
      </c>
      <c r="E952" s="77" t="n">
        <v>1</v>
      </c>
      <c r="F952" s="75" t="n">
        <v>0</v>
      </c>
      <c r="G952" s="75" t="s">
        <v>3080</v>
      </c>
      <c r="H952" s="75" t="s">
        <v>3081</v>
      </c>
    </row>
    <row r="953" customFormat="false" ht="15" hidden="false" customHeight="true" outlineLevel="0" collapsed="false">
      <c r="A953" s="72" t="n">
        <v>3167760</v>
      </c>
      <c r="B953" s="72" t="s">
        <v>3082</v>
      </c>
      <c r="C953" s="72" t="n">
        <v>2025</v>
      </c>
      <c r="D953" s="73" t="n">
        <v>4.99</v>
      </c>
      <c r="E953" s="74" t="n">
        <v>0</v>
      </c>
      <c r="F953" s="72" t="n">
        <v>0</v>
      </c>
      <c r="G953" s="72" t="s">
        <v>2281</v>
      </c>
      <c r="H953" s="72" t="s">
        <v>3083</v>
      </c>
    </row>
  </sheetData>
  <autoFilter ref="A4:H95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2026-10-19T05:06:34Z</dcterms:created>
  <dc:creator>openpyxl</dc:creator>
  <dc:description/>
  <dc:language>en-US</dc:language>
  <cp:lastModifiedBy/>
  <dcterms:modified xsi:type="dcterms:W3CDTF">2026-10-19T13:16:33Z</dcterms:modified>
  <cp:revision>2</cp:revision>
  <dc:subject>同类游戏与市场盘子</dc:subject>
  <dc:title>conquer 立项数据分析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